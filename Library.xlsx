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3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DM\Accountancy\"/>
    </mc:Choice>
  </mc:AlternateContent>
  <xr:revisionPtr revIDLastSave="0" documentId="13_ncr:1_{55CC40C7-867F-453F-B8A4-1602FF550FC6}" xr6:coauthVersionLast="47" xr6:coauthVersionMax="47" xr10:uidLastSave="{00000000-0000-0000-0000-000000000000}"/>
  <bookViews>
    <workbookView xWindow="30600" yWindow="-120" windowWidth="30960" windowHeight="16920" tabRatio="883" xr2:uid="{00000000-000D-0000-FFFF-FFFF00000000}"/>
  </bookViews>
  <sheets>
    <sheet name="Projects&amp;Contracts" sheetId="17" r:id="rId1"/>
    <sheet name="Сontractors" sheetId="4" r:id="rId2"/>
    <sheet name="Salary" sheetId="6" r:id="rId3"/>
    <sheet name="AccountNumbers" sheetId="11" r:id="rId4"/>
    <sheet name="Products" sheetId="1" r:id="rId5"/>
    <sheet name="Positions" sheetId="8" r:id="rId6"/>
    <sheet name="Grades" sheetId="12" r:id="rId7"/>
    <sheet name="Team" sheetId="5" r:id="rId8"/>
    <sheet name="OverheadCostTypes" sheetId="14" r:id="rId9"/>
    <sheet name="OverheadCosts" sheetId="13" r:id="rId10"/>
    <sheet name="VAT" sheetId="16" r:id="rId11"/>
    <sheet name="Budget Types" sheetId="9" r:id="rId12"/>
    <sheet name="Expense Items" sheetId="10" r:id="rId13"/>
    <sheet name="Types" sheetId="18" r:id="rId14"/>
    <sheet name="Statuses" sheetId="19" r:id="rId15"/>
  </sheets>
  <externalReferences>
    <externalReference r:id="rId16"/>
  </externalReferences>
  <definedNames>
    <definedName name="Contracts" localSheetId="0">Projects[Projects&amp;Contracts]</definedName>
    <definedName name="Contracts">[1]!Project[Projects&amp;Contracts]</definedName>
    <definedName name="Таблица" localSheetId="0">Products[Products]</definedName>
    <definedName name="Таблица">Products[Products]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8" i="6" l="1"/>
  <c r="G138" i="6"/>
  <c r="I138" i="6"/>
  <c r="L138" i="6"/>
  <c r="Q138" i="6" s="1"/>
  <c r="B47" i="5" a="1"/>
  <c r="B47" i="5" s="1"/>
  <c r="C47" i="5"/>
  <c r="F47" i="5" s="1"/>
  <c r="D47" i="5" a="1"/>
  <c r="D47" i="5" s="1"/>
  <c r="E47" i="5"/>
  <c r="G47" i="5" a="1"/>
  <c r="G47" i="5" s="1"/>
  <c r="J138" i="6" l="1"/>
  <c r="R138" i="6"/>
  <c r="S138" i="6" s="1"/>
  <c r="T138" i="6" s="1"/>
  <c r="U138" i="6" s="1"/>
  <c r="V138" i="6" l="1"/>
  <c r="N138" i="6" s="1"/>
  <c r="P138" i="6" s="1"/>
  <c r="O138" i="6" l="1"/>
  <c r="D137" i="6"/>
  <c r="G137" i="6"/>
  <c r="I137" i="6"/>
  <c r="L137" i="6"/>
  <c r="R137" i="6" s="1"/>
  <c r="J137" i="6" l="1"/>
  <c r="Q137" i="6"/>
  <c r="S137" i="6" s="1"/>
  <c r="T137" i="6" s="1"/>
  <c r="U137" i="6" s="1"/>
  <c r="V137" i="6" l="1"/>
  <c r="N137" i="6" s="1"/>
  <c r="D116" i="6"/>
  <c r="P137" i="6" l="1"/>
  <c r="O137" i="6"/>
  <c r="D136" i="6"/>
  <c r="G136" i="6"/>
  <c r="I136" i="6"/>
  <c r="L136" i="6"/>
  <c r="Q136" i="6" s="1"/>
  <c r="R136" i="6" l="1"/>
  <c r="J136" i="6"/>
  <c r="S136" i="6"/>
  <c r="T136" i="6" s="1"/>
  <c r="U136" i="6" s="1"/>
  <c r="V136" i="6" l="1"/>
  <c r="N136" i="6" s="1"/>
  <c r="O136" i="6" s="1"/>
  <c r="P136" i="6" l="1"/>
  <c r="D135" i="6"/>
  <c r="G135" i="6"/>
  <c r="I135" i="6"/>
  <c r="L135" i="6"/>
  <c r="Q135" i="6" l="1"/>
  <c r="D134" i="6" l="1"/>
  <c r="G134" i="6"/>
  <c r="I134" i="6"/>
  <c r="L134" i="6"/>
  <c r="Q134" i="6" s="1"/>
  <c r="B46" i="5" a="1"/>
  <c r="B46" i="5" s="1"/>
  <c r="C46" i="5"/>
  <c r="F46" i="5" s="1"/>
  <c r="D46" i="5" a="1"/>
  <c r="D46" i="5" s="1"/>
  <c r="E46" i="5" l="1"/>
  <c r="G46" i="5" a="1"/>
  <c r="G46" i="5" s="1"/>
  <c r="L131" i="6" l="1"/>
  <c r="D133" i="6" l="1"/>
  <c r="G133" i="6"/>
  <c r="I133" i="6"/>
  <c r="L133" i="6"/>
  <c r="Q133" i="6" l="1"/>
  <c r="D132" i="6" l="1"/>
  <c r="G132" i="6"/>
  <c r="I132" i="6"/>
  <c r="L132" i="6"/>
  <c r="Q132" i="6" s="1"/>
  <c r="D131" i="6" l="1"/>
  <c r="G131" i="6"/>
  <c r="I131" i="6"/>
  <c r="Q131" i="6"/>
  <c r="D130" i="6" l="1"/>
  <c r="G130" i="6"/>
  <c r="I130" i="6"/>
  <c r="L130" i="6"/>
  <c r="Q130" i="6" s="1"/>
  <c r="B45" i="5" a="1"/>
  <c r="B45" i="5" s="1"/>
  <c r="C45" i="5"/>
  <c r="E45" i="5" s="1"/>
  <c r="D45" i="5" a="1"/>
  <c r="D45" i="5" s="1"/>
  <c r="G45" i="5" l="1" a="1"/>
  <c r="G45" i="5" s="1"/>
  <c r="F45" i="5"/>
  <c r="D128" i="6" l="1"/>
  <c r="G128" i="6"/>
  <c r="I128" i="6"/>
  <c r="L128" i="6"/>
  <c r="Q128" i="6" s="1"/>
  <c r="D91" i="6" l="1"/>
  <c r="G116" i="6" l="1"/>
  <c r="I116" i="6"/>
  <c r="L116" i="6"/>
  <c r="Q116" i="6" s="1"/>
  <c r="R116" i="6" l="1"/>
  <c r="S116" i="6" s="1"/>
  <c r="T116" i="6" s="1"/>
  <c r="D129" i="6"/>
  <c r="G129" i="6"/>
  <c r="I129" i="6"/>
  <c r="L129" i="6"/>
  <c r="Q129" i="6" s="1"/>
  <c r="B44" i="5" a="1"/>
  <c r="B44" i="5" s="1"/>
  <c r="C44" i="5"/>
  <c r="E44" i="5" s="1"/>
  <c r="D44" i="5" a="1"/>
  <c r="D44" i="5" s="1"/>
  <c r="V116" i="6" l="1"/>
  <c r="U116" i="6"/>
  <c r="G44" i="5" a="1"/>
  <c r="G44" i="5" s="1"/>
  <c r="F44" i="5"/>
  <c r="N116" i="6" l="1"/>
  <c r="O116" i="6" s="1"/>
  <c r="P116" i="6" l="1"/>
  <c r="D81" i="6" l="1"/>
  <c r="G81" i="6"/>
  <c r="I81" i="6"/>
  <c r="L81" i="6"/>
  <c r="Q81" i="6" s="1"/>
  <c r="G91" i="6"/>
  <c r="I91" i="6"/>
  <c r="L91" i="6"/>
  <c r="Q91" i="6" s="1"/>
  <c r="D118" i="6"/>
  <c r="J118" i="6" s="1"/>
  <c r="G118" i="6"/>
  <c r="I118" i="6"/>
  <c r="L118" i="6"/>
  <c r="Q118" i="6" s="1"/>
  <c r="D103" i="6"/>
  <c r="G103" i="6"/>
  <c r="I103" i="6"/>
  <c r="L103" i="6"/>
  <c r="R103" i="6" s="1"/>
  <c r="D73" i="6"/>
  <c r="J73" i="6" s="1"/>
  <c r="G73" i="6"/>
  <c r="I73" i="6"/>
  <c r="L73" i="6"/>
  <c r="R73" i="6" s="1"/>
  <c r="D64" i="6"/>
  <c r="J64" i="6" s="1"/>
  <c r="G64" i="6"/>
  <c r="I64" i="6"/>
  <c r="L64" i="6"/>
  <c r="Q64" i="6" s="1"/>
  <c r="D77" i="6"/>
  <c r="G77" i="6"/>
  <c r="I77" i="6"/>
  <c r="L77" i="6"/>
  <c r="R77" i="6" s="1"/>
  <c r="D71" i="6"/>
  <c r="G71" i="6"/>
  <c r="I71" i="6"/>
  <c r="L71" i="6"/>
  <c r="Q71" i="6" s="1"/>
  <c r="D94" i="6"/>
  <c r="G94" i="6"/>
  <c r="I94" i="6"/>
  <c r="L94" i="6"/>
  <c r="Q94" i="6" s="1"/>
  <c r="D127" i="6"/>
  <c r="J127" i="6" s="1"/>
  <c r="G127" i="6"/>
  <c r="I127" i="6"/>
  <c r="L127" i="6"/>
  <c r="Q127" i="6" s="1"/>
  <c r="D126" i="6"/>
  <c r="G126" i="6"/>
  <c r="I126" i="6"/>
  <c r="L126" i="6"/>
  <c r="D125" i="6"/>
  <c r="J125" i="6" s="1"/>
  <c r="G125" i="6"/>
  <c r="I125" i="6"/>
  <c r="L125" i="6"/>
  <c r="R125" i="6" s="1"/>
  <c r="D70" i="6"/>
  <c r="G70" i="6"/>
  <c r="I70" i="6"/>
  <c r="L70" i="6"/>
  <c r="Q70" i="6" s="1"/>
  <c r="D34" i="6"/>
  <c r="G34" i="6"/>
  <c r="I34" i="6"/>
  <c r="L34" i="6"/>
  <c r="Q34" i="6" s="1"/>
  <c r="D89" i="6"/>
  <c r="G89" i="6"/>
  <c r="I89" i="6"/>
  <c r="L89" i="6"/>
  <c r="Q89" i="6" s="1"/>
  <c r="D88" i="6"/>
  <c r="G88" i="6"/>
  <c r="I88" i="6"/>
  <c r="L88" i="6"/>
  <c r="Q88" i="6" s="1"/>
  <c r="J89" i="6" l="1"/>
  <c r="J71" i="6"/>
  <c r="Q73" i="6"/>
  <c r="S73" i="6" s="1"/>
  <c r="T73" i="6" s="1"/>
  <c r="U73" i="6" s="1"/>
  <c r="Q125" i="6"/>
  <c r="S125" i="6" s="1"/>
  <c r="T125" i="6" s="1"/>
  <c r="V125" i="6" s="1"/>
  <c r="Q77" i="6"/>
  <c r="S77" i="6" s="1"/>
  <c r="T77" i="6" s="1"/>
  <c r="U77" i="6" s="1"/>
  <c r="R88" i="6"/>
  <c r="S88" i="6" s="1"/>
  <c r="T88" i="6" s="1"/>
  <c r="U88" i="6" s="1"/>
  <c r="R94" i="6"/>
  <c r="S94" i="6" s="1"/>
  <c r="T94" i="6" s="1"/>
  <c r="J77" i="6"/>
  <c r="R81" i="6"/>
  <c r="S81" i="6" s="1"/>
  <c r="T81" i="6" s="1"/>
  <c r="U81" i="6" s="1"/>
  <c r="J88" i="6"/>
  <c r="J34" i="6"/>
  <c r="J94" i="6"/>
  <c r="Q103" i="6"/>
  <c r="S103" i="6" s="1"/>
  <c r="T103" i="6" s="1"/>
  <c r="U103" i="6" s="1"/>
  <c r="R71" i="6"/>
  <c r="S71" i="6" s="1"/>
  <c r="T71" i="6" s="1"/>
  <c r="U71" i="6" s="1"/>
  <c r="Q126" i="6"/>
  <c r="J81" i="6"/>
  <c r="J70" i="6"/>
  <c r="J103" i="6"/>
  <c r="J91" i="6"/>
  <c r="R70" i="6"/>
  <c r="S70" i="6" s="1"/>
  <c r="T70" i="6" s="1"/>
  <c r="U70" i="6" s="1"/>
  <c r="R127" i="6"/>
  <c r="S127" i="6" s="1"/>
  <c r="T127" i="6" s="1"/>
  <c r="V127" i="6" s="1"/>
  <c r="R118" i="6"/>
  <c r="S118" i="6" s="1"/>
  <c r="T118" i="6" s="1"/>
  <c r="V118" i="6" s="1"/>
  <c r="R64" i="6"/>
  <c r="S64" i="6" s="1"/>
  <c r="T64" i="6" s="1"/>
  <c r="R89" i="6"/>
  <c r="S89" i="6" s="1"/>
  <c r="T89" i="6" s="1"/>
  <c r="V81" i="6" l="1"/>
  <c r="N81" i="6" s="1"/>
  <c r="U94" i="6"/>
  <c r="V94" i="6"/>
  <c r="V88" i="6"/>
  <c r="N88" i="6" s="1"/>
  <c r="P88" i="6" s="1"/>
  <c r="V77" i="6"/>
  <c r="N77" i="6" s="1"/>
  <c r="P77" i="6" s="1"/>
  <c r="V103" i="6"/>
  <c r="N103" i="6" s="1"/>
  <c r="O103" i="6" s="1"/>
  <c r="U118" i="6"/>
  <c r="N118" i="6" s="1"/>
  <c r="P118" i="6" s="1"/>
  <c r="U127" i="6"/>
  <c r="N127" i="6" s="1"/>
  <c r="O127" i="6" s="1"/>
  <c r="V71" i="6"/>
  <c r="N71" i="6" s="1"/>
  <c r="O71" i="6" s="1"/>
  <c r="V73" i="6"/>
  <c r="N73" i="6" s="1"/>
  <c r="P73" i="6" s="1"/>
  <c r="U64" i="6"/>
  <c r="V64" i="6"/>
  <c r="U125" i="6"/>
  <c r="N125" i="6" s="1"/>
  <c r="V70" i="6"/>
  <c r="N70" i="6" s="1"/>
  <c r="U89" i="6"/>
  <c r="V89" i="6"/>
  <c r="N94" i="6" l="1"/>
  <c r="P94" i="6" s="1"/>
  <c r="P81" i="6"/>
  <c r="O81" i="6"/>
  <c r="O118" i="6"/>
  <c r="P127" i="6"/>
  <c r="P103" i="6"/>
  <c r="P71" i="6"/>
  <c r="O73" i="6"/>
  <c r="O77" i="6"/>
  <c r="N64" i="6"/>
  <c r="P64" i="6" s="1"/>
  <c r="O125" i="6"/>
  <c r="P125" i="6"/>
  <c r="O88" i="6"/>
  <c r="N89" i="6"/>
  <c r="O89" i="6" s="1"/>
  <c r="O70" i="6"/>
  <c r="P70" i="6"/>
  <c r="O94" i="6" l="1"/>
  <c r="O64" i="6"/>
  <c r="P89" i="6"/>
  <c r="B43" i="5" l="1" a="1"/>
  <c r="B43" i="5" s="1"/>
  <c r="C43" i="5"/>
  <c r="E43" i="5" s="1"/>
  <c r="D43" i="5" a="1"/>
  <c r="D43" i="5" s="1"/>
  <c r="B40" i="5" a="1"/>
  <c r="B40" i="5" s="1"/>
  <c r="G43" i="5" l="1" a="1"/>
  <c r="G43" i="5" s="1"/>
  <c r="F43" i="5"/>
  <c r="D124" i="6"/>
  <c r="G124" i="6"/>
  <c r="I124" i="6"/>
  <c r="L124" i="6"/>
  <c r="Q124" i="6" s="1"/>
  <c r="D123" i="6"/>
  <c r="G123" i="6"/>
  <c r="I123" i="6"/>
  <c r="L123" i="6"/>
  <c r="Q123" i="6" s="1"/>
  <c r="D122" i="6"/>
  <c r="G122" i="6"/>
  <c r="I122" i="6"/>
  <c r="L122" i="6"/>
  <c r="Q122" i="6" s="1"/>
  <c r="D121" i="6" l="1"/>
  <c r="G121" i="6"/>
  <c r="I121" i="6"/>
  <c r="L121" i="6"/>
  <c r="B42" i="5" a="1"/>
  <c r="B42" i="5" s="1"/>
  <c r="C42" i="5"/>
  <c r="E42" i="5" s="1"/>
  <c r="D42" i="5" a="1"/>
  <c r="D42" i="5" s="1"/>
  <c r="Q121" i="6" l="1"/>
  <c r="F42" i="5"/>
  <c r="G42" i="5" a="1"/>
  <c r="G42" i="5" s="1"/>
  <c r="D120" i="6" l="1"/>
  <c r="G120" i="6"/>
  <c r="I120" i="6"/>
  <c r="L120" i="6"/>
  <c r="Q120" i="6" l="1"/>
  <c r="D119" i="6" l="1"/>
  <c r="G119" i="6"/>
  <c r="I119" i="6"/>
  <c r="L119" i="6"/>
  <c r="Q119" i="6" s="1"/>
  <c r="B41" i="5" a="1"/>
  <c r="B41" i="5" s="1"/>
  <c r="C41" i="5"/>
  <c r="E41" i="5" s="1"/>
  <c r="D41" i="5" a="1"/>
  <c r="D41" i="5" s="1"/>
  <c r="G41" i="5" l="1" a="1"/>
  <c r="G41" i="5" s="1"/>
  <c r="F41" i="5"/>
  <c r="D117" i="6" l="1"/>
  <c r="G117" i="6"/>
  <c r="I117" i="6"/>
  <c r="L117" i="6"/>
  <c r="Q117" i="6" l="1"/>
  <c r="D101" i="6" l="1"/>
  <c r="G101" i="6"/>
  <c r="I101" i="6"/>
  <c r="L101" i="6"/>
  <c r="Q101" i="6" s="1"/>
  <c r="C40" i="5" l="1"/>
  <c r="E40" i="5" s="1"/>
  <c r="D40" i="5" a="1"/>
  <c r="D40" i="5" s="1"/>
  <c r="D115" i="6"/>
  <c r="G115" i="6"/>
  <c r="I115" i="6"/>
  <c r="L115" i="6"/>
  <c r="Q115" i="6" s="1"/>
  <c r="G40" i="5" l="1" a="1"/>
  <c r="G40" i="5" s="1"/>
  <c r="F40" i="5"/>
  <c r="D114" i="6" l="1"/>
  <c r="G114" i="6"/>
  <c r="I114" i="6"/>
  <c r="L114" i="6"/>
  <c r="Q114" i="6" s="1"/>
  <c r="D113" i="6"/>
  <c r="G113" i="6"/>
  <c r="I113" i="6"/>
  <c r="L113" i="6"/>
  <c r="Q113" i="6" s="1"/>
  <c r="D112" i="6"/>
  <c r="G112" i="6"/>
  <c r="I112" i="6"/>
  <c r="L112" i="6"/>
  <c r="Q112" i="6" s="1"/>
  <c r="D100" i="6" l="1"/>
  <c r="G100" i="6"/>
  <c r="I100" i="6"/>
  <c r="L100" i="6"/>
  <c r="Q100" i="6" l="1"/>
  <c r="D111" i="6" l="1"/>
  <c r="G111" i="6"/>
  <c r="I111" i="6"/>
  <c r="L111" i="6"/>
  <c r="Q111" i="6" s="1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D106" i="6"/>
  <c r="D110" i="6"/>
  <c r="D109" i="6"/>
  <c r="D108" i="6"/>
  <c r="D107" i="6"/>
  <c r="D104" i="6"/>
  <c r="D105" i="6"/>
  <c r="D99" i="6"/>
  <c r="D98" i="6"/>
  <c r="D102" i="6"/>
  <c r="D96" i="6"/>
  <c r="D95" i="6"/>
  <c r="D97" i="6"/>
  <c r="D72" i="6"/>
  <c r="D93" i="6"/>
  <c r="D52" i="6"/>
  <c r="B19" i="5" a="1"/>
  <c r="B19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D33" i="5" a="1"/>
  <c r="D33" i="5" s="1"/>
  <c r="D34" i="5" a="1"/>
  <c r="D34" i="5" s="1"/>
  <c r="D35" i="5" a="1"/>
  <c r="D35" i="5" s="1"/>
  <c r="D36" i="5" a="1"/>
  <c r="D36" i="5" s="1"/>
  <c r="D37" i="5" a="1"/>
  <c r="D37" i="5" s="1"/>
  <c r="D38" i="5" a="1"/>
  <c r="D38" i="5" s="1"/>
  <c r="D39" i="5" a="1"/>
  <c r="D39" i="5" s="1"/>
  <c r="D53" i="6"/>
  <c r="L62" i="6"/>
  <c r="C19" i="5" l="1"/>
  <c r="C2" i="5"/>
  <c r="G110" i="6"/>
  <c r="G109" i="6"/>
  <c r="I109" i="6"/>
  <c r="I110" i="6"/>
  <c r="L109" i="6"/>
  <c r="L110" i="6"/>
  <c r="L108" i="6"/>
  <c r="Q108" i="6" s="1"/>
  <c r="G108" i="6"/>
  <c r="I108" i="6"/>
  <c r="L107" i="6"/>
  <c r="Q107" i="6" s="1"/>
  <c r="G107" i="6"/>
  <c r="I107" i="6"/>
  <c r="Q110" i="6" l="1"/>
  <c r="Q109" i="6"/>
  <c r="G104" i="6" l="1"/>
  <c r="I104" i="6"/>
  <c r="L104" i="6"/>
  <c r="Q104" i="6" s="1"/>
  <c r="G105" i="6"/>
  <c r="G106" i="6"/>
  <c r="I105" i="6"/>
  <c r="I106" i="6"/>
  <c r="L105" i="6"/>
  <c r="Q105" i="6" s="1"/>
  <c r="L106" i="6"/>
  <c r="Q106" i="6" s="1"/>
  <c r="G99" i="6" l="1"/>
  <c r="I99" i="6"/>
  <c r="L99" i="6"/>
  <c r="G98" i="6"/>
  <c r="I98" i="6"/>
  <c r="L98" i="6"/>
  <c r="Q98" i="6" l="1"/>
  <c r="Q99" i="6"/>
  <c r="G102" i="6" l="1"/>
  <c r="I102" i="6"/>
  <c r="L102" i="6"/>
  <c r="Q102" i="6" l="1"/>
  <c r="G96" i="6" l="1"/>
  <c r="I96" i="6"/>
  <c r="L96" i="6"/>
  <c r="Q96" i="6" s="1"/>
  <c r="G95" i="6" l="1"/>
  <c r="I95" i="6"/>
  <c r="L95" i="6"/>
  <c r="R95" i="6" s="1"/>
  <c r="G97" i="6"/>
  <c r="I97" i="6"/>
  <c r="L97" i="6"/>
  <c r="Q97" i="6" s="1"/>
  <c r="Q95" i="6" l="1"/>
  <c r="S95" i="6" s="1"/>
  <c r="T95" i="6" s="1"/>
  <c r="U95" i="6" l="1"/>
  <c r="V95" i="6"/>
  <c r="N95" i="6" l="1"/>
  <c r="P95" i="6" s="1"/>
  <c r="O95" i="6" l="1"/>
  <c r="Q190" i="17" l="1"/>
  <c r="O190" i="17"/>
  <c r="G72" i="6" l="1"/>
  <c r="I72" i="6"/>
  <c r="L72" i="6"/>
  <c r="G93" i="6"/>
  <c r="I93" i="6"/>
  <c r="L93" i="6"/>
  <c r="Q93" i="6" s="1"/>
  <c r="Q72" i="6" l="1"/>
  <c r="D76" i="6" l="1"/>
  <c r="G76" i="6"/>
  <c r="I76" i="6"/>
  <c r="L76" i="6"/>
  <c r="Q76" i="6" s="1"/>
  <c r="D92" i="6" l="1"/>
  <c r="G92" i="6"/>
  <c r="I92" i="6"/>
  <c r="L92" i="6"/>
  <c r="Q92" i="6" s="1"/>
  <c r="D90" i="6" l="1"/>
  <c r="G90" i="6"/>
  <c r="I90" i="6"/>
  <c r="L90" i="6"/>
  <c r="Q90" i="6" l="1"/>
  <c r="D87" i="6" l="1"/>
  <c r="G87" i="6"/>
  <c r="I87" i="6"/>
  <c r="L87" i="6"/>
  <c r="Q87" i="6" s="1"/>
  <c r="G86" i="6" l="1"/>
  <c r="I86" i="6"/>
  <c r="L86" i="6"/>
  <c r="D86" i="6"/>
  <c r="Q86" i="6" l="1"/>
  <c r="D84" i="6" l="1"/>
  <c r="G84" i="6"/>
  <c r="I84" i="6"/>
  <c r="L84" i="6"/>
  <c r="Q84" i="6" s="1"/>
  <c r="D75" i="6" l="1"/>
  <c r="G75" i="6"/>
  <c r="I75" i="6"/>
  <c r="L75" i="6"/>
  <c r="Q75" i="6" s="1"/>
  <c r="D85" i="6" l="1"/>
  <c r="G85" i="6"/>
  <c r="I85" i="6"/>
  <c r="L85" i="6"/>
  <c r="Q85" i="6" s="1"/>
  <c r="D83" i="6" l="1"/>
  <c r="G83" i="6"/>
  <c r="I83" i="6"/>
  <c r="L83" i="6"/>
  <c r="D82" i="6"/>
  <c r="G82" i="6"/>
  <c r="I82" i="6"/>
  <c r="L82" i="6"/>
  <c r="Q82" i="6" l="1"/>
  <c r="Q83" i="6"/>
  <c r="D32" i="5" l="1" a="1"/>
  <c r="D32" i="5" s="1"/>
  <c r="D80" i="6"/>
  <c r="G80" i="6"/>
  <c r="I80" i="6"/>
  <c r="L80" i="6"/>
  <c r="Q80" i="6" l="1"/>
  <c r="D74" i="6" l="1"/>
  <c r="G74" i="6"/>
  <c r="I74" i="6"/>
  <c r="L74" i="6"/>
  <c r="D66" i="6"/>
  <c r="D67" i="6"/>
  <c r="D68" i="6"/>
  <c r="D69" i="6"/>
  <c r="D79" i="6"/>
  <c r="D78" i="6"/>
  <c r="Q74" i="6" l="1"/>
  <c r="D31" i="5" l="1" a="1"/>
  <c r="D31" i="5" s="1"/>
  <c r="G78" i="6"/>
  <c r="I78" i="6"/>
  <c r="L78" i="6"/>
  <c r="Q78" i="6" s="1"/>
  <c r="Q207" i="17" l="1"/>
  <c r="Q202" i="17"/>
  <c r="Q125" i="17"/>
  <c r="O132" i="17"/>
  <c r="Q132" i="17"/>
  <c r="O134" i="17"/>
  <c r="Q134" i="17" s="1"/>
  <c r="Q135" i="17"/>
  <c r="Q136" i="17"/>
  <c r="Q137" i="17"/>
  <c r="O139" i="17"/>
  <c r="O183" i="17"/>
  <c r="Q183" i="17"/>
  <c r="Q139" i="17" l="1"/>
  <c r="G79" i="6" l="1"/>
  <c r="I79" i="6"/>
  <c r="L79" i="6"/>
  <c r="D25" i="6"/>
  <c r="G25" i="6"/>
  <c r="I25" i="6"/>
  <c r="L25" i="6"/>
  <c r="R25" i="6" s="1"/>
  <c r="D30" i="5" a="1"/>
  <c r="D30" i="5" s="1"/>
  <c r="D9" i="6"/>
  <c r="G9" i="6"/>
  <c r="I9" i="6"/>
  <c r="L9" i="6"/>
  <c r="Q9" i="6" s="1"/>
  <c r="J25" i="6" l="1"/>
  <c r="J9" i="6"/>
  <c r="Q79" i="6"/>
  <c r="Q25" i="6"/>
  <c r="S25" i="6" s="1"/>
  <c r="T25" i="6" s="1"/>
  <c r="R9" i="6"/>
  <c r="S9" i="6" s="1"/>
  <c r="T9" i="6" s="1"/>
  <c r="U25" i="6" l="1"/>
  <c r="V25" i="6"/>
  <c r="U9" i="6"/>
  <c r="V9" i="6"/>
  <c r="N25" i="6" l="1"/>
  <c r="N9" i="6"/>
  <c r="O9" i="6" s="1"/>
  <c r="P9" i="6" l="1"/>
  <c r="O25" i="6"/>
  <c r="P25" i="6"/>
  <c r="G68" i="6" l="1"/>
  <c r="I68" i="6"/>
  <c r="L68" i="6"/>
  <c r="Q68" i="6" s="1"/>
  <c r="D29" i="5" a="1"/>
  <c r="D29" i="5" s="1"/>
  <c r="G66" i="6" l="1"/>
  <c r="I66" i="6"/>
  <c r="L66" i="6"/>
  <c r="Q66" i="6" s="1"/>
  <c r="D28" i="5" a="1"/>
  <c r="D28" i="5" s="1"/>
  <c r="G67" i="6"/>
  <c r="I67" i="6"/>
  <c r="L67" i="6"/>
  <c r="Q67" i="6" s="1"/>
  <c r="D27" i="5" a="1"/>
  <c r="D27" i="5" s="1"/>
  <c r="G69" i="6" l="1"/>
  <c r="I69" i="6"/>
  <c r="L69" i="6"/>
  <c r="Q69" i="6" s="1"/>
  <c r="B26" i="5" a="1"/>
  <c r="B26" i="5" s="1"/>
  <c r="D26" i="5" a="1"/>
  <c r="D26" i="5" s="1"/>
  <c r="B25" i="5" a="1"/>
  <c r="B25" i="5" s="1"/>
  <c r="D25" i="5" a="1"/>
  <c r="D25" i="5" s="1"/>
  <c r="D65" i="6" l="1"/>
  <c r="G65" i="6"/>
  <c r="I65" i="6"/>
  <c r="L65" i="6"/>
  <c r="Q65" i="6" s="1"/>
  <c r="B24" i="5" l="1" a="1"/>
  <c r="B24" i="5" s="1"/>
  <c r="D24" i="5" a="1"/>
  <c r="D24" i="5" s="1"/>
  <c r="D63" i="6"/>
  <c r="G63" i="6"/>
  <c r="I63" i="6"/>
  <c r="L63" i="6"/>
  <c r="Q63" i="6" s="1"/>
  <c r="D61" i="6" l="1"/>
  <c r="G61" i="6"/>
  <c r="I61" i="6"/>
  <c r="L61" i="6"/>
  <c r="R61" i="6" s="1"/>
  <c r="D57" i="6"/>
  <c r="G57" i="6"/>
  <c r="I57" i="6"/>
  <c r="L57" i="6"/>
  <c r="Q57" i="6" s="1"/>
  <c r="D60" i="6"/>
  <c r="G60" i="6"/>
  <c r="I60" i="6"/>
  <c r="L60" i="6"/>
  <c r="Q60" i="6" s="1"/>
  <c r="D59" i="6"/>
  <c r="G59" i="6"/>
  <c r="I59" i="6"/>
  <c r="L59" i="6"/>
  <c r="Q59" i="6" s="1"/>
  <c r="D58" i="6"/>
  <c r="G58" i="6"/>
  <c r="I58" i="6"/>
  <c r="L58" i="6"/>
  <c r="B6" i="5" a="1"/>
  <c r="B6" i="5" s="1"/>
  <c r="B2" i="5" a="1"/>
  <c r="B2" i="5" s="1"/>
  <c r="B3" i="5" a="1"/>
  <c r="B3" i="5" s="1"/>
  <c r="B4" i="5" a="1"/>
  <c r="B4" i="5" s="1"/>
  <c r="B5" i="5" a="1"/>
  <c r="B5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20" i="5" a="1"/>
  <c r="B20" i="5" s="1"/>
  <c r="B21" i="5" a="1"/>
  <c r="B21" i="5" s="1"/>
  <c r="B22" i="5" a="1"/>
  <c r="B22" i="5" s="1"/>
  <c r="B23" i="5" a="1"/>
  <c r="B23" i="5" s="1"/>
  <c r="J57" i="6" l="1"/>
  <c r="J61" i="6"/>
  <c r="Q61" i="6"/>
  <c r="S61" i="6" s="1"/>
  <c r="T61" i="6" s="1"/>
  <c r="U61" i="6" s="1"/>
  <c r="R57" i="6"/>
  <c r="S57" i="6" s="1"/>
  <c r="T57" i="6" s="1"/>
  <c r="U57" i="6" s="1"/>
  <c r="Q58" i="6"/>
  <c r="V61" i="6" l="1"/>
  <c r="N61" i="6" s="1"/>
  <c r="V57" i="6"/>
  <c r="N57" i="6" s="1"/>
  <c r="O57" i="6" s="1"/>
  <c r="O61" i="6" l="1"/>
  <c r="P61" i="6"/>
  <c r="P57" i="6"/>
  <c r="D62" i="6" l="1"/>
  <c r="G62" i="6"/>
  <c r="I62" i="6"/>
  <c r="Q62" i="6"/>
  <c r="D56" i="6" l="1"/>
  <c r="G56" i="6"/>
  <c r="I56" i="6"/>
  <c r="L56" i="6"/>
  <c r="Q56" i="6" s="1"/>
  <c r="D55" i="6"/>
  <c r="G55" i="6"/>
  <c r="I55" i="6"/>
  <c r="L55" i="6"/>
  <c r="D54" i="6"/>
  <c r="G54" i="6"/>
  <c r="I54" i="6"/>
  <c r="L54" i="6"/>
  <c r="Q54" i="6" s="1"/>
  <c r="G53" i="6"/>
  <c r="I53" i="6"/>
  <c r="L53" i="6"/>
  <c r="Q55" i="6" l="1"/>
  <c r="Q53" i="6"/>
  <c r="Q8" i="16" l="1"/>
  <c r="L2" i="6" l="1"/>
  <c r="Q2" i="6" s="1"/>
  <c r="L3" i="6"/>
  <c r="R3" i="6" s="1"/>
  <c r="L4" i="6"/>
  <c r="Q4" i="6" s="1"/>
  <c r="L5" i="6"/>
  <c r="R5" i="6" s="1"/>
  <c r="L6" i="6"/>
  <c r="Q6" i="6" s="1"/>
  <c r="L7" i="6"/>
  <c r="R7" i="6" s="1"/>
  <c r="L8" i="6"/>
  <c r="R8" i="6" s="1"/>
  <c r="L10" i="6"/>
  <c r="Q10" i="6" s="1"/>
  <c r="L11" i="6"/>
  <c r="R11" i="6" s="1"/>
  <c r="L12" i="6"/>
  <c r="Q12" i="6" s="1"/>
  <c r="L13" i="6"/>
  <c r="R13" i="6" s="1"/>
  <c r="L14" i="6"/>
  <c r="Q14" i="6" s="1"/>
  <c r="L15" i="6"/>
  <c r="R15" i="6" s="1"/>
  <c r="L16" i="6"/>
  <c r="Q16" i="6" s="1"/>
  <c r="L17" i="6"/>
  <c r="Q17" i="6" s="1"/>
  <c r="L18" i="6"/>
  <c r="Q18" i="6" s="1"/>
  <c r="L19" i="6"/>
  <c r="R19" i="6" s="1"/>
  <c r="L20" i="6"/>
  <c r="R20" i="6" s="1"/>
  <c r="L21" i="6"/>
  <c r="R21" i="6" s="1"/>
  <c r="L22" i="6"/>
  <c r="R22" i="6" s="1"/>
  <c r="L23" i="6"/>
  <c r="Q23" i="6" s="1"/>
  <c r="L24" i="6"/>
  <c r="R24" i="6" s="1"/>
  <c r="L26" i="6"/>
  <c r="L27" i="6"/>
  <c r="Q27" i="6" s="1"/>
  <c r="L28" i="6"/>
  <c r="L29" i="6"/>
  <c r="Q29" i="6" s="1"/>
  <c r="L30" i="6"/>
  <c r="Q30" i="6" s="1"/>
  <c r="L31" i="6"/>
  <c r="Q31" i="6" s="1"/>
  <c r="L32" i="6"/>
  <c r="L33" i="6"/>
  <c r="L35" i="6"/>
  <c r="Q35" i="6" s="1"/>
  <c r="L36" i="6"/>
  <c r="L37" i="6"/>
  <c r="R37" i="6" s="1"/>
  <c r="L38" i="6"/>
  <c r="L39" i="6"/>
  <c r="L40" i="6"/>
  <c r="L41" i="6"/>
  <c r="L42" i="6"/>
  <c r="Q42" i="6" s="1"/>
  <c r="L43" i="6"/>
  <c r="L44" i="6"/>
  <c r="L45" i="6"/>
  <c r="L46" i="6"/>
  <c r="L47" i="6"/>
  <c r="L48" i="6"/>
  <c r="Q48" i="6" s="1"/>
  <c r="L49" i="6"/>
  <c r="Q49" i="6" s="1"/>
  <c r="L51" i="6"/>
  <c r="Q51" i="6" s="1"/>
  <c r="L50" i="6"/>
  <c r="R50" i="6" s="1"/>
  <c r="L52" i="6"/>
  <c r="Q7" i="16"/>
  <c r="Q6" i="16"/>
  <c r="Q5" i="16"/>
  <c r="Q4" i="16"/>
  <c r="Q3" i="16"/>
  <c r="Q2" i="16"/>
  <c r="R131" i="6" s="1"/>
  <c r="D50" i="6"/>
  <c r="G50" i="6"/>
  <c r="I50" i="6"/>
  <c r="R135" i="6" l="1"/>
  <c r="R134" i="6"/>
  <c r="S134" i="6" s="1"/>
  <c r="T134" i="6" s="1"/>
  <c r="S131" i="6"/>
  <c r="T131" i="6" s="1"/>
  <c r="R133" i="6"/>
  <c r="S133" i="6" s="1"/>
  <c r="T133" i="6" s="1"/>
  <c r="R132" i="6"/>
  <c r="R130" i="6"/>
  <c r="S130" i="6" s="1"/>
  <c r="T130" i="6" s="1"/>
  <c r="R128" i="6"/>
  <c r="R129" i="6"/>
  <c r="S129" i="6" s="1"/>
  <c r="T129" i="6" s="1"/>
  <c r="R126" i="6"/>
  <c r="S126" i="6" s="1"/>
  <c r="T126" i="6" s="1"/>
  <c r="R91" i="6"/>
  <c r="R34" i="6"/>
  <c r="S34" i="6" s="1"/>
  <c r="T34" i="6" s="1"/>
  <c r="R122" i="6"/>
  <c r="R124" i="6"/>
  <c r="S124" i="6" s="1"/>
  <c r="T124" i="6" s="1"/>
  <c r="R123" i="6"/>
  <c r="R121" i="6"/>
  <c r="R120" i="6"/>
  <c r="R119" i="6"/>
  <c r="R117" i="6"/>
  <c r="R115" i="6"/>
  <c r="R114" i="6"/>
  <c r="R113" i="6"/>
  <c r="R112" i="6"/>
  <c r="R111" i="6"/>
  <c r="R110" i="6"/>
  <c r="S110" i="6" s="1"/>
  <c r="T110" i="6" s="1"/>
  <c r="R108" i="6"/>
  <c r="R109" i="6"/>
  <c r="R107" i="6"/>
  <c r="R105" i="6"/>
  <c r="S105" i="6" s="1"/>
  <c r="T105" i="6" s="1"/>
  <c r="R104" i="6"/>
  <c r="R106" i="6"/>
  <c r="R98" i="6"/>
  <c r="R99" i="6"/>
  <c r="R102" i="6"/>
  <c r="R96" i="6"/>
  <c r="R97" i="6"/>
  <c r="R72" i="6"/>
  <c r="R93" i="6"/>
  <c r="R92" i="6"/>
  <c r="R90" i="6"/>
  <c r="R87" i="6"/>
  <c r="R86" i="6"/>
  <c r="S86" i="6" s="1"/>
  <c r="T86" i="6" s="1"/>
  <c r="R84" i="6"/>
  <c r="S84" i="6" s="1"/>
  <c r="T84" i="6" s="1"/>
  <c r="R85" i="6"/>
  <c r="R82" i="6"/>
  <c r="R83" i="6"/>
  <c r="S83" i="6" s="1"/>
  <c r="T83" i="6" s="1"/>
  <c r="R80" i="6"/>
  <c r="S80" i="6" s="1"/>
  <c r="T80" i="6" s="1"/>
  <c r="R74" i="6"/>
  <c r="S74" i="6" s="1"/>
  <c r="T74" i="6" s="1"/>
  <c r="R78" i="6"/>
  <c r="R79" i="6"/>
  <c r="R68" i="6"/>
  <c r="R66" i="6"/>
  <c r="R67" i="6"/>
  <c r="R69" i="6"/>
  <c r="S69" i="6" s="1"/>
  <c r="T69" i="6" s="1"/>
  <c r="R65" i="6"/>
  <c r="R63" i="6"/>
  <c r="R58" i="6"/>
  <c r="S58" i="6" s="1"/>
  <c r="T58" i="6" s="1"/>
  <c r="R59" i="6"/>
  <c r="R60" i="6"/>
  <c r="R62" i="6"/>
  <c r="R55" i="6"/>
  <c r="R56" i="6"/>
  <c r="R54" i="6"/>
  <c r="R53" i="6"/>
  <c r="R101" i="6"/>
  <c r="R100" i="6"/>
  <c r="R76" i="6"/>
  <c r="R75" i="6"/>
  <c r="R40" i="6"/>
  <c r="R38" i="6"/>
  <c r="R41" i="6"/>
  <c r="R39" i="6"/>
  <c r="R32" i="6"/>
  <c r="R28" i="6"/>
  <c r="J50" i="6"/>
  <c r="R47" i="6"/>
  <c r="R43" i="6"/>
  <c r="R52" i="6"/>
  <c r="R26" i="6"/>
  <c r="R46" i="6"/>
  <c r="R45" i="6"/>
  <c r="R44" i="6"/>
  <c r="R2" i="6"/>
  <c r="S2" i="6" s="1"/>
  <c r="T2" i="6" s="1"/>
  <c r="V2" i="6" s="1"/>
  <c r="R30" i="6"/>
  <c r="S30" i="6" s="1"/>
  <c r="T30" i="6" s="1"/>
  <c r="V30" i="6" s="1"/>
  <c r="R29" i="6"/>
  <c r="S29" i="6" s="1"/>
  <c r="T29" i="6" s="1"/>
  <c r="R31" i="6"/>
  <c r="S31" i="6" s="1"/>
  <c r="T31" i="6" s="1"/>
  <c r="V31" i="6" s="1"/>
  <c r="R49" i="6"/>
  <c r="S49" i="6" s="1"/>
  <c r="T49" i="6" s="1"/>
  <c r="U49" i="6" s="1"/>
  <c r="R48" i="6"/>
  <c r="S48" i="6" s="1"/>
  <c r="T48" i="6" s="1"/>
  <c r="V48" i="6" s="1"/>
  <c r="R51" i="6"/>
  <c r="S51" i="6" s="1"/>
  <c r="T51" i="6" s="1"/>
  <c r="R35" i="6"/>
  <c r="S35" i="6" s="1"/>
  <c r="T35" i="6" s="1"/>
  <c r="V35" i="6" s="1"/>
  <c r="R6" i="6"/>
  <c r="S6" i="6" s="1"/>
  <c r="T6" i="6" s="1"/>
  <c r="Q13" i="6"/>
  <c r="S13" i="6" s="1"/>
  <c r="T13" i="6" s="1"/>
  <c r="U13" i="6" s="1"/>
  <c r="Q7" i="6"/>
  <c r="S7" i="6" s="1"/>
  <c r="T7" i="6" s="1"/>
  <c r="U7" i="6" s="1"/>
  <c r="Q5" i="6"/>
  <c r="S5" i="6" s="1"/>
  <c r="T5" i="6" s="1"/>
  <c r="R4" i="6"/>
  <c r="S4" i="6" s="1"/>
  <c r="T4" i="6" s="1"/>
  <c r="Q8" i="6"/>
  <c r="S8" i="6" s="1"/>
  <c r="T8" i="6" s="1"/>
  <c r="U8" i="6" s="1"/>
  <c r="Q24" i="6"/>
  <c r="S24" i="6" s="1"/>
  <c r="T24" i="6" s="1"/>
  <c r="Q20" i="6"/>
  <c r="S20" i="6" s="1"/>
  <c r="T20" i="6" s="1"/>
  <c r="R17" i="6"/>
  <c r="S17" i="6" s="1"/>
  <c r="T17" i="6" s="1"/>
  <c r="Q19" i="6"/>
  <c r="S19" i="6" s="1"/>
  <c r="T19" i="6" s="1"/>
  <c r="Q3" i="6"/>
  <c r="S3" i="6" s="1"/>
  <c r="T3" i="6" s="1"/>
  <c r="R18" i="6"/>
  <c r="S18" i="6" s="1"/>
  <c r="T18" i="6" s="1"/>
  <c r="R16" i="6"/>
  <c r="Q50" i="6"/>
  <c r="S50" i="6" s="1"/>
  <c r="T50" i="6" s="1"/>
  <c r="R27" i="6"/>
  <c r="S27" i="6" s="1"/>
  <c r="T27" i="6" s="1"/>
  <c r="Q47" i="6"/>
  <c r="R23" i="6"/>
  <c r="S23" i="6" s="1"/>
  <c r="T23" i="6" s="1"/>
  <c r="Q22" i="6"/>
  <c r="S22" i="6" s="1"/>
  <c r="T22" i="6" s="1"/>
  <c r="R14" i="6"/>
  <c r="R36" i="6"/>
  <c r="Q21" i="6"/>
  <c r="S21" i="6" s="1"/>
  <c r="T21" i="6" s="1"/>
  <c r="Q15" i="6"/>
  <c r="S15" i="6" s="1"/>
  <c r="T15" i="6" s="1"/>
  <c r="R12" i="6"/>
  <c r="S12" i="6" s="1"/>
  <c r="T12" i="6" s="1"/>
  <c r="R33" i="6"/>
  <c r="Q11" i="6"/>
  <c r="S11" i="6" s="1"/>
  <c r="T11" i="6" s="1"/>
  <c r="Q52" i="6"/>
  <c r="R10" i="6"/>
  <c r="S10" i="6" s="1"/>
  <c r="T10" i="6" s="1"/>
  <c r="Q45" i="6"/>
  <c r="Q36" i="6"/>
  <c r="Q26" i="6"/>
  <c r="Q41" i="6"/>
  <c r="S41" i="6" s="1"/>
  <c r="T41" i="6" s="1"/>
  <c r="Q32" i="6"/>
  <c r="Q43" i="6"/>
  <c r="Q40" i="6"/>
  <c r="Q39" i="6"/>
  <c r="R42" i="6"/>
  <c r="S42" i="6" s="1"/>
  <c r="T42" i="6" s="1"/>
  <c r="Q44" i="6"/>
  <c r="Q38" i="6"/>
  <c r="S38" i="6" s="1"/>
  <c r="T38" i="6" s="1"/>
  <c r="Q33" i="6"/>
  <c r="Q28" i="6"/>
  <c r="S28" i="6" s="1"/>
  <c r="T28" i="6" s="1"/>
  <c r="Q37" i="6"/>
  <c r="S37" i="6" s="1"/>
  <c r="T37" i="6" s="1"/>
  <c r="Q46" i="6"/>
  <c r="V134" i="6" l="1"/>
  <c r="U134" i="6"/>
  <c r="V131" i="6"/>
  <c r="U131" i="6"/>
  <c r="S135" i="6"/>
  <c r="T135" i="6" s="1"/>
  <c r="S40" i="6"/>
  <c r="T40" i="6" s="1"/>
  <c r="S32" i="6"/>
  <c r="T32" i="6" s="1"/>
  <c r="V32" i="6" s="1"/>
  <c r="S39" i="6"/>
  <c r="T39" i="6" s="1"/>
  <c r="S75" i="6"/>
  <c r="T75" i="6" s="1"/>
  <c r="S100" i="6"/>
  <c r="T100" i="6" s="1"/>
  <c r="S53" i="6"/>
  <c r="T53" i="6" s="1"/>
  <c r="S56" i="6"/>
  <c r="T56" i="6" s="1"/>
  <c r="S62" i="6"/>
  <c r="T62" i="6" s="1"/>
  <c r="S59" i="6"/>
  <c r="T59" i="6" s="1"/>
  <c r="S63" i="6"/>
  <c r="T63" i="6" s="1"/>
  <c r="V69" i="6"/>
  <c r="U69" i="6"/>
  <c r="S66" i="6"/>
  <c r="T66" i="6" s="1"/>
  <c r="S79" i="6"/>
  <c r="T79" i="6" s="1"/>
  <c r="U74" i="6"/>
  <c r="V74" i="6"/>
  <c r="U83" i="6"/>
  <c r="V83" i="6"/>
  <c r="S85" i="6"/>
  <c r="T85" i="6" s="1"/>
  <c r="U86" i="6"/>
  <c r="V86" i="6"/>
  <c r="S90" i="6"/>
  <c r="T90" i="6" s="1"/>
  <c r="S93" i="6"/>
  <c r="T93" i="6" s="1"/>
  <c r="S97" i="6"/>
  <c r="T97" i="6" s="1"/>
  <c r="S102" i="6"/>
  <c r="T102" i="6" s="1"/>
  <c r="S98" i="6"/>
  <c r="T98" i="6" s="1"/>
  <c r="S104" i="6"/>
  <c r="T104" i="6" s="1"/>
  <c r="S107" i="6"/>
  <c r="T107" i="6" s="1"/>
  <c r="S108" i="6"/>
  <c r="T108" i="6" s="1"/>
  <c r="S111" i="6"/>
  <c r="T111" i="6" s="1"/>
  <c r="S113" i="6"/>
  <c r="T113" i="6" s="1"/>
  <c r="S115" i="6"/>
  <c r="T115" i="6" s="1"/>
  <c r="S119" i="6"/>
  <c r="T119" i="6" s="1"/>
  <c r="S121" i="6"/>
  <c r="T121" i="6" s="1"/>
  <c r="V124" i="6"/>
  <c r="U124" i="6"/>
  <c r="U34" i="6"/>
  <c r="V34" i="6"/>
  <c r="V126" i="6"/>
  <c r="U126" i="6"/>
  <c r="S128" i="6"/>
  <c r="T128" i="6" s="1"/>
  <c r="S132" i="6"/>
  <c r="T132" i="6" s="1"/>
  <c r="S76" i="6"/>
  <c r="T76" i="6" s="1"/>
  <c r="S101" i="6"/>
  <c r="T101" i="6" s="1"/>
  <c r="S54" i="6"/>
  <c r="T54" i="6" s="1"/>
  <c r="S55" i="6"/>
  <c r="T55" i="6" s="1"/>
  <c r="S60" i="6"/>
  <c r="T60" i="6" s="1"/>
  <c r="U58" i="6"/>
  <c r="V58" i="6"/>
  <c r="S65" i="6"/>
  <c r="T65" i="6" s="1"/>
  <c r="S67" i="6"/>
  <c r="T67" i="6" s="1"/>
  <c r="S68" i="6"/>
  <c r="T68" i="6" s="1"/>
  <c r="S78" i="6"/>
  <c r="T78" i="6" s="1"/>
  <c r="U80" i="6"/>
  <c r="V80" i="6"/>
  <c r="S82" i="6"/>
  <c r="T82" i="6" s="1"/>
  <c r="U84" i="6"/>
  <c r="V84" i="6"/>
  <c r="S87" i="6"/>
  <c r="T87" i="6" s="1"/>
  <c r="S92" i="6"/>
  <c r="T92" i="6" s="1"/>
  <c r="S72" i="6"/>
  <c r="T72" i="6" s="1"/>
  <c r="S96" i="6"/>
  <c r="T96" i="6" s="1"/>
  <c r="S99" i="6"/>
  <c r="T99" i="6" s="1"/>
  <c r="S106" i="6"/>
  <c r="T106" i="6" s="1"/>
  <c r="U105" i="6"/>
  <c r="V105" i="6"/>
  <c r="S109" i="6"/>
  <c r="T109" i="6" s="1"/>
  <c r="V110" i="6"/>
  <c r="U110" i="6"/>
  <c r="S112" i="6"/>
  <c r="T112" i="6" s="1"/>
  <c r="S114" i="6"/>
  <c r="T114" i="6" s="1"/>
  <c r="S117" i="6"/>
  <c r="T117" i="6" s="1"/>
  <c r="S120" i="6"/>
  <c r="T120" i="6" s="1"/>
  <c r="S123" i="6"/>
  <c r="T123" i="6" s="1"/>
  <c r="S122" i="6"/>
  <c r="T122" i="6" s="1"/>
  <c r="S91" i="6"/>
  <c r="T91" i="6" s="1"/>
  <c r="V129" i="6"/>
  <c r="U129" i="6"/>
  <c r="V130" i="6"/>
  <c r="U130" i="6"/>
  <c r="V133" i="6"/>
  <c r="U133" i="6"/>
  <c r="S43" i="6"/>
  <c r="T43" i="6" s="1"/>
  <c r="U43" i="6" s="1"/>
  <c r="S46" i="6"/>
  <c r="T46" i="6" s="1"/>
  <c r="V46" i="6" s="1"/>
  <c r="S47" i="6"/>
  <c r="T47" i="6" s="1"/>
  <c r="V47" i="6" s="1"/>
  <c r="S26" i="6"/>
  <c r="T26" i="6" s="1"/>
  <c r="V26" i="6" s="1"/>
  <c r="S44" i="6"/>
  <c r="T44" i="6" s="1"/>
  <c r="U44" i="6" s="1"/>
  <c r="S52" i="6"/>
  <c r="T52" i="6" s="1"/>
  <c r="V52" i="6" s="1"/>
  <c r="V7" i="6"/>
  <c r="N7" i="6" s="1"/>
  <c r="O7" i="6" s="1"/>
  <c r="V8" i="6"/>
  <c r="N8" i="6" s="1"/>
  <c r="O8" i="6" s="1"/>
  <c r="S45" i="6"/>
  <c r="T45" i="6" s="1"/>
  <c r="V45" i="6" s="1"/>
  <c r="V51" i="6"/>
  <c r="U51" i="6"/>
  <c r="V13" i="6"/>
  <c r="N13" i="6" s="1"/>
  <c r="P13" i="6" s="1"/>
  <c r="U48" i="6"/>
  <c r="N48" i="6" s="1"/>
  <c r="P48" i="6" s="1"/>
  <c r="U2" i="6"/>
  <c r="N2" i="6" s="1"/>
  <c r="O2" i="6" s="1"/>
  <c r="U6" i="6"/>
  <c r="V6" i="6"/>
  <c r="V49" i="6"/>
  <c r="N49" i="6" s="1"/>
  <c r="S33" i="6"/>
  <c r="T33" i="6" s="1"/>
  <c r="V33" i="6" s="1"/>
  <c r="S36" i="6"/>
  <c r="T36" i="6" s="1"/>
  <c r="V36" i="6" s="1"/>
  <c r="U35" i="6"/>
  <c r="N35" i="6" s="1"/>
  <c r="O35" i="6" s="1"/>
  <c r="U30" i="6"/>
  <c r="N30" i="6" s="1"/>
  <c r="O30" i="6" s="1"/>
  <c r="U31" i="6"/>
  <c r="N31" i="6" s="1"/>
  <c r="U18" i="6"/>
  <c r="V18" i="6"/>
  <c r="U17" i="6"/>
  <c r="V17" i="6"/>
  <c r="V10" i="6"/>
  <c r="U10" i="6"/>
  <c r="U23" i="6"/>
  <c r="V23" i="6"/>
  <c r="U27" i="6"/>
  <c r="V27" i="6"/>
  <c r="U12" i="6"/>
  <c r="V12" i="6"/>
  <c r="V15" i="6"/>
  <c r="U15" i="6"/>
  <c r="V21" i="6"/>
  <c r="U21" i="6"/>
  <c r="S14" i="6"/>
  <c r="T14" i="6" s="1"/>
  <c r="V22" i="6"/>
  <c r="U22" i="6"/>
  <c r="V50" i="6"/>
  <c r="U50" i="6"/>
  <c r="S16" i="6"/>
  <c r="T16" i="6" s="1"/>
  <c r="V4" i="6"/>
  <c r="U4" i="6"/>
  <c r="V5" i="6"/>
  <c r="U5" i="6"/>
  <c r="V3" i="6"/>
  <c r="U3" i="6"/>
  <c r="V19" i="6"/>
  <c r="U19" i="6"/>
  <c r="V20" i="6"/>
  <c r="U20" i="6"/>
  <c r="U11" i="6"/>
  <c r="V11" i="6"/>
  <c r="U24" i="6"/>
  <c r="V24" i="6"/>
  <c r="V42" i="6"/>
  <c r="U42" i="6"/>
  <c r="V39" i="6"/>
  <c r="U39" i="6"/>
  <c r="V41" i="6"/>
  <c r="U41" i="6"/>
  <c r="U32" i="6"/>
  <c r="U40" i="6"/>
  <c r="V40" i="6"/>
  <c r="V29" i="6"/>
  <c r="U29" i="6"/>
  <c r="U37" i="6"/>
  <c r="V37" i="6"/>
  <c r="U38" i="6"/>
  <c r="V38" i="6"/>
  <c r="V28" i="6"/>
  <c r="U28" i="6"/>
  <c r="N131" i="6" l="1"/>
  <c r="N134" i="6"/>
  <c r="O134" i="6" s="1"/>
  <c r="P131" i="6"/>
  <c r="O131" i="6"/>
  <c r="U135" i="6"/>
  <c r="V135" i="6"/>
  <c r="N133" i="6"/>
  <c r="P133" i="6" s="1"/>
  <c r="N130" i="6"/>
  <c r="O130" i="6" s="1"/>
  <c r="O133" i="6"/>
  <c r="U122" i="6"/>
  <c r="V122" i="6"/>
  <c r="V120" i="6"/>
  <c r="U120" i="6"/>
  <c r="U114" i="6"/>
  <c r="V114" i="6"/>
  <c r="V99" i="6"/>
  <c r="U99" i="6"/>
  <c r="U72" i="6"/>
  <c r="V72" i="6"/>
  <c r="V87" i="6"/>
  <c r="U87" i="6"/>
  <c r="U68" i="6"/>
  <c r="V68" i="6"/>
  <c r="N129" i="6"/>
  <c r="N110" i="6"/>
  <c r="N105" i="6"/>
  <c r="N84" i="6"/>
  <c r="N80" i="6"/>
  <c r="N58" i="6"/>
  <c r="N126" i="6"/>
  <c r="N34" i="6"/>
  <c r="N124" i="6"/>
  <c r="N86" i="6"/>
  <c r="N83" i="6"/>
  <c r="N74" i="6"/>
  <c r="N69" i="6"/>
  <c r="V91" i="6"/>
  <c r="U91" i="6"/>
  <c r="U123" i="6"/>
  <c r="V123" i="6"/>
  <c r="V117" i="6"/>
  <c r="U117" i="6"/>
  <c r="V112" i="6"/>
  <c r="U112" i="6"/>
  <c r="V109" i="6"/>
  <c r="U109" i="6"/>
  <c r="U106" i="6"/>
  <c r="V106" i="6"/>
  <c r="V96" i="6"/>
  <c r="U96" i="6"/>
  <c r="U92" i="6"/>
  <c r="V92" i="6"/>
  <c r="U82" i="6"/>
  <c r="V82" i="6"/>
  <c r="V78" i="6"/>
  <c r="U78" i="6"/>
  <c r="V67" i="6"/>
  <c r="U67" i="6"/>
  <c r="U65" i="6"/>
  <c r="V65" i="6"/>
  <c r="U60" i="6"/>
  <c r="V60" i="6"/>
  <c r="U55" i="6"/>
  <c r="V55" i="6"/>
  <c r="V54" i="6"/>
  <c r="U54" i="6"/>
  <c r="V101" i="6"/>
  <c r="U101" i="6"/>
  <c r="U76" i="6"/>
  <c r="V76" i="6"/>
  <c r="U132" i="6"/>
  <c r="V132" i="6"/>
  <c r="V128" i="6"/>
  <c r="U128" i="6"/>
  <c r="U121" i="6"/>
  <c r="V121" i="6"/>
  <c r="V119" i="6"/>
  <c r="U119" i="6"/>
  <c r="V115" i="6"/>
  <c r="U115" i="6"/>
  <c r="U113" i="6"/>
  <c r="V113" i="6"/>
  <c r="V111" i="6"/>
  <c r="U111" i="6"/>
  <c r="U108" i="6"/>
  <c r="V108" i="6"/>
  <c r="U107" i="6"/>
  <c r="V107" i="6"/>
  <c r="U104" i="6"/>
  <c r="V104" i="6"/>
  <c r="U98" i="6"/>
  <c r="V98" i="6"/>
  <c r="V102" i="6"/>
  <c r="U102" i="6"/>
  <c r="V97" i="6"/>
  <c r="U97" i="6"/>
  <c r="U93" i="6"/>
  <c r="V93" i="6"/>
  <c r="V90" i="6"/>
  <c r="U90" i="6"/>
  <c r="U85" i="6"/>
  <c r="V85" i="6"/>
  <c r="U79" i="6"/>
  <c r="V79" i="6"/>
  <c r="U66" i="6"/>
  <c r="V66" i="6"/>
  <c r="V63" i="6"/>
  <c r="U63" i="6"/>
  <c r="U59" i="6"/>
  <c r="V59" i="6"/>
  <c r="U62" i="6"/>
  <c r="V62" i="6"/>
  <c r="V56" i="6"/>
  <c r="U56" i="6"/>
  <c r="V53" i="6"/>
  <c r="U53" i="6"/>
  <c r="V100" i="6"/>
  <c r="U100" i="6"/>
  <c r="V75" i="6"/>
  <c r="U75" i="6"/>
  <c r="U46" i="6"/>
  <c r="N46" i="6" s="1"/>
  <c r="U47" i="6"/>
  <c r="N47" i="6" s="1"/>
  <c r="O47" i="6" s="1"/>
  <c r="V43" i="6"/>
  <c r="N43" i="6" s="1"/>
  <c r="V44" i="6"/>
  <c r="N44" i="6" s="1"/>
  <c r="O44" i="6" s="1"/>
  <c r="U26" i="6"/>
  <c r="N26" i="6" s="1"/>
  <c r="O26" i="6" s="1"/>
  <c r="U45" i="6"/>
  <c r="N45" i="6" s="1"/>
  <c r="O45" i="6" s="1"/>
  <c r="U52" i="6"/>
  <c r="N52" i="6" s="1"/>
  <c r="N21" i="6"/>
  <c r="P21" i="6" s="1"/>
  <c r="N12" i="6"/>
  <c r="P12" i="6" s="1"/>
  <c r="N51" i="6"/>
  <c r="P51" i="6" s="1"/>
  <c r="N28" i="6"/>
  <c r="O28" i="6" s="1"/>
  <c r="N42" i="6"/>
  <c r="P42" i="6" s="1"/>
  <c r="N15" i="6"/>
  <c r="P15" i="6" s="1"/>
  <c r="N10" i="6"/>
  <c r="P10" i="6" s="1"/>
  <c r="N5" i="6"/>
  <c r="O5" i="6" s="1"/>
  <c r="N20" i="6"/>
  <c r="O20" i="6" s="1"/>
  <c r="P2" i="6"/>
  <c r="N4" i="6"/>
  <c r="P4" i="6" s="1"/>
  <c r="O13" i="6"/>
  <c r="U36" i="6"/>
  <c r="N36" i="6" s="1"/>
  <c r="N23" i="6"/>
  <c r="P23" i="6" s="1"/>
  <c r="N50" i="6"/>
  <c r="O50" i="6" s="1"/>
  <c r="P30" i="6"/>
  <c r="P7" i="6"/>
  <c r="P8" i="6"/>
  <c r="O48" i="6"/>
  <c r="P35" i="6"/>
  <c r="N41" i="6"/>
  <c r="O41" i="6" s="1"/>
  <c r="N3" i="6"/>
  <c r="P3" i="6" s="1"/>
  <c r="O49" i="6"/>
  <c r="P49" i="6"/>
  <c r="U33" i="6"/>
  <c r="N33" i="6" s="1"/>
  <c r="P33" i="6" s="1"/>
  <c r="N6" i="6"/>
  <c r="N32" i="6"/>
  <c r="O32" i="6" s="1"/>
  <c r="N19" i="6"/>
  <c r="O19" i="6" s="1"/>
  <c r="N39" i="6"/>
  <c r="O39" i="6" s="1"/>
  <c r="N22" i="6"/>
  <c r="O22" i="6" s="1"/>
  <c r="O31" i="6"/>
  <c r="P31" i="6"/>
  <c r="N38" i="6"/>
  <c r="O38" i="6" s="1"/>
  <c r="N27" i="6"/>
  <c r="P27" i="6" s="1"/>
  <c r="V14" i="6"/>
  <c r="U14" i="6"/>
  <c r="N29" i="6"/>
  <c r="O29" i="6" s="1"/>
  <c r="N24" i="6"/>
  <c r="N11" i="6"/>
  <c r="N17" i="6"/>
  <c r="V16" i="6"/>
  <c r="U16" i="6"/>
  <c r="N18" i="6"/>
  <c r="N40" i="6"/>
  <c r="O40" i="6" s="1"/>
  <c r="N37" i="6"/>
  <c r="P134" i="6" l="1"/>
  <c r="P130" i="6"/>
  <c r="N135" i="6"/>
  <c r="N75" i="6"/>
  <c r="P75" i="6" s="1"/>
  <c r="N100" i="6"/>
  <c r="P100" i="6" s="1"/>
  <c r="N90" i="6"/>
  <c r="O90" i="6" s="1"/>
  <c r="N97" i="6"/>
  <c r="P97" i="6" s="1"/>
  <c r="N102" i="6"/>
  <c r="P102" i="6" s="1"/>
  <c r="N111" i="6"/>
  <c r="O111" i="6" s="1"/>
  <c r="N115" i="6"/>
  <c r="O115" i="6" s="1"/>
  <c r="N119" i="6"/>
  <c r="P119" i="6" s="1"/>
  <c r="N128" i="6"/>
  <c r="O128" i="6" s="1"/>
  <c r="N101" i="6"/>
  <c r="O101" i="6" s="1"/>
  <c r="N54" i="6"/>
  <c r="P54" i="6" s="1"/>
  <c r="N67" i="6"/>
  <c r="P67" i="6" s="1"/>
  <c r="N78" i="6"/>
  <c r="O78" i="6" s="1"/>
  <c r="N96" i="6"/>
  <c r="P96" i="6" s="1"/>
  <c r="N109" i="6"/>
  <c r="O109" i="6" s="1"/>
  <c r="N62" i="6"/>
  <c r="O62" i="6" s="1"/>
  <c r="N59" i="6"/>
  <c r="O59" i="6" s="1"/>
  <c r="N66" i="6"/>
  <c r="P66" i="6" s="1"/>
  <c r="N79" i="6"/>
  <c r="O79" i="6" s="1"/>
  <c r="N85" i="6"/>
  <c r="O85" i="6" s="1"/>
  <c r="N98" i="6"/>
  <c r="O98" i="6" s="1"/>
  <c r="N112" i="6"/>
  <c r="P112" i="6" s="1"/>
  <c r="N117" i="6"/>
  <c r="O117" i="6" s="1"/>
  <c r="N91" i="6"/>
  <c r="P91" i="6" s="1"/>
  <c r="N68" i="6"/>
  <c r="O68" i="6" s="1"/>
  <c r="N72" i="6"/>
  <c r="O72" i="6" s="1"/>
  <c r="N114" i="6"/>
  <c r="P114" i="6" s="1"/>
  <c r="N122" i="6"/>
  <c r="O122" i="6" s="1"/>
  <c r="P59" i="6"/>
  <c r="N93" i="6"/>
  <c r="N104" i="6"/>
  <c r="N107" i="6"/>
  <c r="N108" i="6"/>
  <c r="N113" i="6"/>
  <c r="N121" i="6"/>
  <c r="N132" i="6"/>
  <c r="N76" i="6"/>
  <c r="N55" i="6"/>
  <c r="N60" i="6"/>
  <c r="N65" i="6"/>
  <c r="N82" i="6"/>
  <c r="N92" i="6"/>
  <c r="N106" i="6"/>
  <c r="N123" i="6"/>
  <c r="P74" i="6"/>
  <c r="O74" i="6"/>
  <c r="P86" i="6"/>
  <c r="O86" i="6"/>
  <c r="P34" i="6"/>
  <c r="O34" i="6"/>
  <c r="O58" i="6"/>
  <c r="P58" i="6"/>
  <c r="O84" i="6"/>
  <c r="P84" i="6"/>
  <c r="P110" i="6"/>
  <c r="O110" i="6"/>
  <c r="N87" i="6"/>
  <c r="N99" i="6"/>
  <c r="N120" i="6"/>
  <c r="O75" i="6"/>
  <c r="O100" i="6"/>
  <c r="N53" i="6"/>
  <c r="N56" i="6"/>
  <c r="N63" i="6"/>
  <c r="P90" i="6"/>
  <c r="O97" i="6"/>
  <c r="O102" i="6"/>
  <c r="P115" i="6"/>
  <c r="P128" i="6"/>
  <c r="O54" i="6"/>
  <c r="P78" i="6"/>
  <c r="O96" i="6"/>
  <c r="P109" i="6"/>
  <c r="P117" i="6"/>
  <c r="O69" i="6"/>
  <c r="P69" i="6"/>
  <c r="O83" i="6"/>
  <c r="P83" i="6"/>
  <c r="O124" i="6"/>
  <c r="P124" i="6"/>
  <c r="O126" i="6"/>
  <c r="P126" i="6"/>
  <c r="P80" i="6"/>
  <c r="O80" i="6"/>
  <c r="O105" i="6"/>
  <c r="P105" i="6"/>
  <c r="O129" i="6"/>
  <c r="P129" i="6"/>
  <c r="P68" i="6"/>
  <c r="O114" i="6"/>
  <c r="P47" i="6"/>
  <c r="O42" i="6"/>
  <c r="O23" i="6"/>
  <c r="O12" i="6"/>
  <c r="O51" i="6"/>
  <c r="P5" i="6"/>
  <c r="O21" i="6"/>
  <c r="P28" i="6"/>
  <c r="O4" i="6"/>
  <c r="O15" i="6"/>
  <c r="O10" i="6"/>
  <c r="P44" i="6"/>
  <c r="P41" i="6"/>
  <c r="P20" i="6"/>
  <c r="O3" i="6"/>
  <c r="O36" i="6"/>
  <c r="P36" i="6"/>
  <c r="P50" i="6"/>
  <c r="P32" i="6"/>
  <c r="P39" i="6"/>
  <c r="O33" i="6"/>
  <c r="P38" i="6"/>
  <c r="P22" i="6"/>
  <c r="P19" i="6"/>
  <c r="O27" i="6"/>
  <c r="P45" i="6"/>
  <c r="O6" i="6"/>
  <c r="P6" i="6"/>
  <c r="N14" i="6"/>
  <c r="P14" i="6" s="1"/>
  <c r="P26" i="6"/>
  <c r="P40" i="6"/>
  <c r="O52" i="6"/>
  <c r="P52" i="6"/>
  <c r="O17" i="6"/>
  <c r="P17" i="6"/>
  <c r="O11" i="6"/>
  <c r="P11" i="6"/>
  <c r="O24" i="6"/>
  <c r="P24" i="6"/>
  <c r="P29" i="6"/>
  <c r="P18" i="6"/>
  <c r="O18" i="6"/>
  <c r="N16" i="6"/>
  <c r="P43" i="6"/>
  <c r="O43" i="6"/>
  <c r="O37" i="6"/>
  <c r="P37" i="6"/>
  <c r="O46" i="6"/>
  <c r="P46" i="6"/>
  <c r="P98" i="6" l="1"/>
  <c r="P79" i="6"/>
  <c r="P122" i="6"/>
  <c r="P72" i="6"/>
  <c r="O91" i="6"/>
  <c r="P101" i="6"/>
  <c r="O119" i="6"/>
  <c r="O135" i="6"/>
  <c r="P135" i="6"/>
  <c r="O112" i="6"/>
  <c r="O67" i="6"/>
  <c r="P111" i="6"/>
  <c r="O66" i="6"/>
  <c r="P62" i="6"/>
  <c r="P85" i="6"/>
  <c r="P56" i="6"/>
  <c r="O56" i="6"/>
  <c r="P120" i="6"/>
  <c r="O120" i="6"/>
  <c r="P87" i="6"/>
  <c r="O87" i="6"/>
  <c r="O106" i="6"/>
  <c r="P106" i="6"/>
  <c r="O82" i="6"/>
  <c r="P82" i="6"/>
  <c r="O60" i="6"/>
  <c r="P60" i="6"/>
  <c r="O76" i="6"/>
  <c r="P76" i="6"/>
  <c r="O121" i="6"/>
  <c r="P121" i="6"/>
  <c r="O108" i="6"/>
  <c r="P108" i="6"/>
  <c r="O104" i="6"/>
  <c r="P104" i="6"/>
  <c r="O63" i="6"/>
  <c r="P63" i="6"/>
  <c r="P53" i="6"/>
  <c r="O53" i="6"/>
  <c r="O99" i="6"/>
  <c r="P99" i="6"/>
  <c r="P123" i="6"/>
  <c r="O123" i="6"/>
  <c r="O92" i="6"/>
  <c r="P92" i="6"/>
  <c r="O65" i="6"/>
  <c r="P65" i="6"/>
  <c r="P55" i="6"/>
  <c r="O55" i="6"/>
  <c r="O132" i="6"/>
  <c r="P132" i="6"/>
  <c r="O113" i="6"/>
  <c r="P113" i="6"/>
  <c r="O107" i="6"/>
  <c r="P107" i="6"/>
  <c r="O93" i="6"/>
  <c r="P93" i="6"/>
  <c r="O14" i="6"/>
  <c r="O16" i="6"/>
  <c r="P16" i="6"/>
  <c r="G33" i="6"/>
  <c r="D48" i="6" l="1"/>
  <c r="I48" i="6"/>
  <c r="G48" i="6"/>
  <c r="D39" i="6" l="1"/>
  <c r="G39" i="6"/>
  <c r="I39" i="6"/>
  <c r="G2" i="6" l="1"/>
  <c r="G3" i="6"/>
  <c r="G4" i="6"/>
  <c r="G5" i="6"/>
  <c r="G6" i="6"/>
  <c r="G7" i="6"/>
  <c r="G8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6" i="6"/>
  <c r="G27" i="6"/>
  <c r="G28" i="6"/>
  <c r="G29" i="6"/>
  <c r="G30" i="6"/>
  <c r="G31" i="6"/>
  <c r="G32" i="6"/>
  <c r="G35" i="6"/>
  <c r="G36" i="6"/>
  <c r="G37" i="6"/>
  <c r="G38" i="6"/>
  <c r="G40" i="6"/>
  <c r="G41" i="6"/>
  <c r="G42" i="6"/>
  <c r="G43" i="6"/>
  <c r="G44" i="6"/>
  <c r="G45" i="6"/>
  <c r="G46" i="6"/>
  <c r="G47" i="6"/>
  <c r="G51" i="6"/>
  <c r="G49" i="6"/>
  <c r="G52" i="6"/>
  <c r="I52" i="6"/>
  <c r="D49" i="6"/>
  <c r="I49" i="6"/>
  <c r="D23" i="6" l="1"/>
  <c r="I23" i="6"/>
  <c r="D51" i="6"/>
  <c r="I51" i="6"/>
  <c r="J23" i="6" l="1"/>
  <c r="D11" i="5" a="1"/>
  <c r="D11" i="5" s="1"/>
  <c r="D46" i="6" l="1"/>
  <c r="I46" i="6"/>
  <c r="I11" i="6"/>
  <c r="D11" i="6"/>
  <c r="D22" i="5" a="1"/>
  <c r="D22" i="5" s="1"/>
  <c r="J11" i="6" l="1"/>
  <c r="D24" i="6"/>
  <c r="I24" i="6"/>
  <c r="D18" i="5" a="1"/>
  <c r="D18" i="5" s="1"/>
  <c r="D47" i="6"/>
  <c r="I47" i="6"/>
  <c r="J24" i="6" l="1"/>
  <c r="I40" i="6"/>
  <c r="D40" i="6"/>
  <c r="I42" i="6" l="1"/>
  <c r="D42" i="6"/>
  <c r="I41" i="6"/>
  <c r="D41" i="6"/>
  <c r="I22" i="6"/>
  <c r="D22" i="6"/>
  <c r="D5" i="5" a="1"/>
  <c r="D5" i="5" s="1"/>
  <c r="I21" i="6"/>
  <c r="D21" i="6"/>
  <c r="D6" i="5" a="1"/>
  <c r="D6" i="5" s="1"/>
  <c r="J22" i="6" l="1"/>
  <c r="J21" i="6"/>
  <c r="I43" i="6"/>
  <c r="D43" i="6"/>
  <c r="I45" i="6"/>
  <c r="D45" i="6"/>
  <c r="I44" i="6"/>
  <c r="D44" i="6"/>
  <c r="I20" i="6"/>
  <c r="D20" i="6"/>
  <c r="I19" i="6"/>
  <c r="D19" i="6"/>
  <c r="D16" i="5" a="1"/>
  <c r="D16" i="5" s="1"/>
  <c r="D19" i="5" a="1"/>
  <c r="D19" i="5" s="1"/>
  <c r="D8" i="5" a="1"/>
  <c r="D8" i="5" s="1"/>
  <c r="I18" i="6"/>
  <c r="D18" i="6"/>
  <c r="J19" i="6" l="1"/>
  <c r="J20" i="6"/>
  <c r="J18" i="6"/>
  <c r="D4" i="5" a="1"/>
  <c r="D4" i="5" s="1"/>
  <c r="D9" i="5" a="1"/>
  <c r="D9" i="5" s="1"/>
  <c r="D12" i="5" a="1"/>
  <c r="D12" i="5" s="1"/>
  <c r="D13" i="5" a="1"/>
  <c r="D13" i="5" s="1"/>
  <c r="D17" i="5" a="1"/>
  <c r="D17" i="5" s="1"/>
  <c r="D20" i="5" a="1"/>
  <c r="D20" i="5" s="1"/>
  <c r="D23" i="5" a="1"/>
  <c r="D23" i="5" s="1"/>
  <c r="D10" i="5" a="1"/>
  <c r="D10" i="5" s="1"/>
  <c r="D7" i="5" a="1"/>
  <c r="D7" i="5" s="1"/>
  <c r="D14" i="5" a="1"/>
  <c r="D14" i="5" s="1"/>
  <c r="D2" i="5" a="1"/>
  <c r="D2" i="5" s="1"/>
  <c r="D21" i="5" a="1"/>
  <c r="D21" i="5" s="1"/>
  <c r="D15" i="5" a="1"/>
  <c r="D15" i="5" s="1"/>
  <c r="D3" i="5" a="1"/>
  <c r="D3" i="5" s="1"/>
  <c r="G4" i="12"/>
  <c r="G5" i="12"/>
  <c r="G6" i="12"/>
  <c r="G7" i="12"/>
  <c r="G8" i="12"/>
  <c r="G9" i="12"/>
  <c r="G10" i="12"/>
  <c r="G11" i="12"/>
  <c r="G12" i="12"/>
  <c r="G13" i="12"/>
  <c r="G14" i="12"/>
  <c r="G15" i="12"/>
  <c r="G3" i="12"/>
  <c r="I3" i="12" s="1"/>
  <c r="D31" i="13" l="1"/>
  <c r="A11" i="13" a="1"/>
  <c r="A11" i="13" s="1"/>
  <c r="F11" i="13" s="1"/>
  <c r="D16" i="6" l="1"/>
  <c r="I16" i="6"/>
  <c r="D15" i="6"/>
  <c r="I15" i="6"/>
  <c r="D17" i="6"/>
  <c r="I17" i="6"/>
  <c r="D14" i="6"/>
  <c r="I14" i="6"/>
  <c r="D13" i="6"/>
  <c r="I13" i="6"/>
  <c r="D12" i="6"/>
  <c r="I12" i="6"/>
  <c r="D10" i="6"/>
  <c r="I10" i="6"/>
  <c r="A8" i="13" a="1"/>
  <c r="A8" i="13" s="1"/>
  <c r="A9" i="13" a="1"/>
  <c r="A9" i="13" s="1"/>
  <c r="A10" i="13" a="1"/>
  <c r="A10" i="13" s="1"/>
  <c r="F10" i="13" s="1"/>
  <c r="A12" i="13" a="1"/>
  <c r="A12" i="13" s="1"/>
  <c r="F12" i="13" s="1"/>
  <c r="A2" i="13" a="1"/>
  <c r="A2" i="13" s="1"/>
  <c r="F2" i="13" s="1"/>
  <c r="A7" i="13" a="1"/>
  <c r="A7" i="13" s="1"/>
  <c r="A3" i="13" a="1"/>
  <c r="A3" i="13" s="1"/>
  <c r="F3" i="13" s="1"/>
  <c r="A4" i="13" a="1"/>
  <c r="A4" i="13" s="1"/>
  <c r="F4" i="13" s="1"/>
  <c r="A5" i="13" a="1"/>
  <c r="A5" i="13" s="1"/>
  <c r="F5" i="13" s="1"/>
  <c r="A6" i="13" a="1"/>
  <c r="A6" i="13" s="1"/>
  <c r="F6" i="13" s="1"/>
  <c r="D28" i="13"/>
  <c r="D29" i="13"/>
  <c r="J17" i="6" l="1"/>
  <c r="J13" i="6"/>
  <c r="J15" i="6"/>
  <c r="J14" i="6"/>
  <c r="J12" i="6"/>
  <c r="J16" i="6"/>
  <c r="J10" i="6"/>
  <c r="F9" i="13"/>
  <c r="F7" i="13"/>
  <c r="F8" i="13"/>
  <c r="I3" i="6" l="1"/>
  <c r="I4" i="6"/>
  <c r="I5" i="6"/>
  <c r="I6" i="6"/>
  <c r="I7" i="6"/>
  <c r="I8" i="6"/>
  <c r="I26" i="6"/>
  <c r="I27" i="6"/>
  <c r="I28" i="6"/>
  <c r="I29" i="6"/>
  <c r="I30" i="6"/>
  <c r="I31" i="6"/>
  <c r="I32" i="6"/>
  <c r="I33" i="6"/>
  <c r="I35" i="6"/>
  <c r="I36" i="6"/>
  <c r="I37" i="6"/>
  <c r="I38" i="6"/>
  <c r="I2" i="6"/>
  <c r="D8" i="6" l="1"/>
  <c r="J8" i="6" l="1"/>
  <c r="D38" i="6" l="1"/>
  <c r="D5" i="6" l="1"/>
  <c r="D4" i="6"/>
  <c r="D3" i="6"/>
  <c r="D6" i="6"/>
  <c r="D7" i="6"/>
  <c r="D26" i="6"/>
  <c r="D27" i="6"/>
  <c r="D28" i="6"/>
  <c r="D29" i="6"/>
  <c r="D30" i="6"/>
  <c r="D31" i="6"/>
  <c r="D32" i="6"/>
  <c r="D33" i="6"/>
  <c r="D35" i="6"/>
  <c r="D36" i="6"/>
  <c r="D37" i="6"/>
  <c r="D2" i="6"/>
  <c r="C22" i="8"/>
  <c r="J7" i="6" l="1"/>
  <c r="J37" i="6"/>
  <c r="J6" i="6"/>
  <c r="J1" i="13" l="1"/>
  <c r="K3" i="12"/>
  <c r="J3" i="12"/>
  <c r="B4" i="12"/>
  <c r="D4" i="12" s="1"/>
  <c r="C3" i="12"/>
  <c r="J93" i="6" l="1"/>
  <c r="J72" i="6"/>
  <c r="J90" i="6"/>
  <c r="J87" i="6"/>
  <c r="J86" i="6"/>
  <c r="J83" i="6"/>
  <c r="J82" i="6"/>
  <c r="J74" i="6"/>
  <c r="J78" i="6"/>
  <c r="J66" i="6"/>
  <c r="J46" i="6"/>
  <c r="J44" i="6"/>
  <c r="J43" i="6"/>
  <c r="J45" i="6"/>
  <c r="J31" i="6"/>
  <c r="J32" i="6"/>
  <c r="J26" i="6"/>
  <c r="J33" i="6"/>
  <c r="C2" i="8"/>
  <c r="J2" i="13"/>
  <c r="J3" i="13" s="1"/>
  <c r="P2" i="12" s="1"/>
  <c r="E4" i="12"/>
  <c r="I4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J4" i="13" l="1"/>
  <c r="J7" i="13"/>
  <c r="J4" i="12"/>
  <c r="J134" i="6" s="1"/>
  <c r="K4" i="12"/>
  <c r="E5" i="12"/>
  <c r="I5" i="12" s="1"/>
  <c r="C4" i="12"/>
  <c r="D5" i="12"/>
  <c r="D22" i="8"/>
  <c r="H22" i="8"/>
  <c r="H2" i="8"/>
  <c r="D2" i="8"/>
  <c r="J115" i="6" l="1"/>
  <c r="J112" i="6"/>
  <c r="J109" i="6"/>
  <c r="J104" i="6"/>
  <c r="J96" i="6"/>
  <c r="J63" i="6"/>
  <c r="J59" i="6"/>
  <c r="J62" i="6"/>
  <c r="J52" i="6"/>
  <c r="J51" i="6"/>
  <c r="J40" i="6"/>
  <c r="J35" i="6"/>
  <c r="C3" i="8"/>
  <c r="C5" i="8"/>
  <c r="D6" i="12"/>
  <c r="C5" i="12"/>
  <c r="E6" i="12"/>
  <c r="I6" i="12" s="1"/>
  <c r="K5" i="12"/>
  <c r="J5" i="12"/>
  <c r="E22" i="8"/>
  <c r="F22" i="8" s="1"/>
  <c r="G22" i="8" s="1"/>
  <c r="E2" i="8"/>
  <c r="F2" i="8" s="1"/>
  <c r="G2" i="8" s="1"/>
  <c r="J133" i="6" l="1"/>
  <c r="J130" i="6"/>
  <c r="J129" i="6"/>
  <c r="J124" i="6"/>
  <c r="J56" i="6"/>
  <c r="J79" i="6"/>
  <c r="J67" i="6"/>
  <c r="J69" i="6"/>
  <c r="J49" i="6"/>
  <c r="J30" i="6"/>
  <c r="C6" i="8"/>
  <c r="C4" i="8"/>
  <c r="J6" i="12"/>
  <c r="J135" i="6" s="1"/>
  <c r="E7" i="12"/>
  <c r="I7" i="12" s="1"/>
  <c r="K6" i="12"/>
  <c r="D7" i="12"/>
  <c r="C6" i="12"/>
  <c r="D3" i="8"/>
  <c r="D5" i="8"/>
  <c r="H5" i="8"/>
  <c r="H3" i="8"/>
  <c r="J113" i="6" l="1"/>
  <c r="J110" i="6"/>
  <c r="J106" i="6"/>
  <c r="J98" i="6"/>
  <c r="J97" i="6"/>
  <c r="J84" i="6"/>
  <c r="J53" i="6"/>
  <c r="J68" i="6"/>
  <c r="J47" i="6"/>
  <c r="J41" i="6"/>
  <c r="J38" i="6"/>
  <c r="C7" i="8"/>
  <c r="E8" i="12"/>
  <c r="I8" i="12" s="1"/>
  <c r="K7" i="12"/>
  <c r="J7" i="12"/>
  <c r="D8" i="12"/>
  <c r="C7" i="12"/>
  <c r="E5" i="8"/>
  <c r="F5" i="8" s="1"/>
  <c r="G5" i="8" s="1"/>
  <c r="E3" i="8"/>
  <c r="F3" i="8" s="1"/>
  <c r="G3" i="8" s="1"/>
  <c r="H6" i="8"/>
  <c r="H4" i="8"/>
  <c r="D4" i="8"/>
  <c r="D6" i="8"/>
  <c r="J128" i="6" l="1"/>
  <c r="J126" i="6"/>
  <c r="J120" i="6"/>
  <c r="J119" i="6"/>
  <c r="J117" i="6"/>
  <c r="J114" i="6"/>
  <c r="J111" i="6"/>
  <c r="J108" i="6"/>
  <c r="J107" i="6"/>
  <c r="J105" i="6"/>
  <c r="J95" i="6"/>
  <c r="J65" i="6"/>
  <c r="J60" i="6"/>
  <c r="J55" i="6"/>
  <c r="J54" i="6"/>
  <c r="J48" i="6"/>
  <c r="J42" i="6"/>
  <c r="C8" i="8"/>
  <c r="D9" i="12"/>
  <c r="C8" i="12"/>
  <c r="K8" i="12"/>
  <c r="J8" i="12"/>
  <c r="J92" i="6" s="1"/>
  <c r="E9" i="12"/>
  <c r="I9" i="12" s="1"/>
  <c r="E6" i="8"/>
  <c r="F6" i="8" s="1"/>
  <c r="G6" i="8" s="1"/>
  <c r="E4" i="8"/>
  <c r="F4" i="8" s="1"/>
  <c r="G4" i="8" s="1"/>
  <c r="D7" i="8"/>
  <c r="H7" i="8"/>
  <c r="J122" i="6" l="1"/>
  <c r="J80" i="6"/>
  <c r="J75" i="6"/>
  <c r="J85" i="6"/>
  <c r="J2" i="6"/>
  <c r="J3" i="6"/>
  <c r="J4" i="6"/>
  <c r="C9" i="8"/>
  <c r="J9" i="12"/>
  <c r="K9" i="12"/>
  <c r="E10" i="12"/>
  <c r="C9" i="12"/>
  <c r="D10" i="12"/>
  <c r="E7" i="8"/>
  <c r="F7" i="8" s="1"/>
  <c r="G7" i="8" s="1"/>
  <c r="D8" i="8"/>
  <c r="H8" i="8"/>
  <c r="J116" i="6" l="1"/>
  <c r="J99" i="6"/>
  <c r="J58" i="6"/>
  <c r="J29" i="6"/>
  <c r="J27" i="6"/>
  <c r="J36" i="6"/>
  <c r="J28" i="6"/>
  <c r="J5" i="6"/>
  <c r="K10" i="12"/>
  <c r="I10" i="12"/>
  <c r="J10" i="12" s="1"/>
  <c r="C10" i="8"/>
  <c r="C13" i="8"/>
  <c r="D11" i="12"/>
  <c r="D12" i="8" s="1"/>
  <c r="C10" i="12"/>
  <c r="E11" i="12"/>
  <c r="E8" i="8"/>
  <c r="F8" i="8" s="1"/>
  <c r="G8" i="8" s="1"/>
  <c r="H9" i="8"/>
  <c r="D9" i="8"/>
  <c r="I11" i="12" l="1"/>
  <c r="H12" i="8"/>
  <c r="E12" i="8" s="1"/>
  <c r="F12" i="8" s="1"/>
  <c r="G12" i="8" s="1"/>
  <c r="J123" i="6"/>
  <c r="J121" i="6"/>
  <c r="J100" i="6"/>
  <c r="J102" i="6"/>
  <c r="J76" i="6"/>
  <c r="C11" i="8"/>
  <c r="C14" i="8"/>
  <c r="K11" i="12"/>
  <c r="E12" i="12"/>
  <c r="J11" i="12"/>
  <c r="D12" i="12"/>
  <c r="C11" i="12"/>
  <c r="C12" i="8" s="1"/>
  <c r="D13" i="8"/>
  <c r="D10" i="8"/>
  <c r="H10" i="8"/>
  <c r="H13" i="8"/>
  <c r="E9" i="8"/>
  <c r="F9" i="8" s="1"/>
  <c r="G9" i="8" s="1"/>
  <c r="J101" i="6" l="1"/>
  <c r="J39" i="6"/>
  <c r="I12" i="12"/>
  <c r="J12" i="12" s="1"/>
  <c r="J132" i="6" s="1"/>
  <c r="C15" i="8"/>
  <c r="D13" i="12"/>
  <c r="C12" i="12"/>
  <c r="E13" i="12"/>
  <c r="I13" i="12" s="1"/>
  <c r="K12" i="12"/>
  <c r="E10" i="8"/>
  <c r="F10" i="8" s="1"/>
  <c r="G10" i="8" s="1"/>
  <c r="E13" i="8"/>
  <c r="F13" i="8" s="1"/>
  <c r="G13" i="8" s="1"/>
  <c r="H11" i="8"/>
  <c r="H14" i="8"/>
  <c r="D11" i="8"/>
  <c r="D14" i="8"/>
  <c r="C16" i="8" l="1"/>
  <c r="E14" i="12"/>
  <c r="I14" i="12" s="1"/>
  <c r="J13" i="12"/>
  <c r="K13" i="12"/>
  <c r="D14" i="12"/>
  <c r="C13" i="12"/>
  <c r="E14" i="8"/>
  <c r="F14" i="8" s="1"/>
  <c r="G14" i="8" s="1"/>
  <c r="E11" i="8"/>
  <c r="F11" i="8" s="1"/>
  <c r="G11" i="8" s="1"/>
  <c r="D15" i="8"/>
  <c r="H15" i="8"/>
  <c r="C17" i="8" l="1"/>
  <c r="C14" i="12"/>
  <c r="D15" i="12"/>
  <c r="J14" i="12"/>
  <c r="J131" i="6" s="1"/>
  <c r="E15" i="12"/>
  <c r="I15" i="12" s="1"/>
  <c r="K14" i="12"/>
  <c r="D16" i="8"/>
  <c r="H16" i="8"/>
  <c r="E15" i="8"/>
  <c r="F15" i="8" s="1"/>
  <c r="G15" i="8" s="1"/>
  <c r="C18" i="8" l="1"/>
  <c r="C19" i="8"/>
  <c r="K15" i="12"/>
  <c r="J15" i="12"/>
  <c r="C15" i="12"/>
  <c r="E16" i="8"/>
  <c r="F16" i="8" s="1"/>
  <c r="G16" i="8" s="1"/>
  <c r="D17" i="8"/>
  <c r="H17" i="8"/>
  <c r="C20" i="8" l="1"/>
  <c r="C21" i="8"/>
  <c r="D18" i="8"/>
  <c r="D19" i="8"/>
  <c r="H18" i="8"/>
  <c r="H19" i="8"/>
  <c r="E17" i="8"/>
  <c r="F17" i="8" s="1"/>
  <c r="G17" i="8" s="1"/>
  <c r="D20" i="8" l="1"/>
  <c r="D21" i="8"/>
  <c r="H20" i="8"/>
  <c r="H21" i="8"/>
  <c r="E19" i="8"/>
  <c r="F19" i="8" s="1"/>
  <c r="G19" i="8" s="1"/>
  <c r="E18" i="8"/>
  <c r="F18" i="8" s="1"/>
  <c r="G18" i="8" s="1"/>
  <c r="E21" i="8" l="1"/>
  <c r="F21" i="8" s="1"/>
  <c r="G21" i="8" s="1"/>
  <c r="E20" i="8"/>
  <c r="F20" i="8" s="1"/>
  <c r="G20" i="8" s="1"/>
  <c r="G13" i="5" l="1" a="1"/>
  <c r="G13" i="5" s="1"/>
  <c r="F13" i="5"/>
  <c r="E13" i="5"/>
  <c r="G7" i="5" a="1"/>
  <c r="G7" i="5" s="1"/>
  <c r="F7" i="5"/>
  <c r="E7" i="5"/>
  <c r="G14" i="5" a="1"/>
  <c r="G14" i="5" s="1"/>
  <c r="F14" i="5"/>
  <c r="E14" i="5"/>
  <c r="G11" i="5" a="1"/>
  <c r="G11" i="5" s="1"/>
  <c r="F11" i="5"/>
  <c r="E11" i="5"/>
  <c r="G4" i="5" a="1"/>
  <c r="G4" i="5" s="1"/>
  <c r="F4" i="5"/>
  <c r="E4" i="5"/>
  <c r="G12" i="5" a="1"/>
  <c r="G12" i="5" s="1"/>
  <c r="F12" i="5"/>
  <c r="E12" i="5"/>
  <c r="G3" i="5" a="1"/>
  <c r="G3" i="5" s="1"/>
  <c r="F3" i="5"/>
  <c r="E3" i="5"/>
  <c r="G23" i="5" a="1"/>
  <c r="G23" i="5" s="1"/>
  <c r="F23" i="5"/>
  <c r="E23" i="5"/>
  <c r="G17" i="5" a="1"/>
  <c r="G17" i="5" s="1"/>
  <c r="F17" i="5"/>
  <c r="E17" i="5"/>
  <c r="G20" i="5" a="1"/>
  <c r="G20" i="5" s="1"/>
  <c r="F20" i="5"/>
  <c r="E20" i="5"/>
  <c r="G22" i="5" a="1"/>
  <c r="G22" i="5" s="1"/>
  <c r="F22" i="5"/>
  <c r="E22" i="5"/>
  <c r="G15" i="5" a="1"/>
  <c r="G15" i="5" s="1"/>
  <c r="F15" i="5"/>
  <c r="E15" i="5"/>
  <c r="G9" i="5" a="1"/>
  <c r="G9" i="5" s="1"/>
  <c r="E9" i="5"/>
  <c r="F9" i="5"/>
  <c r="G10" i="5" a="1"/>
  <c r="G10" i="5" s="1"/>
  <c r="F10" i="5"/>
  <c r="E10" i="5"/>
  <c r="G24" i="5" a="1"/>
  <c r="G24" i="5" s="1"/>
  <c r="F24" i="5"/>
  <c r="E24" i="5"/>
  <c r="G16" i="5" a="1"/>
  <c r="G16" i="5" s="1"/>
  <c r="F16" i="5"/>
  <c r="E16" i="5"/>
  <c r="G5" i="5" a="1"/>
  <c r="G5" i="5" s="1"/>
  <c r="F5" i="5"/>
  <c r="E5" i="5"/>
  <c r="G8" i="5" a="1"/>
  <c r="G8" i="5" s="1"/>
  <c r="F8" i="5"/>
  <c r="E8" i="5"/>
  <c r="G6" i="5" a="1"/>
  <c r="G6" i="5" s="1"/>
  <c r="F6" i="5"/>
  <c r="E6" i="5"/>
  <c r="G18" i="5" a="1"/>
  <c r="G18" i="5" s="1"/>
  <c r="F18" i="5"/>
  <c r="E18" i="5"/>
  <c r="F2" i="5"/>
  <c r="E2" i="5"/>
  <c r="G25" i="5" a="1"/>
  <c r="G25" i="5" s="1"/>
  <c r="E25" i="5"/>
  <c r="F25" i="5"/>
  <c r="G28" i="5" a="1"/>
  <c r="G28" i="5" s="1"/>
  <c r="E28" i="5"/>
  <c r="F28" i="5"/>
  <c r="G29" i="5" a="1"/>
  <c r="G29" i="5" s="1"/>
  <c r="F29" i="5"/>
  <c r="E29" i="5"/>
  <c r="G26" i="5" a="1"/>
  <c r="G26" i="5" s="1"/>
  <c r="E26" i="5"/>
  <c r="F26" i="5"/>
  <c r="G27" i="5" a="1"/>
  <c r="G27" i="5" s="1"/>
  <c r="F27" i="5"/>
  <c r="E27" i="5"/>
  <c r="G30" i="5" a="1"/>
  <c r="G30" i="5" s="1"/>
  <c r="E30" i="5"/>
  <c r="F30" i="5"/>
  <c r="G31" i="5" a="1"/>
  <c r="G31" i="5" s="1"/>
  <c r="E31" i="5"/>
  <c r="F31" i="5"/>
  <c r="G32" i="5" a="1"/>
  <c r="G32" i="5" s="1"/>
  <c r="E32" i="5"/>
  <c r="F32" i="5"/>
  <c r="F33" i="5"/>
  <c r="G33" i="5" a="1"/>
  <c r="G33" i="5" s="1"/>
  <c r="E33" i="5"/>
  <c r="G34" i="5" a="1"/>
  <c r="G34" i="5" s="1"/>
  <c r="F34" i="5"/>
  <c r="E34" i="5"/>
  <c r="G35" i="5" a="1"/>
  <c r="G35" i="5" s="1"/>
  <c r="F35" i="5"/>
  <c r="E35" i="5"/>
  <c r="E36" i="5"/>
  <c r="G36" i="5" a="1"/>
  <c r="G36" i="5" s="1"/>
  <c r="F36" i="5"/>
  <c r="G37" i="5" a="1"/>
  <c r="G37" i="5" s="1"/>
  <c r="F37" i="5"/>
  <c r="E37" i="5"/>
  <c r="F38" i="5"/>
  <c r="E38" i="5"/>
  <c r="G38" i="5" a="1"/>
  <c r="G38" i="5" s="1"/>
  <c r="F39" i="5"/>
  <c r="E39" i="5"/>
  <c r="G39" i="5" a="1"/>
  <c r="G39" i="5" s="1"/>
  <c r="G21" i="5" a="1"/>
  <c r="G21" i="5" s="1"/>
  <c r="F21" i="5"/>
  <c r="E21" i="5"/>
  <c r="M5" i="12"/>
  <c r="N5" i="12" s="1"/>
  <c r="M8" i="12"/>
  <c r="O8" i="12" s="1"/>
  <c r="M10" i="12"/>
  <c r="N10" i="12" s="1"/>
  <c r="M9" i="12"/>
  <c r="O9" i="12" s="1"/>
  <c r="M7" i="12"/>
  <c r="N7" i="12" s="1"/>
  <c r="M13" i="12"/>
  <c r="N13" i="12" s="1"/>
  <c r="M11" i="12"/>
  <c r="N11" i="12" s="1"/>
  <c r="M15" i="12"/>
  <c r="O15" i="12" s="1"/>
  <c r="M14" i="12"/>
  <c r="O14" i="12" s="1"/>
  <c r="M6" i="12"/>
  <c r="N6" i="12" s="1"/>
  <c r="M4" i="12"/>
  <c r="N4" i="12" s="1"/>
  <c r="M2" i="12"/>
  <c r="E19" i="5"/>
  <c r="F19" i="5"/>
  <c r="M12" i="12"/>
  <c r="O12" i="12" s="1"/>
  <c r="M3" i="12"/>
  <c r="O3" i="12" s="1"/>
  <c r="N14" i="12" l="1"/>
  <c r="O11" i="12"/>
  <c r="O13" i="12"/>
  <c r="O5" i="12"/>
  <c r="O6" i="12"/>
  <c r="N8" i="12"/>
  <c r="N15" i="12"/>
  <c r="N9" i="12"/>
  <c r="N3" i="12"/>
  <c r="N12" i="12"/>
  <c r="O4" i="12"/>
  <c r="O7" i="12"/>
  <c r="O10" i="12"/>
  <c r="N2" i="12" l="1"/>
  <c r="P3" i="12" l="1"/>
  <c r="Q3" i="12" s="1"/>
  <c r="P8" i="12"/>
  <c r="Q8" i="12" s="1"/>
  <c r="P13" i="12"/>
  <c r="Q13" i="12" s="1"/>
  <c r="P14" i="12"/>
  <c r="Q14" i="12" s="1"/>
  <c r="R13" i="12"/>
  <c r="S13" i="12" s="1"/>
  <c r="P7" i="12"/>
  <c r="Q7" i="12" s="1"/>
  <c r="P11" i="12"/>
  <c r="Q11" i="12" s="1"/>
  <c r="P5" i="12"/>
  <c r="Q5" i="12" s="1"/>
  <c r="R14" i="12"/>
  <c r="S14" i="12" s="1"/>
  <c r="P6" i="12"/>
  <c r="Q6" i="12" s="1"/>
  <c r="R15" i="12"/>
  <c r="S15" i="12" s="1"/>
  <c r="P10" i="12"/>
  <c r="Q10" i="12" s="1"/>
  <c r="R11" i="12"/>
  <c r="S11" i="12" s="1"/>
  <c r="R12" i="12"/>
  <c r="S12" i="12" s="1"/>
  <c r="P9" i="12"/>
  <c r="Q9" i="12" s="1"/>
  <c r="P15" i="12"/>
  <c r="Q15" i="12" s="1"/>
  <c r="P4" i="12"/>
  <c r="Q4" i="12" s="1"/>
  <c r="P12" i="12"/>
  <c r="Q12" i="12" s="1"/>
  <c r="R7" i="12"/>
  <c r="S7" i="12" s="1"/>
  <c r="R10" i="12"/>
  <c r="S10" i="12" s="1"/>
  <c r="R8" i="12"/>
  <c r="S8" i="12" s="1"/>
  <c r="R9" i="12"/>
  <c r="S9" i="12" s="1"/>
  <c r="R4" i="12"/>
  <c r="S4" i="12" s="1"/>
  <c r="R5" i="12"/>
  <c r="S5" i="12" s="1"/>
  <c r="R6" i="12"/>
  <c r="S6" i="12" s="1"/>
  <c r="R3" i="12"/>
  <c r="S3" i="12" s="1"/>
  <c r="G19" i="5" l="1" a="1"/>
  <c r="G19" i="5" s="1"/>
  <c r="G2" i="5" a="1"/>
  <c r="G2" i="5" s="1"/>
  <c r="Q2" i="12" a="1"/>
  <c r="Q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DABA67CD-E965-4AEC-BEE2-ECFC24CC30EB}">
      <text>
        <r>
          <rPr>
            <b/>
            <sz val="9"/>
            <color indexed="81"/>
            <rFont val="Tahoma"/>
            <family val="2"/>
            <charset val="204"/>
          </rPr>
          <t>Administrator:</t>
        </r>
        <r>
          <rPr>
            <sz val="9"/>
            <color indexed="81"/>
            <rFont val="Tahoma"/>
            <family val="2"/>
            <charset val="204"/>
          </rPr>
          <t xml:space="preserve">
Договор № COE-OPS-CMT-0032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Elvira Y. Kachmazova</author>
    <author>Administrator</author>
  </authors>
  <commentList>
    <comment ref="E39" authorId="0" shapeId="0" xr:uid="{9C9F9811-3E2F-460D-8A88-220329D35882}">
      <text>
        <r>
          <rPr>
            <b/>
            <sz val="9"/>
            <color indexed="81"/>
            <rFont val="Tahoma"/>
            <family val="2"/>
            <charset val="204"/>
          </rPr>
          <t>Elvira Y. Kachmazova:</t>
        </r>
        <r>
          <rPr>
            <sz val="9"/>
            <color indexed="81"/>
            <rFont val="Tahoma"/>
            <family val="2"/>
            <charset val="204"/>
          </rPr>
          <t xml:space="preserve">
Около 25 часов в месяц, примерная детализация:
~ 10 часов - морнинг митинги
~ 5 часов - платёжные дни
~ инженерные консультации</t>
        </r>
      </text>
    </comment>
    <comment ref="E98" authorId="1" shapeId="0" xr:uid="{70D59742-C1AC-40B4-AD1E-E6D12A1B7CA0}">
      <text>
        <r>
          <rPr>
            <b/>
            <sz val="9"/>
            <color indexed="81"/>
            <rFont val="Tahoma"/>
            <family val="2"/>
            <charset val="204"/>
          </rPr>
          <t>Administrator:</t>
        </r>
        <r>
          <rPr>
            <sz val="9"/>
            <color indexed="81"/>
            <rFont val="Tahoma"/>
            <family val="2"/>
            <charset val="204"/>
          </rPr>
          <t xml:space="preserve">
Сотрудник ТАКО - оклад 5 000 + почасовая оплата по таймшитам</t>
        </r>
      </text>
    </comment>
    <comment ref="E99" authorId="1" shapeId="0" xr:uid="{EEFA3E39-99E0-4229-BEDE-DBAEA11B52BE}">
      <text>
        <r>
          <rPr>
            <b/>
            <sz val="9"/>
            <color indexed="81"/>
            <rFont val="Tahoma"/>
            <family val="2"/>
            <charset val="204"/>
          </rPr>
          <t>Administrator:</t>
        </r>
        <r>
          <rPr>
            <sz val="9"/>
            <color indexed="81"/>
            <rFont val="Tahoma"/>
            <family val="2"/>
            <charset val="204"/>
          </rPr>
          <t xml:space="preserve">
Сотрудник ТАКО - оклад 10 000 + почасовая оплата по таймшитам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Ilya Kostandi</author>
  </authors>
  <commentList>
    <comment ref="R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Ilya Kostandi:</t>
        </r>
        <r>
          <rPr>
            <sz val="9"/>
            <color indexed="81"/>
            <rFont val="Tahoma"/>
            <family val="2"/>
            <charset val="204"/>
          </rPr>
          <t xml:space="preserve">
Accepted Overhead costs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<sst xmlns="http://schemas.openxmlformats.org/spreadsheetml/2006/main" count="6542" uniqueCount="3949">
  <si>
    <t>Манипуляторы от 24 сентября 2015</t>
  </si>
  <si>
    <t>Грузовые захваты 14 марта 2016</t>
  </si>
  <si>
    <t>Лебедки кабельные 25 августа 2016</t>
  </si>
  <si>
    <t>Без контракта</t>
  </si>
  <si>
    <t>Contracts</t>
  </si>
  <si>
    <t>Learning</t>
  </si>
  <si>
    <t>Vacation</t>
  </si>
  <si>
    <t>Organizational activity</t>
  </si>
  <si>
    <t>Род деятельности</t>
  </si>
  <si>
    <t>Комментарии</t>
  </si>
  <si>
    <t>ЗАО "ЧИП и ДИП"</t>
  </si>
  <si>
    <t>Эл. компоненты</t>
  </si>
  <si>
    <t>ООО "ТАКО Лайн"</t>
  </si>
  <si>
    <t>Мех. обработка</t>
  </si>
  <si>
    <t>ЧПУ</t>
  </si>
  <si>
    <t>Лазерная резка, ЧПУ гибка, покраска</t>
  </si>
  <si>
    <t>ООО "ТОЧНОСТЬ"</t>
  </si>
  <si>
    <t>Метизы</t>
  </si>
  <si>
    <t>Пружины, шайбы, кольца</t>
  </si>
  <si>
    <t>Сбербанк</t>
  </si>
  <si>
    <t>Банк</t>
  </si>
  <si>
    <t>Композитные материалы</t>
  </si>
  <si>
    <t>Петрова Н.Н.</t>
  </si>
  <si>
    <t>Инжиниринг</t>
  </si>
  <si>
    <t>Талдыкин С.Б.</t>
  </si>
  <si>
    <t>Эл. двигатели</t>
  </si>
  <si>
    <t>Импорт электродвигателей и редукторов</t>
  </si>
  <si>
    <t>Панарин А.Н.</t>
  </si>
  <si>
    <t>MOFLON</t>
  </si>
  <si>
    <t>Гидравлика</t>
  </si>
  <si>
    <t>Гидрообразив</t>
  </si>
  <si>
    <t>Печатные платы</t>
  </si>
  <si>
    <t>Покрытие</t>
  </si>
  <si>
    <t>Тефлонирование</t>
  </si>
  <si>
    <t>Формы из МДФ и Алюминия</t>
  </si>
  <si>
    <t>ООО "БОЛТОФ"</t>
  </si>
  <si>
    <t>Нержавеющий крепеж</t>
  </si>
  <si>
    <t>Промышленная фурнитура</t>
  </si>
  <si>
    <t>KIPP</t>
  </si>
  <si>
    <t>ООО "ТД ОПМ"</t>
  </si>
  <si>
    <t>Подшипники</t>
  </si>
  <si>
    <t>РТИ</t>
  </si>
  <si>
    <t>Уплотнения</t>
  </si>
  <si>
    <t>Company name</t>
  </si>
  <si>
    <t>Short name</t>
  </si>
  <si>
    <t>ЧИП и ДИП</t>
  </si>
  <si>
    <t>Вольтмастер</t>
  </si>
  <si>
    <t>ТАКО Лайн</t>
  </si>
  <si>
    <t>АВЕА Технолоджи</t>
  </si>
  <si>
    <t>Металлика-Дизайн</t>
  </si>
  <si>
    <t>ТОЧНОСТЬ</t>
  </si>
  <si>
    <t>Авитон</t>
  </si>
  <si>
    <t>АВИ Солюшнс</t>
  </si>
  <si>
    <t>Пластмассы Петербург</t>
  </si>
  <si>
    <t>Антей-МСК</t>
  </si>
  <si>
    <t>ТД Пластмасс Групп</t>
  </si>
  <si>
    <t>Флагман</t>
  </si>
  <si>
    <t>ИммерСервис</t>
  </si>
  <si>
    <t>Старт-РЛ</t>
  </si>
  <si>
    <t>Микролит</t>
  </si>
  <si>
    <t>Форвард-Комплект</t>
  </si>
  <si>
    <t>ОВМ Технология</t>
  </si>
  <si>
    <t>БОЛТОФ</t>
  </si>
  <si>
    <t>ТД ОПМ</t>
  </si>
  <si>
    <t>Ремкреп.ру</t>
  </si>
  <si>
    <t>ИП ДЕРКСЕН</t>
  </si>
  <si>
    <t>Тетис Про</t>
  </si>
  <si>
    <t>Подшипник Трейд</t>
  </si>
  <si>
    <t>Рост-С</t>
  </si>
  <si>
    <t>Type</t>
  </si>
  <si>
    <t>Types</t>
  </si>
  <si>
    <t>Employee</t>
  </si>
  <si>
    <t>Сергей Н. Зубков</t>
  </si>
  <si>
    <t>Владимир А. Кузнецов</t>
  </si>
  <si>
    <t>Наталья Н. Петрова</t>
  </si>
  <si>
    <t>Александр Е. Рыжов</t>
  </si>
  <si>
    <t>Velobox.ru</t>
  </si>
  <si>
    <t>Велозапчасти и аксессуары</t>
  </si>
  <si>
    <t>ООО "ТД ЗУРОПЛАСТ"</t>
  </si>
  <si>
    <t>Материалы</t>
  </si>
  <si>
    <t>ЗУРОПЛАСТ</t>
  </si>
  <si>
    <t>Листовые пластики</t>
  </si>
  <si>
    <t>Date</t>
  </si>
  <si>
    <t>Salary</t>
  </si>
  <si>
    <t>ИП Чакурян</t>
  </si>
  <si>
    <t>Вакуумная формовка</t>
  </si>
  <si>
    <t>Вакуумная формовка пластиков</t>
  </si>
  <si>
    <t>Доствиста</t>
  </si>
  <si>
    <t>Курьерская служба</t>
  </si>
  <si>
    <t>Доставка, перевозки</t>
  </si>
  <si>
    <t>Зубков С.Н.</t>
  </si>
  <si>
    <t>Сотрудник</t>
  </si>
  <si>
    <t>Кузнецов В.А.</t>
  </si>
  <si>
    <t>Average salary per hour</t>
  </si>
  <si>
    <t>Positions</t>
  </si>
  <si>
    <t>Intern</t>
  </si>
  <si>
    <t>Position</t>
  </si>
  <si>
    <t>Budget Types</t>
  </si>
  <si>
    <t>Main Budget</t>
  </si>
  <si>
    <t>Extra Budget</t>
  </si>
  <si>
    <t>Risk Budget</t>
  </si>
  <si>
    <t>№</t>
  </si>
  <si>
    <t>Валтар Магнит</t>
  </si>
  <si>
    <t>Производство и продажа магнитов</t>
  </si>
  <si>
    <t>ОБИ</t>
  </si>
  <si>
    <t>Инструмент</t>
  </si>
  <si>
    <t>Строительный гипермаркет</t>
  </si>
  <si>
    <t>КСЭ</t>
  </si>
  <si>
    <t>ООО "АВТОРУСЬ РИТЕЙЛ"</t>
  </si>
  <si>
    <t>Авторусь</t>
  </si>
  <si>
    <t>Автозапчасти, инструмент и материалы</t>
  </si>
  <si>
    <t>ООО "ИНВЕНТ 3Д"</t>
  </si>
  <si>
    <t>3d печать, 3d сканирование, быстрое прототипирование, макетирование, изделия из пластмассы</t>
  </si>
  <si>
    <t>E-mail</t>
  </si>
  <si>
    <t>Address</t>
  </si>
  <si>
    <t>г. Санкт-Петербург, наб. Обводного канала, 93А (Бизнес-центр "Нептун"), офис 55</t>
  </si>
  <si>
    <t>Web</t>
  </si>
  <si>
    <t>www.invent3d.ru</t>
  </si>
  <si>
    <t>mail@invent3d.ru
vk@invent3d.ru</t>
  </si>
  <si>
    <t>Литье полиуретанов</t>
  </si>
  <si>
    <t>Контакт</t>
  </si>
  <si>
    <t>Telephone</t>
  </si>
  <si>
    <t>Валентина Ковалева</t>
  </si>
  <si>
    <t>+7 812 313-2919
+7 495 660-3823</t>
  </si>
  <si>
    <t>INVENT PROTOTYPING</t>
  </si>
  <si>
    <t>Арисмо</t>
  </si>
  <si>
    <t>Маталлика-Дизайн</t>
  </si>
  <si>
    <t>ООО "ПКС1РУ"</t>
  </si>
  <si>
    <t>PKS1</t>
  </si>
  <si>
    <t>Электронные компоненты</t>
  </si>
  <si>
    <t>http://www.pks1.ru/</t>
  </si>
  <si>
    <t>info@pks1.ru</t>
  </si>
  <si>
    <t>Супер-крепёж</t>
  </si>
  <si>
    <t>Пластиковый крепеж</t>
  </si>
  <si>
    <t>www.super-krepeg.ru</t>
  </si>
  <si>
    <t>info@super-krepeg.ru</t>
  </si>
  <si>
    <t>http://fortisflex.ru/</t>
  </si>
  <si>
    <t>Fortisflex</t>
  </si>
  <si>
    <t>Аксессуары для кабелей</t>
  </si>
  <si>
    <t>sales@fortisflex.ru</t>
  </si>
  <si>
    <t>ООО ПК "РУФОМ"</t>
  </si>
  <si>
    <t>Листовая резина</t>
  </si>
  <si>
    <t>http://foamrubber.ru/</t>
  </si>
  <si>
    <t>info@neopren.com.ru / sales@neopren.su</t>
  </si>
  <si>
    <t>+7 (495) 225-57-13
+7 (985) 686-13-14 / +7 (910) 423-83-34</t>
  </si>
  <si>
    <t>РУФОМ</t>
  </si>
  <si>
    <t>Еngineer 1</t>
  </si>
  <si>
    <t>Еngineer 2</t>
  </si>
  <si>
    <t>Lead Еngineer 1</t>
  </si>
  <si>
    <t>Lead Еngineer 2</t>
  </si>
  <si>
    <t>ООО "ТДСЗ"</t>
  </si>
  <si>
    <t>ОКБ ОТ</t>
  </si>
  <si>
    <t>АО "ФПК"</t>
  </si>
  <si>
    <t>РЖД</t>
  </si>
  <si>
    <t>Пропласт</t>
  </si>
  <si>
    <t>proplast-rpc@mail.ru</t>
  </si>
  <si>
    <t>http://proplast-nn.ru/ru/tekhnologii.html</t>
  </si>
  <si>
    <t>8 (831) 281-72-00
8-910-142-30-87
8-920-022-51-32
8-910-103-88-00</t>
  </si>
  <si>
    <t>Все инструменты</t>
  </si>
  <si>
    <t>+7 (499) 681-23-59</t>
  </si>
  <si>
    <t>zakaz@vseinstrumenti.ru</t>
  </si>
  <si>
    <t>www.vseinstrumenti.ru</t>
  </si>
  <si>
    <t>shop@rivetgun.ru</t>
  </si>
  <si>
    <t>http://rivetgun.ru</t>
  </si>
  <si>
    <t>Ривет Ган</t>
  </si>
  <si>
    <t>+7 499 372-02-03</t>
  </si>
  <si>
    <t>PR</t>
  </si>
  <si>
    <t>Хорошая Типография</t>
  </si>
  <si>
    <t>www.niceprint.ru</t>
  </si>
  <si>
    <t>R&amp;D</t>
  </si>
  <si>
    <t>Expense Items</t>
  </si>
  <si>
    <t>ФлоуТэк</t>
  </si>
  <si>
    <t>Заскрой листового материала (Резины)</t>
  </si>
  <si>
    <t>www.flowtech.ru</t>
  </si>
  <si>
    <t>Мир Клея</t>
  </si>
  <si>
    <t>Клея Loctite</t>
  </si>
  <si>
    <t>www.mirkleya.ru</t>
  </si>
  <si>
    <t>info@mirkleya.ru</t>
  </si>
  <si>
    <t>8(495) 544-39-73
8(925) 508-95-80</t>
  </si>
  <si>
    <t>ООО "АВЕРС БАУ"</t>
  </si>
  <si>
    <t>Avers Bau</t>
  </si>
  <si>
    <t>shop@technic.ru</t>
  </si>
  <si>
    <t>www.technic.ru</t>
  </si>
  <si>
    <t>8-800-250-92-96
8-495-955-92-96</t>
  </si>
  <si>
    <t>Костанди М.А.</t>
  </si>
  <si>
    <t>www.voltmaster.ru</t>
  </si>
  <si>
    <t>+7 (495) 360-1-360</t>
  </si>
  <si>
    <t>volt@voltmaster.ru</t>
  </si>
  <si>
    <t>Пласт Ресурс</t>
  </si>
  <si>
    <t>http://plastres.ru/</t>
  </si>
  <si>
    <t>+7 (831) 410-92-47</t>
  </si>
  <si>
    <t>plastres@mail.ru</t>
  </si>
  <si>
    <t>SHINING HAIDER RUBBER&amp;PLASTIC PRODUCTS Store</t>
  </si>
  <si>
    <t>GZ FourBang Network Technology CO, LTD</t>
  </si>
  <si>
    <t>Манипуляторы XM-1 - 12 шт.
Грузовые захваты XL-100 - 12 шт.
Лебедки кабельные XW-12 - 12 шт.</t>
  </si>
  <si>
    <t>Манипуляторы XM-1 - 10 шт.</t>
  </si>
  <si>
    <t>Грузовые захваты XL-100 - 10 шт.</t>
  </si>
  <si>
    <t>Лебедки кабельные XW-12 - 10 шт.</t>
  </si>
  <si>
    <t>№ 1617187300042412209010199/ТП34</t>
  </si>
  <si>
    <t>№ 1617187300042412209010199/ТП143</t>
  </si>
  <si>
    <t>Description</t>
  </si>
  <si>
    <t>Delivery time</t>
  </si>
  <si>
    <t>Contract number</t>
  </si>
  <si>
    <t>Индастриал Партнер</t>
  </si>
  <si>
    <t>http://www.indpart.ru/</t>
  </si>
  <si>
    <t>mail@indpart.ru</t>
  </si>
  <si>
    <t>8(495)223-07-69</t>
  </si>
  <si>
    <t>105082, г. Москва, Переведеновский пер, д.18 стр.6</t>
  </si>
  <si>
    <t>УФК по г.Москве (ИФНС России N 26 по г.Москве)</t>
  </si>
  <si>
    <t>Гидрал</t>
  </si>
  <si>
    <t>+7 (812) 603-26-30</t>
  </si>
  <si>
    <t>info@hydral.ru</t>
  </si>
  <si>
    <t>www.hydral.ru</t>
  </si>
  <si>
    <t>Поставки гидравлического оборудования</t>
  </si>
  <si>
    <t>ooo.agt@mail.ru</t>
  </si>
  <si>
    <t>ПГТ</t>
  </si>
  <si>
    <t>+7 (495) 960-49-10</t>
  </si>
  <si>
    <t>sales@top3dshop.ru</t>
  </si>
  <si>
    <t>http://top3dshop.ru/</t>
  </si>
  <si>
    <t>8 (499) 322-23-19</t>
  </si>
  <si>
    <t>Станки, 3d принтеры, материалы</t>
  </si>
  <si>
    <t>ИП Ройтман</t>
  </si>
  <si>
    <t>http://www.forcomposite.ru/</t>
  </si>
  <si>
    <t>8 (499) 390 82 56</t>
  </si>
  <si>
    <t>info@forcomposite.ru</t>
  </si>
  <si>
    <t>ООО "КЬЮБИК ПРИНТС"</t>
  </si>
  <si>
    <t>3D печать</t>
  </si>
  <si>
    <t>CubicPrints</t>
  </si>
  <si>
    <t>support@cubicprints.ru</t>
  </si>
  <si>
    <t>+7 (499) 390-03-77</t>
  </si>
  <si>
    <t>http://www.cubicprints.ru/</t>
  </si>
  <si>
    <t>Изготовление прототипов на 3D принтерах</t>
  </si>
  <si>
    <t>ООО "ТИЭМ ТЕХНОЛОДЖИ"</t>
  </si>
  <si>
    <t>Invent3d</t>
  </si>
  <si>
    <t>Бывший ООО "ИНВЕНТ 3Д"</t>
  </si>
  <si>
    <t>Суперболт</t>
  </si>
  <si>
    <t>ООО НПП "ЭНДШПИЛЬ"</t>
  </si>
  <si>
    <t>ЭНДШПИЛЬ</t>
  </si>
  <si>
    <t>Измеритальный инструмент</t>
  </si>
  <si>
    <t>info@endshpil.ru</t>
  </si>
  <si>
    <t>http://endshpil.ru/</t>
  </si>
  <si>
    <t>+7 (495) 979-85-81 / 73</t>
  </si>
  <si>
    <t>ТУТУ.РУ</t>
  </si>
  <si>
    <t>tutu.ru</t>
  </si>
  <si>
    <t>documents@tutu.ru</t>
  </si>
  <si>
    <t>Booking.com B.V.</t>
  </si>
  <si>
    <t>Booking.com</t>
  </si>
  <si>
    <t>customer.service@booking.com</t>
  </si>
  <si>
    <t>Телефон: +31 70 770 3884
Факс: +31 20 712 5609</t>
  </si>
  <si>
    <t>"СУТКИ-52"</t>
  </si>
  <si>
    <t>+7(930)719-45-65</t>
  </si>
  <si>
    <t>Sutki-52.ru</t>
  </si>
  <si>
    <t>ООО "ЭНЕРГОТЕХПРОМ-НН"</t>
  </si>
  <si>
    <t>+7(910)7915236</t>
  </si>
  <si>
    <t>www.sovis.ru</t>
  </si>
  <si>
    <t>info@sovis.ru</t>
  </si>
  <si>
    <t>(495) 221-2216 (многоканальный) 
(495) 363-2959 (факс)</t>
  </si>
  <si>
    <t>СовИнструментСервис</t>
  </si>
  <si>
    <t>ООО "МОСХОЗТОРГ"</t>
  </si>
  <si>
    <t>МОСХОЗТОРГ</t>
  </si>
  <si>
    <t>moshoztorg.ru</t>
  </si>
  <si>
    <t>8(800)550-47-47</t>
  </si>
  <si>
    <t>Данила И. Матюшевский</t>
  </si>
  <si>
    <t>Налоговая</t>
  </si>
  <si>
    <t>http://www.tularti.ru/</t>
  </si>
  <si>
    <t>АО "Тульский завод РТИ"</t>
  </si>
  <si>
    <t>marketing@tularti.ru
rti@tularti.ru </t>
  </si>
  <si>
    <t>(4872) 35-46-88, 35-42-05</t>
  </si>
  <si>
    <t>Тульский завод РТИ</t>
  </si>
  <si>
    <t>Гидравлик Маркет</t>
  </si>
  <si>
    <t>(812) 320-06-89</t>
  </si>
  <si>
    <t>sales@hydmarket.ru</t>
  </si>
  <si>
    <t>http://hydmarket.ru/</t>
  </si>
  <si>
    <t>Дельные вещи</t>
  </si>
  <si>
    <t>http://www.deel.ru/</t>
  </si>
  <si>
    <t>mail@deel.ru</t>
  </si>
  <si>
    <t>+7(812)975-08-02
тел./факс +7(812)297-54-22
тел./факс +7(812)297-73-38</t>
  </si>
  <si>
    <t>http://www.immerservice.ru</t>
  </si>
  <si>
    <t>info@immerservice.ru
nebolsin@immerservice.ru</t>
  </si>
  <si>
    <t>Моб. +7 964 790 98 75
Тел.: +7 499 608 1015 доб. 107
Факс: +7 499 608 1013</t>
  </si>
  <si>
    <t>Небольсин Павел
Ведущий специалист группы "РВД"</t>
  </si>
  <si>
    <t>ООО "МНИТЕК"</t>
  </si>
  <si>
    <t>http://mnitek.ru/</t>
  </si>
  <si>
    <t>4222750@mnitek.ru</t>
  </si>
  <si>
    <t>МНИТЕК</t>
  </si>
  <si>
    <t>Лазерная резка</t>
  </si>
  <si>
    <t>тел: 8-929-047-00-32
8 (831) 4-222-750</t>
  </si>
  <si>
    <t>Ирина Кондратенко - менеджер</t>
  </si>
  <si>
    <t>https://www.superbolt.ru/</t>
  </si>
  <si>
    <t>torg2@superbolt.ru
mail@superbolt.ru</t>
  </si>
  <si>
    <t>Фернандес Борхес Евгения</t>
  </si>
  <si>
    <t>8 (499) 703-43-38 доб.254</t>
  </si>
  <si>
    <t>Монолит</t>
  </si>
  <si>
    <t>http://hummerplus.ru</t>
  </si>
  <si>
    <t>info@hummerplus.ru</t>
  </si>
  <si>
    <t>(495) 664-46-93</t>
  </si>
  <si>
    <t>http://www.podshipnik.ru/</t>
  </si>
  <si>
    <t>info-podshipnik@mail.ru</t>
  </si>
  <si>
    <t>Фомина Марина</t>
  </si>
  <si>
    <t>8(926)831-17-37
8(495)649-62-94</t>
  </si>
  <si>
    <t>ООО "АНИОН"</t>
  </si>
  <si>
    <t>http://www.kation-msk.ru/
http://www.anion-msk.ru</t>
  </si>
  <si>
    <t>klin@anion-msk.ru
lesnikova@anion-msk.ru</t>
  </si>
  <si>
    <t>Тел.: (495) 989-29-95 доб. 224, (49624) 5-50-15
Факс.: (495) 989-29-95 доб. 920, (49624) 5-50-15
Моб.: (985) 200-35-50</t>
  </si>
  <si>
    <t>Подшипник RU</t>
  </si>
  <si>
    <t>АИОН</t>
  </si>
  <si>
    <t>Марина Лесникова</t>
  </si>
  <si>
    <t>http://centrrti.ru/</t>
  </si>
  <si>
    <t xml:space="preserve"> info@centrrti.ru</t>
  </si>
  <si>
    <t>+7 (495) 411-90-04
+7 (495) 544-54-97
+7 (495) 544-54-98</t>
  </si>
  <si>
    <t>Центр РТИ</t>
  </si>
  <si>
    <t>115516, г. Москва, Кавказский бульвар, д.56</t>
  </si>
  <si>
    <t>Блатов Вадим Евгеньевич
Тел/факсы: (495) 411-9004 доб. 202</t>
  </si>
  <si>
    <t>http://www.220-volt.ru/</t>
  </si>
  <si>
    <t>Осипова Анна Константиновна</t>
  </si>
  <si>
    <t>220 Вольт</t>
  </si>
  <si>
    <t>8 (800) 333-9-220</t>
  </si>
  <si>
    <t>zakaz@220-volt.ru</t>
  </si>
  <si>
    <t>https://dostavista.ru/</t>
  </si>
  <si>
    <t>op@dostavista.ru</t>
  </si>
  <si>
    <t>+7 495 137-55-37</t>
  </si>
  <si>
    <t>Счет № 269,270,271 от 01.08.2017</t>
  </si>
  <si>
    <t>№ 269,270,271</t>
  </si>
  <si>
    <t>Манипуляторы XM-1 - 2 шт. (№269,270)
Грузовые захваты XL-100 - 1 шт. (№271)</t>
  </si>
  <si>
    <t>Анна А. Солодихина</t>
  </si>
  <si>
    <t>ЗАО "АИТ"</t>
  </si>
  <si>
    <t>АИТ</t>
  </si>
  <si>
    <t>ИП Брюханов П.А.</t>
  </si>
  <si>
    <t>3DPrintus</t>
  </si>
  <si>
    <t>3DPrintus.ru</t>
  </si>
  <si>
    <t>dmitry@3dprintus.ru
hello@3dprintus.ru</t>
  </si>
  <si>
    <t>+7 (495) 120-33-19</t>
  </si>
  <si>
    <t>Дмитрий Фетисов
8 (916) 229-18-95</t>
  </si>
  <si>
    <t>ИП Захламин А.А.</t>
  </si>
  <si>
    <t>tokar-msk@mail.ru</t>
  </si>
  <si>
    <t>Атексей Токарь</t>
  </si>
  <si>
    <t>8(916)9297500 - Алексей
8(953)9301313 - Екатерина</t>
  </si>
  <si>
    <t>Низкое качество изделий, минимальные сроки.</t>
  </si>
  <si>
    <t>ООО "МИКРОТЕХ"</t>
  </si>
  <si>
    <t>+7(499)390-27-06
+7(977)102-88-54</t>
  </si>
  <si>
    <t>ПМК (Подмосковная Металлобрабатывающая Компания)</t>
  </si>
  <si>
    <t xml:space="preserve">
pmk_office@mail.ru</t>
  </si>
  <si>
    <t>Москва Строительный проезд д.7а</t>
  </si>
  <si>
    <t>http://pmk50.ru</t>
  </si>
  <si>
    <t>Александр</t>
  </si>
  <si>
    <t>robotgeeks.ru</t>
  </si>
  <si>
    <t>support@robotgeeks.ru</t>
  </si>
  <si>
    <t>+7 (495) 999-02-35</t>
  </si>
  <si>
    <t>Robot Geeks</t>
  </si>
  <si>
    <t>Клёсова Кристина</t>
  </si>
  <si>
    <t>Манипуляторы XM-1 - 1 шт.
Грузовые захваты XL-100 - 1 шт.</t>
  </si>
  <si>
    <t>Price of Agreement</t>
  </si>
  <si>
    <t>№ 1418187402812020105007001/ТП35</t>
  </si>
  <si>
    <t>Account Number</t>
  </si>
  <si>
    <t>R&amp;D XT-150</t>
  </si>
  <si>
    <t>R&amp;D XM-5</t>
  </si>
  <si>
    <t>R&amp;D XW-12</t>
  </si>
  <si>
    <t>R&amp;D XT-1000</t>
  </si>
  <si>
    <t>R&amp;D XL-100</t>
  </si>
  <si>
    <t>Admin</t>
  </si>
  <si>
    <t>434 ОАО АКБ «АВАНГАРД» (ТАКО)</t>
  </si>
  <si>
    <t>435 ПАО АКБ «АВАНГАРД» (АС)</t>
  </si>
  <si>
    <t>Деловые Линии</t>
  </si>
  <si>
    <t>R&amp;D XPC-300</t>
  </si>
  <si>
    <t>Pressure chamber 300 Bar</t>
  </si>
  <si>
    <t>Products</t>
  </si>
  <si>
    <t>Projects&amp;Contracts</t>
  </si>
  <si>
    <t>Юрист</t>
  </si>
  <si>
    <t>Кондратьев А.С.</t>
  </si>
  <si>
    <t>alecsei2187@mail.ru</t>
  </si>
  <si>
    <t>R&amp;D XW-12 V3</t>
  </si>
  <si>
    <t>Delivery time (real)</t>
  </si>
  <si>
    <t>15.12.2017
XM-1 - 2 шт.
XL-100 - 1 шт.</t>
  </si>
  <si>
    <t>УПД № 391 от 15.12.2017
XM-1 - 1 шт.
XL-100 - 1 шт.</t>
  </si>
  <si>
    <t>УПД № 335 от 14.11.2017
УПД № 344 от 22.11.2017
УПД № 372 от 08.12.2017</t>
  </si>
  <si>
    <t xml:space="preserve">Солодихина А.А. </t>
  </si>
  <si>
    <t>Литик И.Ю.</t>
  </si>
  <si>
    <t>Илья Ю. Литик</t>
  </si>
  <si>
    <t>Hydrobot-X</t>
  </si>
  <si>
    <t>+7(916)268-44-63</t>
  </si>
  <si>
    <t>+7(967)279-42-79</t>
  </si>
  <si>
    <t>ilya.litik@gmail.com</t>
  </si>
  <si>
    <t>+7(915)031-63-39</t>
  </si>
  <si>
    <t>+7(926)344-99-52</t>
  </si>
  <si>
    <t>Рыжов А.Е.</t>
  </si>
  <si>
    <t>ИП Лежненко И.Л.</t>
  </si>
  <si>
    <t>Копирка</t>
  </si>
  <si>
    <t>ИП Андрияка Е.В.</t>
  </si>
  <si>
    <t>Велозапчасти</t>
  </si>
  <si>
    <t>ЗАО "МОНА"</t>
  </si>
  <si>
    <t>МОНА</t>
  </si>
  <si>
    <t>http://mona.ru</t>
  </si>
  <si>
    <t>8 (495) 787-99-39 
8 (499) 125-40-05 
8 (499) 125-41-05 
8 (499) 125-66-71 
8 (499) 125-24-84</t>
  </si>
  <si>
    <t>Продукция 3M</t>
  </si>
  <si>
    <t>г. Москва, ул. Кедрова, д. 6, корп. 1 
(вход со двора, 2-й подъезд, вывеска «МОНА»)</t>
  </si>
  <si>
    <t>info@mona.ru</t>
  </si>
  <si>
    <t>ИП Гамбург Д.В.</t>
  </si>
  <si>
    <t>Воздушные змеи</t>
  </si>
  <si>
    <t>fkite.ru</t>
  </si>
  <si>
    <t>+7 (495) 015-84-10</t>
  </si>
  <si>
    <t>г. Москва метро Аннино
33-й км.МКАД вл.6, стр.5
2-й этаж. офис 231</t>
  </si>
  <si>
    <t>support@fkite.ru</t>
  </si>
  <si>
    <t>Fkite</t>
  </si>
  <si>
    <t>Лумус Лазер</t>
  </si>
  <si>
    <t>Москва,проезд Энтузиастов, д.5, м."Авиамоторная"</t>
  </si>
  <si>
    <t>http://lumuslaser.ru/</t>
  </si>
  <si>
    <t>8 (495) 620 43 57 
8 (916) 077 56 18
8 (926) 601 15 60</t>
  </si>
  <si>
    <t>liit777@yandex.ru</t>
  </si>
  <si>
    <t>ИП Месянжин М.В.</t>
  </si>
  <si>
    <t>5042105@mail.ru</t>
  </si>
  <si>
    <t>http://www.metalografika.ru/</t>
  </si>
  <si>
    <t>+7(985) 999-1245</t>
  </si>
  <si>
    <t>Металографика</t>
  </si>
  <si>
    <t>Шильды и наклейки</t>
  </si>
  <si>
    <t>Управление
федерального
казначейства МФ РФ по г.
Москве ( ИФНС РФ N5
ЦАО г. Москвы)</t>
  </si>
  <si>
    <t>Налоги</t>
  </si>
  <si>
    <t>УФК МФ РФ по г.
Москве ( ИФНС РФ N5
ЦАО г. Москвы)</t>
  </si>
  <si>
    <t>Junior Engineer 1</t>
  </si>
  <si>
    <t>Junior Engineer 2</t>
  </si>
  <si>
    <t>Fired</t>
  </si>
  <si>
    <t>ПАО "МИЗ"</t>
  </si>
  <si>
    <t>Контакты СБ</t>
  </si>
  <si>
    <t>Аренда помещения</t>
  </si>
  <si>
    <t>Транспортная компания</t>
  </si>
  <si>
    <t>Grade</t>
  </si>
  <si>
    <t>Average Salary</t>
  </si>
  <si>
    <t>Min. Salary</t>
  </si>
  <si>
    <t>Max. Salary</t>
  </si>
  <si>
    <t>Technician</t>
  </si>
  <si>
    <t>Advanced Technician</t>
  </si>
  <si>
    <t>Еngineer 3</t>
  </si>
  <si>
    <t>Project Manager 1</t>
  </si>
  <si>
    <t>Project Manager 2</t>
  </si>
  <si>
    <t>Project Manager 3</t>
  </si>
  <si>
    <t>Product Manager 1</t>
  </si>
  <si>
    <t>Product Manager 2</t>
  </si>
  <si>
    <t>Product Manager 3</t>
  </si>
  <si>
    <t>Director</t>
  </si>
  <si>
    <t>Executive Director</t>
  </si>
  <si>
    <t>Partner</t>
  </si>
  <si>
    <t>Delta, %</t>
  </si>
  <si>
    <t>Rate 4</t>
  </si>
  <si>
    <t>Rate 3</t>
  </si>
  <si>
    <t>Rate 2</t>
  </si>
  <si>
    <t>Project Bonus</t>
  </si>
  <si>
    <t>Target Utilization</t>
  </si>
  <si>
    <t>Costs per Person per year</t>
  </si>
  <si>
    <t>Direct hour cost by Salary + Overhead costs</t>
  </si>
  <si>
    <t>Overhead Cost Type</t>
  </si>
  <si>
    <t>Overhead Cost Types</t>
  </si>
  <si>
    <t>Rent</t>
  </si>
  <si>
    <t>Software</t>
  </si>
  <si>
    <t>Hardware</t>
  </si>
  <si>
    <t>Tooling</t>
  </si>
  <si>
    <t>PDM</t>
  </si>
  <si>
    <t>Amazon Server Rent - 180$ per month</t>
  </si>
  <si>
    <t>Microsoft Office 365 Business</t>
  </si>
  <si>
    <t>Price per Month, RUB</t>
  </si>
  <si>
    <t>Telephone number</t>
  </si>
  <si>
    <t>Overhead Cost Type 2</t>
  </si>
  <si>
    <t>Personal</t>
  </si>
  <si>
    <t>Corporate</t>
  </si>
  <si>
    <t>Overhead Cost Types 2</t>
  </si>
  <si>
    <t>The Number of Employees</t>
  </si>
  <si>
    <t>Overhead Cost Name</t>
  </si>
  <si>
    <t>The last Mention Date</t>
  </si>
  <si>
    <t>Office</t>
  </si>
  <si>
    <t>Stationery</t>
  </si>
  <si>
    <t>КОМУС</t>
  </si>
  <si>
    <t>Overhead Cost per Person per Month</t>
  </si>
  <si>
    <t>All Overhead Costs per Month</t>
  </si>
  <si>
    <t>All Overhead Costs per Year</t>
  </si>
  <si>
    <t>Position Status</t>
  </si>
  <si>
    <t>Grade Status</t>
  </si>
  <si>
    <t>200 000 per year</t>
  </si>
  <si>
    <t>Electronic Engineer</t>
  </si>
  <si>
    <t>Рrogrammer</t>
  </si>
  <si>
    <t>Мechanical Еngineer</t>
  </si>
  <si>
    <t>Lead Engineer</t>
  </si>
  <si>
    <t>Ставка НДС</t>
  </si>
  <si>
    <t>N/A с НДС</t>
  </si>
  <si>
    <t>N/A без НДС</t>
  </si>
  <si>
    <t>Костанди М.А. Личный</t>
  </si>
  <si>
    <t>Литик И.Ю. Личный</t>
  </si>
  <si>
    <t>Рыжов А.Е. Личный</t>
  </si>
  <si>
    <t>Талдыкин С.Б. Зарплатный</t>
  </si>
  <si>
    <t>ПАО СБЕРБАНК (X-01)</t>
  </si>
  <si>
    <t>Продвижение сайтов</t>
  </si>
  <si>
    <t>СБ</t>
  </si>
  <si>
    <t>Яндекс</t>
  </si>
  <si>
    <t>Реклама</t>
  </si>
  <si>
    <t>Лебедки кабельные XW-12 - 1 шт.</t>
  </si>
  <si>
    <t>Договор поставки №7 от 15 января 2017</t>
  </si>
  <si>
    <t>СТД "Петрович"</t>
  </si>
  <si>
    <t>Status</t>
  </si>
  <si>
    <t>Closed</t>
  </si>
  <si>
    <t>Open</t>
  </si>
  <si>
    <t>Closing Date</t>
  </si>
  <si>
    <t>На склад</t>
  </si>
  <si>
    <t>Dart Electronics</t>
  </si>
  <si>
    <t>Резьбовые вставки</t>
  </si>
  <si>
    <t>sales@dart.ru</t>
  </si>
  <si>
    <t>http://www.dart.ru/</t>
  </si>
  <si>
    <t>+7(495) 6603620</t>
  </si>
  <si>
    <t>МирПружин</t>
  </si>
  <si>
    <t>Изготовление пружин</t>
  </si>
  <si>
    <t>zakaz@mirpruzhin.ru</t>
  </si>
  <si>
    <t>http://www.mirpruzhin.ru</t>
  </si>
  <si>
    <t>+7(812) 3855656</t>
  </si>
  <si>
    <t>Сервотехника</t>
  </si>
  <si>
    <t>Муфты, частотные преобразователи, сервоприводы, шпиндели, двигатели, зубчатые передачи</t>
  </si>
  <si>
    <t>info@servotechnica.ru </t>
  </si>
  <si>
    <t>http://www.servotechnica.ru</t>
  </si>
  <si>
    <t>+7 (495) 797-88-66</t>
  </si>
  <si>
    <t>г. Москва, ул. Клары Цеткин, дом 33, корпус 35, 3 этаж</t>
  </si>
  <si>
    <t>Микротензор</t>
  </si>
  <si>
    <t>Проиводство тензодатчиков, датчиков давления</t>
  </si>
  <si>
    <t>ooo@microtensor.ru</t>
  </si>
  <si>
    <t>http://microtensor.ru</t>
  </si>
  <si>
    <t>+7(4862) 44-17-15</t>
  </si>
  <si>
    <t>г.Орел, ул.Ломоносова, д.6</t>
  </si>
  <si>
    <t>Манипуляторы XM-1 - 5 шт. - 328 364.40 р.
Грузовые захваты XL-100 - 5 шт. - 304 668 р.
Лебедки кабельные XW-12 - 5 шт. - 686 664 р.</t>
  </si>
  <si>
    <t>НИКС</t>
  </si>
  <si>
    <t>+7(495)974-33-33</t>
  </si>
  <si>
    <t>www.nix.ru</t>
  </si>
  <si>
    <t>Компьютеры и компьютерное железо</t>
  </si>
  <si>
    <t>TAKACHI ELECTRONICS ENCLOSURE CO., LTD.</t>
  </si>
  <si>
    <t>TAKACHI</t>
  </si>
  <si>
    <t>Короба для пультов</t>
  </si>
  <si>
    <t>n-ikeda@takachi-el.co.jp</t>
  </si>
  <si>
    <t>Naoya Ikeda</t>
  </si>
  <si>
    <t>Tel +81-48-222-5409
Fax +81-48-222-7652</t>
  </si>
  <si>
    <t>3-21-16 Higashi-ryoke,
Kawaguchi-shi, Saitama, 332-0003 JAPAN</t>
  </si>
  <si>
    <t>Closing Payment</t>
  </si>
  <si>
    <t>Advance Payment Date</t>
  </si>
  <si>
    <t>Advance Payment</t>
  </si>
  <si>
    <t>05.02.2018
12.02.2018</t>
  </si>
  <si>
    <t>ГОЗ 2249</t>
  </si>
  <si>
    <t>ГОЗ 2141</t>
  </si>
  <si>
    <t>ГОЗ 196</t>
  </si>
  <si>
    <t>ВТБ 02336 (ГОЗ 196)</t>
  </si>
  <si>
    <t>Манипуляторы XM-1 - 1 шт. - 328 364.40 р.
Грузовые захваты XL-100 - 1 шт. - 304 668 р.
Лебедки кабельные XW-12 - 1 шт. - 686 664 р.</t>
  </si>
  <si>
    <t>Манипуляторы XM-1 - 1 шт. - 328 364.40 р.
Грузовые захваты XL-100 - 1 шт. - 304 668 р.
Лебедки кабельные XW-12 - 1 шт. - 686 664 р.
ГОЗ 1966
Сбер ..44862</t>
  </si>
  <si>
    <t>Ampika</t>
  </si>
  <si>
    <t>Насос для XPC-300</t>
  </si>
  <si>
    <t>ampika@ampika.ru</t>
  </si>
  <si>
    <t>https://www.ampika.ru/</t>
  </si>
  <si>
    <t>(495)644-35-76</t>
  </si>
  <si>
    <t>г. Москва, 3-я Институтская ул., д.15</t>
  </si>
  <si>
    <t>Цвет</t>
  </si>
  <si>
    <t>Продажа металла</t>
  </si>
  <si>
    <t>msk@pkfcvet.ru</t>
  </si>
  <si>
    <t>http://msk.pkfcvet.ru/</t>
  </si>
  <si>
    <t>8-495-109-06-21</t>
  </si>
  <si>
    <t>г. Москва ул. Очаковское шоссе, 42 ст5</t>
  </si>
  <si>
    <t>Опендайв</t>
  </si>
  <si>
    <t>Товары для дайвинга</t>
  </si>
  <si>
    <t>info@opendive.ru</t>
  </si>
  <si>
    <t>https://www.open-dive.ru/</t>
  </si>
  <si>
    <t>8-495-215-56-52</t>
  </si>
  <si>
    <t>г. Москва, ул. Октябрьская, д.60</t>
  </si>
  <si>
    <t>Спорт-Марафон</t>
  </si>
  <si>
    <t>Спорт товары</t>
  </si>
  <si>
    <t>e.bondarenko@sport-marafon.ru</t>
  </si>
  <si>
    <t>https://sport-marafon.ru/</t>
  </si>
  <si>
    <t>8(495) 679-38-52</t>
  </si>
  <si>
    <t>г. Москва, ул. Сайкина, д.4</t>
  </si>
  <si>
    <t>Laser-RF</t>
  </si>
  <si>
    <t>info@lazer-rf.ru</t>
  </si>
  <si>
    <t>http://www.lazer-rf.ru/</t>
  </si>
  <si>
    <t>+7(495) 660-76-51</t>
  </si>
  <si>
    <t>Москва, ул. Верейская д.29, стр.42</t>
  </si>
  <si>
    <t>Дестрибьютор уплотнений Kastas + изготовитель собственных уплотнений по любым размерам</t>
  </si>
  <si>
    <t>hd3@krpms.ru</t>
  </si>
  <si>
    <t>https://www.krpms.ru/</t>
  </si>
  <si>
    <t>8(495) 259-58-01</t>
  </si>
  <si>
    <t>109029, г. Москва, ул. Волгоградский проспект, д.47 офис №219</t>
  </si>
  <si>
    <t>ПЛИТКАПОЛ</t>
  </si>
  <si>
    <t>Напольные покрытия (ПВХ плитка)</t>
  </si>
  <si>
    <t>9697583@mail.ru
unipol@plitkapol.su</t>
  </si>
  <si>
    <t>https://plitkapol.su/</t>
  </si>
  <si>
    <t>+7 (495) 969-75-83</t>
  </si>
  <si>
    <t>142715, Московская область, Ленинский район, д. Слобода, ул. Новая Слобода, ПТФ «Изол», склад №6, ООО «МиР»</t>
  </si>
  <si>
    <t>МТ-систем</t>
  </si>
  <si>
    <t>Дистрибьютор Winstar</t>
  </si>
  <si>
    <t>moscow@mt-system.ru</t>
  </si>
  <si>
    <t>mt-system.ru</t>
  </si>
  <si>
    <t>+7 (495) 988-20-73</t>
  </si>
  <si>
    <t>Москва, ул. Красноармейская, д.11, корп.1</t>
  </si>
  <si>
    <t>Сергей Зубков</t>
  </si>
  <si>
    <t>8-915-031-63-39</t>
  </si>
  <si>
    <t>Артем Филатов</t>
  </si>
  <si>
    <t>filaas@list.ru</t>
  </si>
  <si>
    <t>Расходы на аренду офисного помещения</t>
  </si>
  <si>
    <t>Расходы на ремонт и содержание офиса</t>
  </si>
  <si>
    <t>Мебель, отделимое имущество</t>
  </si>
  <si>
    <t>Расходы на сервер, мониторы, компьютеры (не софт, не услуги)</t>
  </si>
  <si>
    <t>Настройка оборудования и ПО</t>
  </si>
  <si>
    <t>ООО "АШАН"</t>
  </si>
  <si>
    <t>АШАН</t>
  </si>
  <si>
    <t>Электромонтаж</t>
  </si>
  <si>
    <t>Инструмент и материалы</t>
  </si>
  <si>
    <t>torg@electro-mpo.ru</t>
  </si>
  <si>
    <t>www.electro-mpo.ru</t>
  </si>
  <si>
    <t>+7 (495) 795-3775
+7 (495) 363-3773</t>
  </si>
  <si>
    <t>Леруа Мерлен</t>
  </si>
  <si>
    <t>https://leroymerlin.ru/</t>
  </si>
  <si>
    <t>Хоз товары, продукты</t>
  </si>
  <si>
    <t>Оформление и администрирование ИП Зубков</t>
  </si>
  <si>
    <t>Упаковка для XM-1, XL-100, XW-12 Подбор решений и материалов, разработка доккументации</t>
  </si>
  <si>
    <t>R&amp;D Packing-X</t>
  </si>
  <si>
    <t>ООО "МЕГАБИТ"</t>
  </si>
  <si>
    <t>МЕГАБИТ</t>
  </si>
  <si>
    <t>8 (495) 108-74-61</t>
  </si>
  <si>
    <t>Московская обл, Электросталь г, Октябрьская ул,
дом № 18-А, помещение 2 Б</t>
  </si>
  <si>
    <t>ООО "РЕГУЛ"</t>
  </si>
  <si>
    <t>РЕГУЛ</t>
  </si>
  <si>
    <t>Производство</t>
  </si>
  <si>
    <t>ProsKit</t>
  </si>
  <si>
    <t>Продажа инструмента</t>
  </si>
  <si>
    <t>info@proskit-shop.ru</t>
  </si>
  <si>
    <t>https://www.proskit-shop.ru/</t>
  </si>
  <si>
    <t>8 (499) 404-2634</t>
  </si>
  <si>
    <t>197341, г. Санкт-Петербург, Поликарпова аллея, д. 2, лит. A</t>
  </si>
  <si>
    <t>ООО "ТТ"</t>
  </si>
  <si>
    <t>Ferrum</t>
  </si>
  <si>
    <t>Пром. Мебель</t>
  </si>
  <si>
    <t>Ахмадулин Радик</t>
  </si>
  <si>
    <t>info@yukona.ru
matrix@verstak.com</t>
  </si>
  <si>
    <t>www.yumagazin.ru</t>
  </si>
  <si>
    <t>8 (495) 662-56-82</t>
  </si>
  <si>
    <t>MetalVision</t>
  </si>
  <si>
    <t>Стстемы хранения</t>
  </si>
  <si>
    <t>Животовская Раиса</t>
  </si>
  <si>
    <t>info@metalvision.ru
rp@it-innovations.ru</t>
  </si>
  <si>
    <t>https://metalvision.ru/</t>
  </si>
  <si>
    <t>8 (495) 775-81-02
Моб.тел: (903) 263-81-81</t>
  </si>
  <si>
    <t>Москва,
Дубнинская, дом № 81А, строение 16</t>
  </si>
  <si>
    <t>Плеер.Ру</t>
  </si>
  <si>
    <t>Электро техника</t>
  </si>
  <si>
    <t>Степанова Юлия</t>
  </si>
  <si>
    <t>1285pleer@gmail.com</t>
  </si>
  <si>
    <t>https://www.pleer.ru/</t>
  </si>
  <si>
    <t>8(495) 775-04-75 доб. 1285
сот.: 9660065534</t>
  </si>
  <si>
    <t>ООО ТД "АВТО-ТРАНС"</t>
  </si>
  <si>
    <t>ТД "АВТО-ТРАНС"</t>
  </si>
  <si>
    <t>Упаковочные материалы, доставка, переквозка, переезд</t>
  </si>
  <si>
    <t>Оборок Александр</t>
  </si>
  <si>
    <t>mail@cargo-avto.ru
oborok@cargo-avto.ru</t>
  </si>
  <si>
    <t>https://cargo-avto.ru/</t>
  </si>
  <si>
    <t>8(495) 504-37-89</t>
  </si>
  <si>
    <t>Производство (через Тако)</t>
  </si>
  <si>
    <t>через Тако</t>
  </si>
  <si>
    <t>ВТБ 16919 (ТП143)</t>
  </si>
  <si>
    <t>ВТБ 635 (ТП34)</t>
  </si>
  <si>
    <t>СБЕР 40365 (ТП35)</t>
  </si>
  <si>
    <t>СБЕР 44862 (ТП42)</t>
  </si>
  <si>
    <t>СБЕР 45971 (ГОЗ 2141)</t>
  </si>
  <si>
    <t>СБЕР 50078 (ГОЗ 2249)</t>
  </si>
  <si>
    <t>МАСТЕРТЕЛ</t>
  </si>
  <si>
    <t>Интернет провайдер</t>
  </si>
  <si>
    <t>тел.: (495) 787-0777
факс: (495) 787-0788</t>
  </si>
  <si>
    <t>107076, г. Москва, ул. Краснобогатырская, д. 89</t>
  </si>
  <si>
    <t>ИП Корнев А.О.</t>
  </si>
  <si>
    <t>ООО "УК "БАЗИС"</t>
  </si>
  <si>
    <t>БАЗИС</t>
  </si>
  <si>
    <t>+7(916) 341-69-59</t>
  </si>
  <si>
    <t>BDOKBOTXM1</t>
  </si>
  <si>
    <t>Manipulator XM-1 для ОКБОТ РАН для установки на выставочный/демонстрационный аппарат</t>
  </si>
  <si>
    <t>Варшавское шоссе 170Б</t>
  </si>
  <si>
    <t>УПД № 5432 от 06.06.2018
XM-1 передан 07.06.2018</t>
  </si>
  <si>
    <t>Юлмарт</t>
  </si>
  <si>
    <t>office@ulmart.ru</t>
  </si>
  <si>
    <t>197227, г. Санкт-Петербург, проспект Сизова, д. 2, лит. А</t>
  </si>
  <si>
    <t>+7 495 287-42-41</t>
  </si>
  <si>
    <t>Бытовая электроника</t>
  </si>
  <si>
    <t>https://www.ulmart.ru/</t>
  </si>
  <si>
    <t>Average salary per Month</t>
  </si>
  <si>
    <t>Bathroom Сleaning</t>
  </si>
  <si>
    <t>Cleaning of Premises</t>
  </si>
  <si>
    <t>Cleaning</t>
  </si>
  <si>
    <t>Уборка в санузле Варшавское шоссе 170Б</t>
  </si>
  <si>
    <t>Уборка в офисе Варшавское шоссе 170Б</t>
  </si>
  <si>
    <t xml:space="preserve">7 учетных записей </t>
  </si>
  <si>
    <t>Канцтовары</t>
  </si>
  <si>
    <t>Cleaning Agent</t>
  </si>
  <si>
    <t>Чистящие средства, материалы для уборки</t>
  </si>
  <si>
    <t>Upkeep</t>
  </si>
  <si>
    <t>Packaging</t>
  </si>
  <si>
    <t>Картнные коробки, зип пакеты и т.п.</t>
  </si>
  <si>
    <t>ЗАО "Контакт Интернейшнл"</t>
  </si>
  <si>
    <t>расходники для Karcher</t>
  </si>
  <si>
    <t>https://cleanshop.ru/</t>
  </si>
  <si>
    <t>Benefits 2018</t>
  </si>
  <si>
    <t>Account Types</t>
  </si>
  <si>
    <t>Account Type</t>
  </si>
  <si>
    <t>n/a</t>
  </si>
  <si>
    <t>FTE</t>
  </si>
  <si>
    <t>Tax</t>
  </si>
  <si>
    <t>Projects</t>
  </si>
  <si>
    <t>Start Date</t>
  </si>
  <si>
    <t>Cost Item</t>
  </si>
  <si>
    <t>Facilities</t>
  </si>
  <si>
    <t>IT Admin</t>
  </si>
  <si>
    <t>Marketing</t>
  </si>
  <si>
    <t>Office-X Furniture</t>
  </si>
  <si>
    <t>Office-X Rent</t>
  </si>
  <si>
    <t>IT Software</t>
  </si>
  <si>
    <t>Overhead Costs</t>
  </si>
  <si>
    <t>Overhead Cost Item</t>
  </si>
  <si>
    <t>ИП Зубков</t>
  </si>
  <si>
    <t>Economic Expenses</t>
  </si>
  <si>
    <t>Office Internet</t>
  </si>
  <si>
    <t>Интернет в офисе</t>
  </si>
  <si>
    <t>100 000 per year</t>
  </si>
  <si>
    <t>№ 1418187407642020105007147/ТП42</t>
  </si>
  <si>
    <t>Договор поставки №7 от 15 января 2017
Сборка ИП Зубков С.Н. Заказ №001-015</t>
  </si>
  <si>
    <t>ГОЗ 2141
Сопровождение производства ИП Зубков С.Н. Заказ №016 Cборка № 017, 020, 023</t>
  </si>
  <si>
    <t>Base Budgeting COST</t>
  </si>
  <si>
    <t>Overhead costs + TAX</t>
  </si>
  <si>
    <t>Overhead costs multiplier</t>
  </si>
  <si>
    <t>Overhead Cost Risk</t>
  </si>
  <si>
    <t>All Overhead Costs per Month + Risk + ROUND</t>
  </si>
  <si>
    <t>FTE in Grade</t>
  </si>
  <si>
    <t>Average Salary TAX</t>
  </si>
  <si>
    <t>Overhead costs multiplier * FTE in Grade</t>
  </si>
  <si>
    <t>Current Overhead costs + TAX</t>
  </si>
  <si>
    <t>Overhead costs + TAX Current Ratio</t>
  </si>
  <si>
    <t>Min. Overhead costs + TAX</t>
  </si>
  <si>
    <t>Min. Budgeting COST</t>
  </si>
  <si>
    <t>ТИНЬКОФФ 0396 (ИП Зубков)</t>
  </si>
  <si>
    <t>Банк Тинькофф</t>
  </si>
  <si>
    <t>tinkoff.ru</t>
  </si>
  <si>
    <t>ИП Марков А.М.</t>
  </si>
  <si>
    <t>ИП Забродин Э.А.</t>
  </si>
  <si>
    <t>BrooklinBox</t>
  </si>
  <si>
    <t>Фанерные ящики</t>
  </si>
  <si>
    <t>http://brooklinbox.ru/</t>
  </si>
  <si>
    <t>CDEK</t>
  </si>
  <si>
    <t>Московская обл, г.Подольск, ул.Плещеевская, д.11А, стр.2, оф.406</t>
  </si>
  <si>
    <t>http://www.e-cdek.ru</t>
  </si>
  <si>
    <t>Аренда помещения Варшавское шоссе 170Б (Субаренда)</t>
  </si>
  <si>
    <t>ЗАО "Гемма Графикс"</t>
  </si>
  <si>
    <t>Гемма-Графикс</t>
  </si>
  <si>
    <t>Ложементы</t>
  </si>
  <si>
    <t>www.gemma-ltd.ru</t>
  </si>
  <si>
    <t>НТА-Пром</t>
  </si>
  <si>
    <t>Дистребьютер DK-Lok</t>
  </si>
  <si>
    <t>Галина Дронова</t>
  </si>
  <si>
    <t>www.nta-prom.ru</t>
  </si>
  <si>
    <t>Тел.: +7 (495) 363-63-00, доб. 131</t>
  </si>
  <si>
    <t>Вайндпроф</t>
  </si>
  <si>
    <t>Трафареты для баллончиков</t>
  </si>
  <si>
    <t>wp-art@mail.ru</t>
  </si>
  <si>
    <t>http://wp-art.ru/</t>
  </si>
  <si>
    <t>УПД № 93 от 03.04.2018 - XM-12 - 1 шт.
Deliverd</t>
  </si>
  <si>
    <t>ИП Курикша О.В.</t>
  </si>
  <si>
    <t>ИнструментON</t>
  </si>
  <si>
    <t>Поставка инструментов</t>
  </si>
  <si>
    <t>Ольга Курикша</t>
  </si>
  <si>
    <t>welcome@instrumenton.ru</t>
  </si>
  <si>
    <t>http://instrumenton.ru</t>
  </si>
  <si>
    <t>+7 (495) 99-44-99-0</t>
  </si>
  <si>
    <t>127562, Москва, ул. Хачатуряна, влад. 14А, левое 2-этажное здание с крыльцом, 2 этаж, офис 10 (м. Отрадное, СВАО)</t>
  </si>
  <si>
    <t>Кирелис</t>
  </si>
  <si>
    <t>Резинотехнические изделия</t>
  </si>
  <si>
    <t>Виктория Шпиндлер</t>
  </si>
  <si>
    <t>v_shpindler@kirelis.ru</t>
  </si>
  <si>
    <t>https://www.kirelis.ru/</t>
  </si>
  <si>
    <t>+7 (495) 983-11-11</t>
  </si>
  <si>
    <t>140000 Московская область, г. Люберцы, ул. Котельническая, д.15 В</t>
  </si>
  <si>
    <t>Контур Эльба</t>
  </si>
  <si>
    <t>БухУчет Эльба</t>
  </si>
  <si>
    <t>https://elba.kontur.ru</t>
  </si>
  <si>
    <t>fedorchenko@avi-solutions.com</t>
  </si>
  <si>
    <t>Федорченко Сергей
Колмаковым Даниилом</t>
  </si>
  <si>
    <t>+7-812-702-10-01 (доб. 1075) - Сергей
+7 (812) 703-00-66 (доб. 1044) - Данила
факс : +7-812-702-11-48</t>
  </si>
  <si>
    <t>ИП Репин П.Н.</t>
  </si>
  <si>
    <t>МАЛЕНЬКИЙ КИТАЙ</t>
  </si>
  <si>
    <t>https://small-china.ru/</t>
  </si>
  <si>
    <t>Гиада</t>
  </si>
  <si>
    <t>Произвлдство</t>
  </si>
  <si>
    <t>Демид Епифанов</t>
  </si>
  <si>
    <t xml:space="preserve">INFO@GIADA.PRO </t>
  </si>
  <si>
    <t>http://giada.pro/</t>
  </si>
  <si>
    <t>+7 (831) 282-82-70</t>
  </si>
  <si>
    <t>Г. Н. НОВГОРОД, УЛ. ЧААДАЕВА, 1</t>
  </si>
  <si>
    <t>ООО "ХАРТИНГ"</t>
  </si>
  <si>
    <t>Harting</t>
  </si>
  <si>
    <t>Поставки продукции Harting</t>
  </si>
  <si>
    <t>Андрей Диденко</t>
  </si>
  <si>
    <t>Andrey.Didenko@HARTING.com</t>
  </si>
  <si>
    <t>www.harting.ru</t>
  </si>
  <si>
    <t>Тел.: +7 495 995-99-93
Моб. +7 916 150-31-50</t>
  </si>
  <si>
    <t>111394 Москва,Ул. Перовская 67 (вход с ул. Полимерная д. 8А)</t>
  </si>
  <si>
    <t>ООО "ПЯТЫЙ ЭЛЕМЕНТ ТРЕЙДИНГ"</t>
  </si>
  <si>
    <t>Пятый элемент</t>
  </si>
  <si>
    <t>Поставщик ODU и др.</t>
  </si>
  <si>
    <t>Виктор Никаноров</t>
  </si>
  <si>
    <t>sales@fivel.ru
nv@fivel.ru</t>
  </si>
  <si>
    <t>https://fivel.ru/</t>
  </si>
  <si>
    <t>т. +7 (812) 385-76-87 (доб. 108)</t>
  </si>
  <si>
    <t>195196, г. Санкт-Петербург, ул. Громова, д. 4, офис 331</t>
  </si>
  <si>
    <t>R&amp;D XOT-300</t>
  </si>
  <si>
    <t>R&amp;D XW-12 V4</t>
  </si>
  <si>
    <t>Работа над ошибками по итогам партии  по контракту №7. Переход на короба тектоники или аналоги.</t>
  </si>
  <si>
    <t>Deloks</t>
  </si>
  <si>
    <t>info@deloks.ru</t>
  </si>
  <si>
    <t>www.deloks.ru</t>
  </si>
  <si>
    <t>+7(495) 788-05-20</t>
  </si>
  <si>
    <t>105484, г. Москва, 16-я Парковая, дом 26, кор.4</t>
  </si>
  <si>
    <t>H-Group</t>
  </si>
  <si>
    <t>Поставка штуцеров, адаптеров, уплотнений</t>
  </si>
  <si>
    <t>rvd@hydro-group.ru</t>
  </si>
  <si>
    <t>www.hgroup.ru/</t>
  </si>
  <si>
    <t>+7 (495) 663-21-27</t>
  </si>
  <si>
    <t>МО, г. Дзержинский, ул. Угрешская, стр. 5А</t>
  </si>
  <si>
    <t>ООО "ПРОИЗВОДСТВЕННАЯ КОМПАНИЯ "АМ 2.0"</t>
  </si>
  <si>
    <t>АМ2.0</t>
  </si>
  <si>
    <t>info@am20.ru</t>
  </si>
  <si>
    <t>http://am20.ru</t>
  </si>
  <si>
    <t>+7 (499) 390-17-21</t>
  </si>
  <si>
    <t xml:space="preserve">109202, Москва, ул. 1-я Фрезерная, 2/1, стр. 5 </t>
  </si>
  <si>
    <t>АО "ЮЕ-Интернейшнл"</t>
  </si>
  <si>
    <t>ЮЕ-Интернейшнл</t>
  </si>
  <si>
    <t>Поставщик APEM</t>
  </si>
  <si>
    <t>Михайлова Галина
+7 812 313-3440  доб. 670
Сергей Олейников доб. 117</t>
  </si>
  <si>
    <t>yesupport@yeint.ru
galina.mikhailova@yeint.ru
sergey.oleynikov@yeint.ru</t>
  </si>
  <si>
    <t>www.yeint.ru</t>
  </si>
  <si>
    <t>+7 495 150 52 21</t>
  </si>
  <si>
    <t xml:space="preserve">Шоссе Энтузиастов, д. 34, офис B-4-1
Россия, 105118, Москва </t>
  </si>
  <si>
    <t>ООО "РЕММА"</t>
  </si>
  <si>
    <t>Ремма</t>
  </si>
  <si>
    <t>Магазин товаров для компрессора</t>
  </si>
  <si>
    <t>info@pnevmomagazin.ru</t>
  </si>
  <si>
    <t>pnevmomagazin.ru</t>
  </si>
  <si>
    <t>11152, г.Москва, ул. Электродная, дом 12, кор. 1</t>
  </si>
  <si>
    <t>ООО "ЮЕ КСР"</t>
  </si>
  <si>
    <t>RS Delivers</t>
  </si>
  <si>
    <t>Магазин электронных компонентов</t>
  </si>
  <si>
    <t>ru.rsdelivers.com</t>
  </si>
  <si>
    <t>192029, г. Санкт-Петербург, проспект Обуховской Обороны, дом 70, кор. 3, часть пом. 34-Н, комната 11</t>
  </si>
  <si>
    <t>Метизный Двор</t>
  </si>
  <si>
    <t>sales@metiz-dvor.ru</t>
  </si>
  <si>
    <t>www.metiz-dvor.ru</t>
  </si>
  <si>
    <t>+7 (495) 980-70-98</t>
  </si>
  <si>
    <t>119361, г.Москва, улица Озёрная , дом 42, эт 3, пом II, ком 38
Склад Щербинка: Остафьевское шоссе, д.5 (по навигатору – дом 3)
Склад Каширский: Каширское шоссе, д.13, корп.3</t>
  </si>
  <si>
    <t>УПД № 133 от 01.06.2018 - XM-1 - 1шт.
УПД № 134 от 01.06.2018 - XM-1 - 4шт.
УПД № 158 от 20.06.2018 - XL-100 - 1шт.
УПД № 159 от 26.06.2018 - XL-100 - 4 шт.
УПД № 260 от 14.09.2018 - XW-12 - 4 шт.
УПД № 261 от 14.09.2018 - XW-12 - 1 шт.</t>
  </si>
  <si>
    <t>Mouser</t>
  </si>
  <si>
    <t>ru.mouser.com</t>
  </si>
  <si>
    <t>ООО "РАЙСОН ГРУП"</t>
  </si>
  <si>
    <t>СДЭК</t>
  </si>
  <si>
    <t>www.cdek.ru</t>
  </si>
  <si>
    <t>Физ. Лицо Зайцев С.Т.</t>
  </si>
  <si>
    <t>Токарь</t>
  </si>
  <si>
    <t>Токарь, делает быстро, не оч дорого, оплата переводом на карту сбера</t>
  </si>
  <si>
    <t>Зайцев Сергей Тимофеевич</t>
  </si>
  <si>
    <t>zaysertim@yandex.ru</t>
  </si>
  <si>
    <t>+7 (926) 082-12-40</t>
  </si>
  <si>
    <t>Метро Марьина Роща</t>
  </si>
  <si>
    <t>Физ. Лицо Татьяна</t>
  </si>
  <si>
    <t>Уборщица</t>
  </si>
  <si>
    <t>Уборщица Office-X</t>
  </si>
  <si>
    <t>+7 (967) 206-18-59</t>
  </si>
  <si>
    <t>Other</t>
  </si>
  <si>
    <t>Василий Д. Прокудин</t>
  </si>
  <si>
    <t>Наталья С. Волкова</t>
  </si>
  <si>
    <t>Михаил А. Игнатьев</t>
  </si>
  <si>
    <t>ТП2177</t>
  </si>
  <si>
    <t>Манипуляторы XM-1.V02 - 45 шт. - 345 000 р.
Грузовые захваты XL-100.V02 - 45 шт. - 320 000 р.
Лебедки кабельные XW-12.V01 - 45 шт. -720 000 р.</t>
  </si>
  <si>
    <t>№1820187103832412209010199/ТП2177</t>
  </si>
  <si>
    <t>ТП645</t>
  </si>
  <si>
    <t>Манипуляторы XM-1.V02 - 4 шт. - 328 364.40 р.
Грузовые захваты XL-100.V02 - 4 шт. - 304 668 р.
Лебедки кабельные XW-12.V01 - 4 шт. -686 664 р.</t>
  </si>
  <si>
    <t>№17722377866170002400/ТП645</t>
  </si>
  <si>
    <t>10.02.19  16 компл.
15.08.19  15 компл.
 3.12.19 14 компл.</t>
  </si>
  <si>
    <t>3 167 271,36 р.</t>
  </si>
  <si>
    <t>2 111 514.24 р.</t>
  </si>
  <si>
    <t>1) 18 697 500 р. 
2) 12 465 000 р.</t>
  </si>
  <si>
    <t>1) 24-09-2018
2) 31-03-2019</t>
  </si>
  <si>
    <t>1) 11 080 000 р. За 16 компл.
2) 20 082 500 р. За 29 компл.</t>
  </si>
  <si>
    <t xml:space="preserve">ВТБ 03028 (ТП 2177) </t>
  </si>
  <si>
    <t>Казначейство (ТП 645)</t>
  </si>
  <si>
    <t>Волкова Н.С. Личный</t>
  </si>
  <si>
    <t>Прокудин В.Д. Личный</t>
  </si>
  <si>
    <t>Игнатьев М.А. Личный</t>
  </si>
  <si>
    <t>R&amp;D XT-5K</t>
  </si>
  <si>
    <t>Разработка 5 КВт движителя</t>
  </si>
  <si>
    <t>Responsible</t>
  </si>
  <si>
    <t>Анатолий С. Стрельницкий</t>
  </si>
  <si>
    <t>None</t>
  </si>
  <si>
    <t>ООО "ПК "АМ 2.0"</t>
  </si>
  <si>
    <t>Оконный континент</t>
  </si>
  <si>
    <t>Установщик окон</t>
  </si>
  <si>
    <t>www.окна.рф</t>
  </si>
  <si>
    <t>+7 800 775-62-72</t>
  </si>
  <si>
    <t xml:space="preserve">ИП Мелентович А.В. </t>
  </si>
  <si>
    <t>Robotics Gears</t>
  </si>
  <si>
    <t>Волновые редукторы</t>
  </si>
  <si>
    <t>info@roboticsgears.com</t>
  </si>
  <si>
    <t>www.roboticsgears.com</t>
  </si>
  <si>
    <t>+7(925)520-77-13</t>
  </si>
  <si>
    <t>Прокудин В.Д.</t>
  </si>
  <si>
    <t>Игнатьев М.А.</t>
  </si>
  <si>
    <t>Волкова Н.С.</t>
  </si>
  <si>
    <t>ООО "ДКО ЭЛЕКТРОНЩИК"</t>
  </si>
  <si>
    <t>ЭЛЕКТРОНЩИК или Терраэлектроника</t>
  </si>
  <si>
    <t>office@electronshik.ru
office@terraelectronica.ru</t>
  </si>
  <si>
    <t>www.electronshik.ru
www.terraelectronica.ru</t>
  </si>
  <si>
    <t>+7 495 741-65-70
+7 (495) 221-78-04</t>
  </si>
  <si>
    <t>115114, Москва, ул. Дербеневская, д. 1, Бизнес-парк «Дербеневский», строение 1, подъезд 23</t>
  </si>
  <si>
    <t>320-71-65</t>
  </si>
  <si>
    <t>194223, Санкт-Петербург г, Курчатова ул, дом № 10, корпус 17</t>
  </si>
  <si>
    <t>ООО "СМП"</t>
  </si>
  <si>
    <t>SMD</t>
  </si>
  <si>
    <t>Рита</t>
  </si>
  <si>
    <t>sale@smd.ru</t>
  </si>
  <si>
    <t>www.smd.ru</t>
  </si>
  <si>
    <t>+7 (499) 158-73-96
+7-495-940-62-44</t>
  </si>
  <si>
    <t>125565, ГОРОД МОСКВА, ШОССЕ ЛЕНИНГРАДСКОЕ, ДОМ 84, КОРПУС 1</t>
  </si>
  <si>
    <t>Перспектива</t>
  </si>
  <si>
    <t>108841, г. Москва, г. Троицк, пл. Академическая, д.3, этаж №01, пом. 7а, комната 2.</t>
  </si>
  <si>
    <t>ООО "МИКРОЛИТ"</t>
  </si>
  <si>
    <t>Резонит</t>
  </si>
  <si>
    <t>Изготовление печатных плат</t>
  </si>
  <si>
    <t>pcb@rezonit.ru</t>
  </si>
  <si>
    <t>https://www.rezonit.ru/</t>
  </si>
  <si>
    <t>(495) 221-73-44
+7 (495) 777-80-80</t>
  </si>
  <si>
    <t>124527, ГОРОД МОСКВА, ГОРОД ЗЕЛЕНОГРАД, АЛЛЕЯ СОЛНЕЧНАЯ, ДОМ 6, ПОМ XIV ЭТ 2 КОМ 2</t>
  </si>
  <si>
    <t>OKBOTXW-12</t>
  </si>
  <si>
    <t>Поставка лебедки XW-12 в ОКБ ОТ 748 000р.</t>
  </si>
  <si>
    <t>№ 293 от 16.08.2018</t>
  </si>
  <si>
    <t>УПД № 189 от 19.07.2018 - XM-1 - 1шт.
XL-100 - 1шт. (18.07.23)
УПД № 313 от 24.10.2018 -XW-12.V01-1шт</t>
  </si>
  <si>
    <t xml:space="preserve">УПД № 190 от 19.07.2018 - XM-1 - 1шт.
XL-100 - 1шт. (18.07.23)
УПД № 314 от 24.10.2018 -XW-12.V01-1шт
</t>
  </si>
  <si>
    <t>NGS</t>
  </si>
  <si>
    <t>ООО "ЭЛЕКТРОПОСТАВЩИК"</t>
  </si>
  <si>
    <t>Кабель.РФ</t>
  </si>
  <si>
    <t>Кабели</t>
  </si>
  <si>
    <t xml:space="preserve">Шарахова Яна 
Менеджер отдела продаж 
syv@cable.ru 
+7 (495) 646-08-58, доб.2052 </t>
  </si>
  <si>
    <t>zakaz-61236@cable.ru</t>
  </si>
  <si>
    <t>https://cable.ru/</t>
  </si>
  <si>
    <t>+7 (495) 646-08-58</t>
  </si>
  <si>
    <t>119435, Москва г, Саввинский Б. пер, дом № 9, строение 1,  комната 15</t>
  </si>
  <si>
    <t>OZON</t>
  </si>
  <si>
    <t>Интернет магазин всего</t>
  </si>
  <si>
    <t>https://www.ozon.ru/</t>
  </si>
  <si>
    <t>+7 495 730-67-67</t>
  </si>
  <si>
    <t>123112, г. Москва, Пресненская наб., д. 10, Помещение 1, эт. 41, комн. 6</t>
  </si>
  <si>
    <t>Столплит</t>
  </si>
  <si>
    <t>Интернет магазин мебели</t>
  </si>
  <si>
    <t>www.stolplit.ru</t>
  </si>
  <si>
    <t>+7 (499) 769-30-00
+7 (495) 665-58-27</t>
  </si>
  <si>
    <t>107150, г. Москва, Ивантеевская ул., дом 9</t>
  </si>
  <si>
    <t>А-Солар</t>
  </si>
  <si>
    <t>Пленки на окна</t>
  </si>
  <si>
    <t>Екатерина</t>
  </si>
  <si>
    <t>info@usbrus.ru</t>
  </si>
  <si>
    <t>ultrasolarblock.ru</t>
  </si>
  <si>
    <t>8 (495) 741-02-09
8 (800) 707-31-33</t>
  </si>
  <si>
    <t>141580, Московская область, Солнечногорский район, д. Черная Грязь, ул. Спортивная, д. 65, корп. 1</t>
  </si>
  <si>
    <t>ООО "ФУРНИМИР"</t>
  </si>
  <si>
    <t>МДМ-Комплект</t>
  </si>
  <si>
    <t>Мебель</t>
  </si>
  <si>
    <t>https://www.mdm-complect.ru/</t>
  </si>
  <si>
    <t>+7(495)788-80-08</t>
  </si>
  <si>
    <t>125493, Москва г., Флотская ул., дом 5А, эт. 3</t>
  </si>
  <si>
    <t>ООО "ПРОФСТОР"</t>
  </si>
  <si>
    <t>ПрофСтеллаж</t>
  </si>
  <si>
    <t>Стеллажи и шкафы</t>
  </si>
  <si>
    <t>info@profstellag.ru</t>
  </si>
  <si>
    <t>http://profstellag.ru/</t>
  </si>
  <si>
    <t>+ 7 (495) 849-46-76</t>
  </si>
  <si>
    <t>117041, город Москва, улица Академика Понтрягина, дом 21, корпус 1, пом.VII, комн.1</t>
  </si>
  <si>
    <t>Зубков А.Н</t>
  </si>
  <si>
    <t>Торговля авто, токарные работы</t>
  </si>
  <si>
    <t>alzub@yandex.com</t>
  </si>
  <si>
    <t>+7 (926) 532-59-51</t>
  </si>
  <si>
    <t>117588, г. Москва, Новоясеневский проспект, дом 32, корпус 1, кв. 161</t>
  </si>
  <si>
    <t>Телефония</t>
  </si>
  <si>
    <t>Microsoft Office 365</t>
  </si>
  <si>
    <t>AMAZON</t>
  </si>
  <si>
    <t>ПО</t>
  </si>
  <si>
    <t>Вилс.ру</t>
  </si>
  <si>
    <t>Интернет-магазин смазочных, герметизирующих, клеевых материалов и масел</t>
  </si>
  <si>
    <t xml:space="preserve">Каленикова Юлия </t>
  </si>
  <si>
    <t>yu.kalenikova@mirsmazok.ru</t>
  </si>
  <si>
    <t>https://vils.ru/</t>
  </si>
  <si>
    <t>+7 (495) 777-69-52</t>
  </si>
  <si>
    <t>142000, Московская обл., г. Домодедово, мкр-н Востряково, владение "Агрокомплекс", Московский Центр Смазочных Материалов</t>
  </si>
  <si>
    <t>ООО "ТПК "МИКРОН ТУЛС"</t>
  </si>
  <si>
    <t>МИКРОН ТУЛС</t>
  </si>
  <si>
    <t>Производство фрейзерно-токарное ЧПУ.</t>
  </si>
  <si>
    <t>Долженко Иван
Директор по развитию
Mob.:   +7 977 310 28 08
div@mikrontools.ru</t>
  </si>
  <si>
    <t>zakaz@mikrontools.ru</t>
  </si>
  <si>
    <t>http://mikrontools.ru/</t>
  </si>
  <si>
    <t>+7 (977) 310-28-08
+7 (915) 650-95-37</t>
  </si>
  <si>
    <t>г.Москва, Остаповский проезд д.3 стр. 29
215800, Смоленская область, г. Ярцево, ул. 2-я Машиностроительная, стр. 5/1</t>
  </si>
  <si>
    <t>ИП Аперян К.Л.</t>
  </si>
  <si>
    <t>ВЕБОТДЕЛКА.РФ</t>
  </si>
  <si>
    <t>Армен Абраамян
менеджер "WEBOTDELKA"
Телефон +7(495)795-96-41
Моб. телефон +7(909)909-00-19</t>
  </si>
  <si>
    <t>support@webotdelka.ru</t>
  </si>
  <si>
    <t>webotdelka.ru</t>
  </si>
  <si>
    <t>+7(495) 212 07 15
+7 (909) 909 00 19</t>
  </si>
  <si>
    <t>Москва Пронская ул., 3
115184 г.Москва, Озерковская наб., д. 26, стр. 1</t>
  </si>
  <si>
    <t>Город Инструмента</t>
  </si>
  <si>
    <t>Андрей Бочкарев</t>
  </si>
  <si>
    <t>bochkarev.a@toool.ru</t>
  </si>
  <si>
    <t>http://www.toool.ru/</t>
  </si>
  <si>
    <t>+7 (495) 540-48-00</t>
  </si>
  <si>
    <t xml:space="preserve">107023, г. Москва, м. Преображенская площадь или Электрозаводская, ул. Девятая Рота, дом 7а, офис 107. </t>
  </si>
  <si>
    <t>BDXSPS</t>
  </si>
  <si>
    <t>Разработка регистратора для ГОНС</t>
  </si>
  <si>
    <t>УПД № 353 от 19.11.2018 -XW-12-1 шт.</t>
  </si>
  <si>
    <t>УПД № 191 от 19.07.2018 - XM-1 - 1шт. (18.07.23)
УПД № 204 от 30.07.2018 - XL-100 - 1шт.
УПД № 354 от 19.11.2018 - XW-12 - 1шт.</t>
  </si>
  <si>
    <t>ИП Шерсткина Ю. В.</t>
  </si>
  <si>
    <t>Обучение для Саши</t>
  </si>
  <si>
    <t>+7 (977)825-07-38</t>
  </si>
  <si>
    <t>natalia.volkova@hydrobot-x.com</t>
  </si>
  <si>
    <t>+7(977)919-82-67</t>
  </si>
  <si>
    <t>vasiliy.prokudin@hydrobot-x.com</t>
  </si>
  <si>
    <t>mikhail.ignatyev@hydrobot-x.com</t>
  </si>
  <si>
    <t>+7(967)474-32-03</t>
  </si>
  <si>
    <t>http://halfwind.org/</t>
  </si>
  <si>
    <t>194044, САНКТ-ПЕТЕРБУРГ Г, НЕЙШЛОТСКИЙ ПЕР, ДОМ 23, ЛИТЕР А</t>
  </si>
  <si>
    <t>Комино</t>
  </si>
  <si>
    <t>ЧПУ производство</t>
  </si>
  <si>
    <t>Контакт Зубкова С.Н.</t>
  </si>
  <si>
    <t>Александр Черкасов</t>
  </si>
  <si>
    <t>ach@comino.io
info@comino.com</t>
  </si>
  <si>
    <t>comino.com
http://promodz.ru/components/</t>
  </si>
  <si>
    <t>+357 25262933</t>
  </si>
  <si>
    <t>ул. Буракова, 27к34 (проходная напротив ТЦ "Будёновский")</t>
  </si>
  <si>
    <t>Тектоника</t>
  </si>
  <si>
    <t>Велокомпоненты</t>
  </si>
  <si>
    <t>Москва, 4-й Лихачёвский переулок, д.4</t>
  </si>
  <si>
    <t>Бампербол.рф</t>
  </si>
  <si>
    <t>Развлекательные мероприятия, бампербол</t>
  </si>
  <si>
    <t>https://xn--80abbp5adqfk.xn--p1ai/</t>
  </si>
  <si>
    <t>+7 (495) 133-92-24</t>
  </si>
  <si>
    <t>ул. Островитянова, д.10</t>
  </si>
  <si>
    <t>ООО ПП "МЕТАЛЛГАЛЬВАНИКА"</t>
  </si>
  <si>
    <t>МЕТАЛЛГАЛЬВАНИКА</t>
  </si>
  <si>
    <t>Покрятия металлов</t>
  </si>
  <si>
    <t>Медведев Николай</t>
  </si>
  <si>
    <t>www.m-galvanica.ru</t>
  </si>
  <si>
    <t>+7 (499) 346-62-66 
+7 (499) 346-61-96</t>
  </si>
  <si>
    <t>г. Москва, ул. Деловая, дом 18</t>
  </si>
  <si>
    <t>ИП Вагузов А.В.</t>
  </si>
  <si>
    <t>СпортМаркет</t>
  </si>
  <si>
    <t>Интернет магазин спортивных товаров</t>
  </si>
  <si>
    <t>admin@sportmarket.su
manager@sportmarket.su</t>
  </si>
  <si>
    <t>https://sportmarket.su/</t>
  </si>
  <si>
    <t>+7 (831) 261-38-47</t>
  </si>
  <si>
    <t>603081 г.Нижний Новгород пр.Гагарина д.72 кв.26</t>
  </si>
  <si>
    <t>Инновакс</t>
  </si>
  <si>
    <t>Промышленная 3D печать и покрытие</t>
  </si>
  <si>
    <t>Георгий Тарзанян
+7-925-835-19-95
gts@innovax.info</t>
  </si>
  <si>
    <t>info@innovax.info</t>
  </si>
  <si>
    <t>https://innovax.info/</t>
  </si>
  <si>
    <t>+7 499 686-03-65</t>
  </si>
  <si>
    <t>г. Москва, Инновационный центр «Сколково», Большой бульвар 42, корпус 1, офис 503
125212, Москва г, Ленинградское ш, дом № 43 А, стр.2, офис 401, тел.: +7 917 968 55 79</t>
  </si>
  <si>
    <t>Нефтегазхимкомплект</t>
  </si>
  <si>
    <t>Поставка масел и химии</t>
  </si>
  <si>
    <t>Иванов Игорь Анатольевич</t>
  </si>
  <si>
    <t>ivanov@iodine.ru</t>
  </si>
  <si>
    <t>www.iodine.ru</t>
  </si>
  <si>
    <t>+7 926-530-70-56</t>
  </si>
  <si>
    <t>г. Москва, 1-ый Люберецкий проезд, дом 2, стр.1</t>
  </si>
  <si>
    <t>ИП Малышев А.С.</t>
  </si>
  <si>
    <t>Малышев</t>
  </si>
  <si>
    <t>Другое юр. лицо Металлики Дизайн</t>
  </si>
  <si>
    <t>ООО "Р1 ЭКСПО"</t>
  </si>
  <si>
    <t>Сделано лазером</t>
  </si>
  <si>
    <t>Режут лазером и фрезерует</t>
  </si>
  <si>
    <t>Соколов Иван</t>
  </si>
  <si>
    <t>ivans@lasermade.ru</t>
  </si>
  <si>
    <t>www.lasermade.ru</t>
  </si>
  <si>
    <t>+7 (964) 776-97-53</t>
  </si>
  <si>
    <t>г. Москва, Варшавское шоссе, д. 28 А (метро Нагатинская)</t>
  </si>
  <si>
    <t>Пикап Комплект</t>
  </si>
  <si>
    <t>Магазин крепежа</t>
  </si>
  <si>
    <t>Мягков Дмитрий</t>
  </si>
  <si>
    <t>myagkov.d@pickup-komplekt.ru</t>
  </si>
  <si>
    <t>www.pickup-komplekt.ru</t>
  </si>
  <si>
    <t>+7 (964) 711-07-19</t>
  </si>
  <si>
    <t>МО, г. Подольск, ул. Плещеевская, д. 11</t>
  </si>
  <si>
    <t>ООО "Р.Т.И."</t>
  </si>
  <si>
    <t>Изготовление РТИ</t>
  </si>
  <si>
    <t>Крыченкова Наталья
rti-tula@yandex.ru</t>
  </si>
  <si>
    <t>rti@tularti.ru</t>
  </si>
  <si>
    <t>www.tularti.ru</t>
  </si>
  <si>
    <t>8(4872) 35-46-30</t>
  </si>
  <si>
    <t>Россия, 300028, г.Тула, ул. Смидович, 15</t>
  </si>
  <si>
    <t>ООО "АБФАЛЬ РЕЦИКЛИН РУССЛАНД"</t>
  </si>
  <si>
    <t>Абфаль</t>
  </si>
  <si>
    <t>ИП Самохин А.В.</t>
  </si>
  <si>
    <t>Самохин А.В.</t>
  </si>
  <si>
    <t>commerc@zuroplast.ru Подробнее: https://td-zuroplast.tiu.ru/</t>
  </si>
  <si>
    <t>441 ПАО ВТБ (ТАКО)</t>
  </si>
  <si>
    <t>УФК по г.Москве (ГУ МРО ФСС РФ)</t>
  </si>
  <si>
    <t>Талдыкин С.Б. Личный</t>
  </si>
  <si>
    <t>Krep-shop</t>
  </si>
  <si>
    <t>Метизы, крепеж в розницу</t>
  </si>
  <si>
    <t>info@krep-shop.ru</t>
  </si>
  <si>
    <t>https://krep-shop.ru/</t>
  </si>
  <si>
    <t>+7 (499) 673-00-94
+7 (963) 670-48-45</t>
  </si>
  <si>
    <t>125171, г. Москва,
Ленинградское шоссе,
дом 21
143921, Московская обл, Балашиха г, Черное д, Агрогородок ул, дом № 30, квартира 11.</t>
  </si>
  <si>
    <t>Фаворит</t>
  </si>
  <si>
    <t>Инструменты станочные</t>
  </si>
  <si>
    <t>shop@favorit-tools.ru</t>
  </si>
  <si>
    <t>https://favorit-tools.ru/</t>
  </si>
  <si>
    <t>+7 (495) 777 38-49</t>
  </si>
  <si>
    <t>Тульская обл, Тула г, М.Горького ул, дом № 12, кв.707</t>
  </si>
  <si>
    <t>Рабочая Н.Н.</t>
  </si>
  <si>
    <t>+7(915)125-82-45</t>
  </si>
  <si>
    <t>Наталья Н. Рабочая</t>
  </si>
  <si>
    <t>Ранее Петрова</t>
  </si>
  <si>
    <t>Стрельницкий А.С.</t>
  </si>
  <si>
    <t>+7 977 487-46-14</t>
  </si>
  <si>
    <t>anatol.strelnitsky@yandex.ru
anatoly.strelnitsky@gidrobot.ru</t>
  </si>
  <si>
    <t>+7 926 481-26-97</t>
  </si>
  <si>
    <t>Стрельницкий А.С. Личный</t>
  </si>
  <si>
    <t>front@inginiti.ru</t>
  </si>
  <si>
    <t>Штандарт</t>
  </si>
  <si>
    <t>Запчасти для винтомоторов</t>
  </si>
  <si>
    <t>Дмитрий Моргачёв</t>
  </si>
  <si>
    <t>morgachev@standarte.ru</t>
  </si>
  <si>
    <t>WWW.STANDARTE.RU</t>
  </si>
  <si>
    <t>+7 (495) 575 67 23</t>
  </si>
  <si>
    <t>141401, г. Химки, Спортивная ул., д.34А</t>
  </si>
  <si>
    <t>Глобал Капитал</t>
  </si>
  <si>
    <t>Сдлад б/у мебели</t>
  </si>
  <si>
    <t>Ирина Ганаева</t>
  </si>
  <si>
    <t>2014_irina@mail.ru</t>
  </si>
  <si>
    <t>https://www.avito.ru/officeshop2/rossiya/mebel_i_interer</t>
  </si>
  <si>
    <t>8 965 420-71-37
+7(915) 474 91 55</t>
  </si>
  <si>
    <t>КПП 770201001, 129110, Москва г, Банный пер, дом № 2, строение 2</t>
  </si>
  <si>
    <t>VAT Type</t>
  </si>
  <si>
    <t>VAT Amount</t>
  </si>
  <si>
    <t>VAT Types</t>
  </si>
  <si>
    <t>Без НДС</t>
  </si>
  <si>
    <t>Льготный НДС</t>
  </si>
  <si>
    <t>С НДС</t>
  </si>
  <si>
    <t>Элитан</t>
  </si>
  <si>
    <t>Электронные компоненты (Molex)</t>
  </si>
  <si>
    <t>zakaz@elitan.ru</t>
  </si>
  <si>
    <t>elitan.ru</t>
  </si>
  <si>
    <t>+7 (495) 649-84-45</t>
  </si>
  <si>
    <t>426063, Удмуртская Респ, Ижевск г, Мельничная ул, дом № 34А</t>
  </si>
  <si>
    <t>ООО "ЭФО"</t>
  </si>
  <si>
    <t>ЭФО</t>
  </si>
  <si>
    <t>Электронные компоненты (Vicor)</t>
  </si>
  <si>
    <t>Алексей Степанов-Гецци</t>
  </si>
  <si>
    <t>asgz@efo.ru</t>
  </si>
  <si>
    <t>efo.ru</t>
  </si>
  <si>
    <t>+7(495)933-07-43</t>
  </si>
  <si>
    <t>127486, Москва, Коровинское шоссе, д.10, стр.2, оф.30</t>
  </si>
  <si>
    <t>Металообработка</t>
  </si>
  <si>
    <t xml:space="preserve">
info@giada.pro</t>
  </si>
  <si>
    <t>(831)282-82-70 доб. 1</t>
  </si>
  <si>
    <t>603037, Россия, Нижний Новгород, Ул. Торфяная, д. 30, корп. 1</t>
  </si>
  <si>
    <t>Электропривод</t>
  </si>
  <si>
    <t>Поставка электродвигателей</t>
  </si>
  <si>
    <t>Зуева Татьяна</t>
  </si>
  <si>
    <t>privod@eprivod.ru</t>
  </si>
  <si>
    <t>electroprivod.ru</t>
  </si>
  <si>
    <t>+7 (800) 100-97-56</t>
  </si>
  <si>
    <t>Москва г, Нагатинская ул, дом № 1, строение 29, этаж 3</t>
  </si>
  <si>
    <t>R&amp;D XW-12 V5</t>
  </si>
  <si>
    <t>ООО "ИКЕА ДОМ"</t>
  </si>
  <si>
    <t>ИКЕА Тёплый стан</t>
  </si>
  <si>
    <t>Елена Ильющенко</t>
  </si>
  <si>
    <t>b336@ikea.com</t>
  </si>
  <si>
    <t>ikea.com</t>
  </si>
  <si>
    <t>+7 964 721 40 24 
+7 495 737 30 04 доб.8984</t>
  </si>
  <si>
    <t>14277, г. Москва, поселение Сосенское, Калужское шоссе 21 км, ТРЦ "Мега"</t>
  </si>
  <si>
    <t>Мерчук</t>
  </si>
  <si>
    <t>Услуги</t>
  </si>
  <si>
    <t>Услуги организации корпоратива (Александр Рыжов)</t>
  </si>
  <si>
    <t>Авито</t>
  </si>
  <si>
    <t>Природный дар</t>
  </si>
  <si>
    <t>Доставка воды в офис</t>
  </si>
  <si>
    <t>info@prirodniydar.ru</t>
  </si>
  <si>
    <t>https://prirodniydar.ru</t>
  </si>
  <si>
    <t>+7 (495) 374-70-41</t>
  </si>
  <si>
    <t>140060, Московская область, Люберецкий, РП Октябрьский, ул. Ленина, дом 55, литера Д, оф. 1А</t>
  </si>
  <si>
    <t>ИКФ Консалтинг</t>
  </si>
  <si>
    <t>Изготовление пресс-форм</t>
  </si>
  <si>
    <t>Формы под литьё от Тула РТИ</t>
  </si>
  <si>
    <t>300028, Тульская область, Тула, ул. Ползунова, дом 3</t>
  </si>
  <si>
    <t>УПД № 52 от 25.02.2019
XL-100 - 4шт.
XW-12 - 4шт.
XL-100 - 4шт.</t>
  </si>
  <si>
    <t>R&amp;D Hydrocylinder XH-150</t>
  </si>
  <si>
    <t>polimerforming@mail.ru</t>
  </si>
  <si>
    <t>Кутяев С.М.</t>
  </si>
  <si>
    <t>Водник</t>
  </si>
  <si>
    <t>https://vodnik.1000size.ru/</t>
  </si>
  <si>
    <t>Гребные винты и запчати</t>
  </si>
  <si>
    <t xml:space="preserve">in@1000size.ru </t>
  </si>
  <si>
    <t>+7 495 374-79-91</t>
  </si>
  <si>
    <t>Москва, Волгоградский проспект, дом 42, корпус 9</t>
  </si>
  <si>
    <t>Кутяев С.М. Личный</t>
  </si>
  <si>
    <t>Оптимизация цены и качества коробов для лебедок</t>
  </si>
  <si>
    <t>Реверс инжиниринг Манипулятора Hydro-Lek</t>
  </si>
  <si>
    <t>Server Rental</t>
  </si>
  <si>
    <t>ТП34</t>
  </si>
  <si>
    <t>ТП35</t>
  </si>
  <si>
    <t>ТП35 Доп. Соглашение</t>
  </si>
  <si>
    <t>ТП42</t>
  </si>
  <si>
    <t>ИП Казаков С.В.</t>
  </si>
  <si>
    <t>Закрути.RU</t>
  </si>
  <si>
    <t>Магазин инструмента и крепежа</t>
  </si>
  <si>
    <t>market@zakruti.ru
marshmetiz79@gmail.com</t>
  </si>
  <si>
    <t>http://zakruti.ru/</t>
  </si>
  <si>
    <t>Тел. магазина 7 (495) 543-7932
тел./факс (495)937-97-19
моб.8(903) 783-00-72</t>
  </si>
  <si>
    <t>115142, РФ, Москва, Коломенская ул., д. 9, кв. 506</t>
  </si>
  <si>
    <t>Сделано Лазером</t>
  </si>
  <si>
    <t>Раньше был "Р1 Экспо"</t>
  </si>
  <si>
    <t>89035118010@mail.ru</t>
  </si>
  <si>
    <t>+7 925 773-73-80</t>
  </si>
  <si>
    <t>г. Москва, ул. Осташковская, дом 14</t>
  </si>
  <si>
    <t>Видбрусок</t>
  </si>
  <si>
    <t>Продажа  алмазных паст\точильных камней</t>
  </si>
  <si>
    <t>medvedkova@brick-line.ru</t>
  </si>
  <si>
    <t>http://www.vidbrusok.ru/</t>
  </si>
  <si>
    <t>+7 (495) 649-89-16 доб. 3</t>
  </si>
  <si>
    <t>г. Москва, м. Дмитровская, ул. Новодмитровская 5А, стр. 11, этаж 3</t>
  </si>
  <si>
    <t>ИП Синев А.Ю.</t>
  </si>
  <si>
    <t>3DiY</t>
  </si>
  <si>
    <t>Производство и продажа 3D-принтеров
Услуги по ремонту 3D-принтеров и 3D-печати
Продажа комплектующих для 3D-принтеров, ЧПУ и Робототехники</t>
  </si>
  <si>
    <t>info@3d-diy.ru</t>
  </si>
  <si>
    <t>https://3d-diy.ru/company/</t>
  </si>
  <si>
    <t>+7 499 390‑50-30</t>
  </si>
  <si>
    <t>Москва, Духовской переулок 17с3, м Тульская</t>
  </si>
  <si>
    <t>Gravernu</t>
  </si>
  <si>
    <t>Лазерная гравировка. Изготовление шильд, табличек, лицевых панелей приборов. </t>
  </si>
  <si>
    <t>info@mblmebel.ru
mblmebel@mail.ru
zakaz@mblmebel.ru</t>
  </si>
  <si>
    <t>http://gravernu.ru/map.html</t>
  </si>
  <si>
    <t>+7(495)231-6162
+7(495)761-5755</t>
  </si>
  <si>
    <t>123007, Россия, Москва, ул. 1-я Магистральная, дом 18. (Как ориентир - напротив здание ЗБО "Автомобильные дороги". Заезд со стороны 1-й Магистральной улицы под шлагбаум)</t>
  </si>
  <si>
    <t>ООО "МБЛ-ГРУПП"</t>
  </si>
  <si>
    <t>МБЛ-ГРУПП</t>
  </si>
  <si>
    <t>Занимается скупкой, восстановлением и продажей комиссионной мебели</t>
  </si>
  <si>
    <t>https://mblmebel.com</t>
  </si>
  <si>
    <t>+7 (495) 231-61-62 
+7 (495) 761-57-55</t>
  </si>
  <si>
    <t>г. Москва, ул. Горбунова, 6 корпус 2 строение 1</t>
  </si>
  <si>
    <t>ООО "МОТУС ГРУПП"</t>
  </si>
  <si>
    <t>ТАБ-АРТ</t>
  </si>
  <si>
    <t>Изготовление различных типовых видов полиграфической продукции</t>
  </si>
  <si>
    <t>zakaz@tab-art.ru</t>
  </si>
  <si>
    <t>http://www.tab-art.ru/</t>
  </si>
  <si>
    <t>+7 (495) 744-38-86
+7 (495) 517-17-22</t>
  </si>
  <si>
    <t>Г. МОСКВА, УЛ. ШАРИКОПОДШИПНИКОВСКАЯ, Д. 22, ПОДЪЕЗД 5, ОФИС 542</t>
  </si>
  <si>
    <t>ООО "НПК ЭКОВАННА"</t>
  </si>
  <si>
    <t>ЭКОВАННА</t>
  </si>
  <si>
    <t>Производство полимерных покрытий и реставрация ванн</t>
  </si>
  <si>
    <t>ecovanna@ya.ru</t>
  </si>
  <si>
    <t>https://ecovanna.ru</t>
  </si>
  <si>
    <t>Склад м. Алтуфьево: +7 977 893 77 71
Склад м. Авиамоторная: +7 929 618 83 48
Реставрация ванн +7 495 109-00-13
Курьерская доставка 8 800 550-45-49</t>
  </si>
  <si>
    <t>127410, Россия, г. Москва, Алтуфьевское шоссе 53, строение 5</t>
  </si>
  <si>
    <t>ОНЛАЙНТРЕЙД.РУ</t>
  </si>
  <si>
    <t>Интернет-магазин по продаже бытовой техники, электроники, товаров для дома и дачи, детских товаров, автотоваров и пр.</t>
  </si>
  <si>
    <t>Владимир Першин
Менеджер отдела продаж</t>
  </si>
  <si>
    <t>Pershin@onlinetrade.ru</t>
  </si>
  <si>
    <t>https://www.onlinetrade.ru/</t>
  </si>
  <si>
    <t>тел.: +7(495)150-01-71 доб. 213</t>
  </si>
  <si>
    <t>г. Химки, микрорайон Подрезково, квартал Кирилловка, стр.,32</t>
  </si>
  <si>
    <t>info@alterv.ru</t>
  </si>
  <si>
    <t>ИП Смирнов В.А.</t>
  </si>
  <si>
    <t>ИП Дерксен Е.А.</t>
  </si>
  <si>
    <t>Репин
Виктор Ливнев</t>
  </si>
  <si>
    <t>samodelkyn@yandex.ru
alinco496@yandex.ru</t>
  </si>
  <si>
    <t>+7 (903) 172-40-94
+7(926)375-58-51</t>
  </si>
  <si>
    <t>ИП Ройтман Д.В.</t>
  </si>
  <si>
    <t>ИП Титов В.С.</t>
  </si>
  <si>
    <t>ИП Чакурян А.О.</t>
  </si>
  <si>
    <t>ИП Шерсткина</t>
  </si>
  <si>
    <t>ИП Мерчук А.В.</t>
  </si>
  <si>
    <t>ИП Ванкович Е.В.</t>
  </si>
  <si>
    <t>ИП Резвова Т.В.</t>
  </si>
  <si>
    <t>bogdanov@laser4000.ru
comm@laser4000.ru</t>
  </si>
  <si>
    <t>mail@tmteh.ru</t>
  </si>
  <si>
    <t>https://tmteh.ru/</t>
  </si>
  <si>
    <t>198099, г. Санкт-Петербург, ул. Калинина, д. 13, пом. 250</t>
  </si>
  <si>
    <t>+7 (812) 960-29-19
+7 (981) 681-39-85</t>
  </si>
  <si>
    <t>Максим</t>
  </si>
  <si>
    <t>https://giada-nn.ru/</t>
  </si>
  <si>
    <t>АО "Владисфен"</t>
  </si>
  <si>
    <t>ИП Мурзин А.В.</t>
  </si>
  <si>
    <t>ПАО "Полимерсинтез"</t>
  </si>
  <si>
    <t>Микросферы</t>
  </si>
  <si>
    <t>Дмитрий Манушин</t>
  </si>
  <si>
    <t>info@polymersintez.ru
dm19610122@yandex.ru</t>
  </si>
  <si>
    <t>http://www.polymersintez.ru</t>
  </si>
  <si>
    <t>+7 958 581-53-94</t>
  </si>
  <si>
    <t>ул. Большая Нижегородская, 77, г. Владимир, 600016</t>
  </si>
  <si>
    <t>СКБ-077</t>
  </si>
  <si>
    <t>Вакуумные системы</t>
  </si>
  <si>
    <t>Мурзин Алексей Владимирович</t>
  </si>
  <si>
    <t>info@skb-077.ru</t>
  </si>
  <si>
    <t>http://www.skb-077.ru/</t>
  </si>
  <si>
    <t>+7 (963) 624 9229
+7 (925) 877 0854</t>
  </si>
  <si>
    <t>Юридический адрес и адрес для корреспонденции: 141732, Московская область, город Лобня, ул. авиационная 10а, кв.62</t>
  </si>
  <si>
    <t>Раньше УК Базис</t>
  </si>
  <si>
    <t>Эдуард</t>
  </si>
  <si>
    <t>+7 (903) 615-15-67</t>
  </si>
  <si>
    <t>Артем  Филатов 
Михаил Юрьевич (по вопросам актов сверки к нему)</t>
  </si>
  <si>
    <t>filaas@list.ru
61ms@mail.ru (Михаил Юрьевич)</t>
  </si>
  <si>
    <t>+7 (915) 335-30-35 ( М.Ю.)</t>
  </si>
  <si>
    <t>Алексей Богданов</t>
  </si>
  <si>
    <t>+7 (903) 220-27-42</t>
  </si>
  <si>
    <t>Акоп</t>
  </si>
  <si>
    <t>+7 (926) 300-04-88</t>
  </si>
  <si>
    <t>TechPort</t>
  </si>
  <si>
    <t>Торговля бытовой техникой</t>
  </si>
  <si>
    <t>documents@addi.ru
zakaz@techport.ru</t>
  </si>
  <si>
    <t>https://www.techport.ru/</t>
  </si>
  <si>
    <t>+7(495)228-66-69</t>
  </si>
  <si>
    <t>141400 Московская область, город Химки,улица Рабочая, дом 2А, корпус 22А,офис 212А</t>
  </si>
  <si>
    <t>УФК по г.Москве (ИФНС России N 19 ВАО по г.Москве)</t>
  </si>
  <si>
    <t>Управление
федерального
казначейства МФ РФ по г.
Москве ( ИФНС России N 19 ВАО по г.Москве)</t>
  </si>
  <si>
    <t>Дезинфекия и сервис</t>
  </si>
  <si>
    <t>Убрка помещения (с youDo)</t>
  </si>
  <si>
    <t>+7 (926) 983-69-36</t>
  </si>
  <si>
    <t>Манипуляторы XM-1 - 1 шт. - 351 900 р.
Грузовые захваты XL-100 - 1 шт. - 326 400 р.
Лебедки кабельные XW-12 - 1 шт. - 734 400 р.</t>
  </si>
  <si>
    <t>ТП2630</t>
  </si>
  <si>
    <t>№1419187406951020105007000/ТП2630</t>
  </si>
  <si>
    <t>СБЕР 64039 (ГОЗ 2630)</t>
  </si>
  <si>
    <t>06.05.2019 - 243069.47 р
Осталось - 416778.73 р</t>
  </si>
  <si>
    <t>Договор №7 Спец. № 4</t>
  </si>
  <si>
    <t>Манипуляторы XM-1 - 2 шт. - 351 900 р.
Грузовые захваты XL-100 - 2 шт. - 326 400 р.
Лебедки кабельные XW-12 - 2 шт. - 734 400 р.
Оплата до 16.12.2018</t>
  </si>
  <si>
    <t>Договор поставки №7 от 15 января 2018</t>
  </si>
  <si>
    <t>Манипуляторы XM-1 - 1 шт. - 351 900 р.</t>
  </si>
  <si>
    <t>Договор №7 Спец. № 3</t>
  </si>
  <si>
    <t>№1419187406951020105007000/22492018
Сопровождение производства ИП Зубков С.Н. Заказ №016 Cборка № 018, 021, 024</t>
  </si>
  <si>
    <t>№1518187308541020105015530/196
Сопровождение производства ИП Зубков С.Н. Заказ №016 Cборка № 019, 022, 025</t>
  </si>
  <si>
    <t>ИП Ермоленко М. Ю.</t>
  </si>
  <si>
    <t>Курсы переговорных поединков</t>
  </si>
  <si>
    <t>Ермоленко Михаил Юрьевич</t>
  </si>
  <si>
    <t>info@mirtalks.ru</t>
  </si>
  <si>
    <t>+7 926 394-84-83</t>
  </si>
  <si>
    <t>ПРОМСВЯЗЬ 29047 (ТП 1674)</t>
  </si>
  <si>
    <t>РУСИНКОМ</t>
  </si>
  <si>
    <t>Аренда</t>
  </si>
  <si>
    <t>8(495)280-08-28 (Бухгалтерия)
8(495)280-08-38 (Отдел Аренды)</t>
  </si>
  <si>
    <t>117405, Варшавское шоссе 170 Г</t>
  </si>
  <si>
    <t>ООО "СИЭНСИЭМ Груп"</t>
  </si>
  <si>
    <t>СИЭНСИЭМ Груп</t>
  </si>
  <si>
    <t>Инструмент для ЧПУ</t>
  </si>
  <si>
    <t>Дмитрий Драчев</t>
  </si>
  <si>
    <t>vten@cncmagazine.ru</t>
  </si>
  <si>
    <t>cncmagazine.ru</t>
  </si>
  <si>
    <t>+7(800)555-41-16</t>
  </si>
  <si>
    <t>г. Барнаул, ул. Балтийская, 24</t>
  </si>
  <si>
    <t>ООО "РИНКОМ"</t>
  </si>
  <si>
    <t>РИНКОМ</t>
  </si>
  <si>
    <t>all@rinscom.com</t>
  </si>
  <si>
    <t>https://www.rinscom.com/</t>
  </si>
  <si>
    <t>+7(800)200-48-32</t>
  </si>
  <si>
    <t>Москва, ул. 1-я Фрезерная, д.2/1, стр.5 
+7 (495) 108-02-35</t>
  </si>
  <si>
    <t>Бузаев Д.А. Личный</t>
  </si>
  <si>
    <t>Zeta</t>
  </si>
  <si>
    <t>ИП Ляшенко М.В.</t>
  </si>
  <si>
    <t>Материалы для вакуумной инфузии</t>
  </si>
  <si>
    <t>ИП Пелехатый М. М.</t>
  </si>
  <si>
    <t>НЛП Практик</t>
  </si>
  <si>
    <t>Курсы по НЛП</t>
  </si>
  <si>
    <t>Пелехатый Михаил Михайлович</t>
  </si>
  <si>
    <t xml:space="preserve">info@institutnlp.ru </t>
  </si>
  <si>
    <t>+7 (985) 210-30-03</t>
  </si>
  <si>
    <t>127349, Москва, Шенкурский пр., 3Б</t>
  </si>
  <si>
    <t>Поставщик Maxon</t>
  </si>
  <si>
    <t>Второе Юр лицо</t>
  </si>
  <si>
    <t>RcDrive.ru</t>
  </si>
  <si>
    <t>Поставка сервомоторов, магазиз хобби и RC моделек</t>
  </si>
  <si>
    <t>Роман</t>
  </si>
  <si>
    <t>www.rcdrive.ru</t>
  </si>
  <si>
    <t>info@rcdrive.ru</t>
  </si>
  <si>
    <t>8 (800) 250-23-70</t>
  </si>
  <si>
    <t>117630, г. Москва, Старокалужское ш., д. 62, корп. 9, оф. 603</t>
  </si>
  <si>
    <t>WEB-PACK</t>
  </si>
  <si>
    <t>Упаковочная продукция</t>
  </si>
  <si>
    <t>mail@my-pack.ru</t>
  </si>
  <si>
    <t>https://my-pack.ru</t>
  </si>
  <si>
    <t>8(495) 540-47-06</t>
  </si>
  <si>
    <t>111024, Москва, Перовский проезд, д. 3, стр. 21 (проезд со стороны 4-ая Кабельная улица)</t>
  </si>
  <si>
    <t>ООО  "ДАЙМЭКС"</t>
  </si>
  <si>
    <t>ДАЙМЭКС</t>
  </si>
  <si>
    <t>Доставка</t>
  </si>
  <si>
    <t>http://www.dimex.ws/</t>
  </si>
  <si>
    <t>ООО "ТРИУМФ"</t>
  </si>
  <si>
    <t>Ассортимент БТ</t>
  </si>
  <si>
    <t>Булдаков Евгений</t>
  </si>
  <si>
    <t>https://assortiment-bt.ru/</t>
  </si>
  <si>
    <t>m3@assortiment-bt.ru</t>
  </si>
  <si>
    <t>8 800-555-47-60, доб. 904
+7 (495) 256-22-56</t>
  </si>
  <si>
    <t>Москва, Нижегородская ул., 29-33, стр. 27, офис 208</t>
  </si>
  <si>
    <t>ООО "МОТОРЕ РИТЕЙЛ РУС"</t>
  </si>
  <si>
    <t>МОТОРЕ РИТЕЙЛ РУС</t>
  </si>
  <si>
    <t>Поставка и резка кабеля</t>
  </si>
  <si>
    <t>8(937)230-55-55</t>
  </si>
  <si>
    <t>445047, Самарская обл., г. Тольятти, Рябиновый бульвар, 2а, 36</t>
  </si>
  <si>
    <t>ООО "БЕНЕДИФ"</t>
  </si>
  <si>
    <t>БЕНЕДИФ</t>
  </si>
  <si>
    <t>125363, г. Москва, бульвар Яна Райниса, дом 31 Эт 1 пом XXIV ком 3</t>
  </si>
  <si>
    <t>ОЧУ "Специалист.ру"</t>
  </si>
  <si>
    <t>ОЧУ Специалист</t>
  </si>
  <si>
    <t>Курсы Специалист при МГТУ</t>
  </si>
  <si>
    <t>Иванушкина Анастасия</t>
  </si>
  <si>
    <t>info@specialist.ru</t>
  </si>
  <si>
    <t>https://www.specialist.ru/</t>
  </si>
  <si>
    <t>+7 (495) 780-48-47 доб. 247</t>
  </si>
  <si>
    <t xml:space="preserve">123317, город Москва, улица Зоологическая, дом 11, строение 2, помещение I, этаж 2, комната 14. </t>
  </si>
  <si>
    <t>ФОРСАЖ</t>
  </si>
  <si>
    <t>Магазин RC моделей, Сервопривода</t>
  </si>
  <si>
    <t>http://rc-forsage.ru/</t>
  </si>
  <si>
    <t>kuzminov_m@mail.ru</t>
  </si>
  <si>
    <t>+7(985)919-45-80</t>
  </si>
  <si>
    <t>249950, Калужская обл., г. Медынь, ул. Шевцова восточная, д.2</t>
  </si>
  <si>
    <t>ИП Кузьминов М.С.</t>
  </si>
  <si>
    <t>ИП Левшин О.В.</t>
  </si>
  <si>
    <t>Стройкатека</t>
  </si>
  <si>
    <t>Строительные материалы и инструменты</t>
  </si>
  <si>
    <t>Евгений Степаненко</t>
  </si>
  <si>
    <t>shop@stroykateka.ru</t>
  </si>
  <si>
    <t>https://stroykateka.ru/ </t>
  </si>
  <si>
    <t>+7 (999) 824-01-41</t>
  </si>
  <si>
    <t>115470, Москва, Нагатинская наб., дом 42, корпус 2, кв.16</t>
  </si>
  <si>
    <t>ИП Минахметов Р.А.</t>
  </si>
  <si>
    <t>Пластион</t>
  </si>
  <si>
    <t xml:space="preserve">Поддоны </t>
  </si>
  <si>
    <t>Рустам Минахметов</t>
  </si>
  <si>
    <t>plast-ion@mail.ru</t>
  </si>
  <si>
    <t>https://www.plastion.ru/</t>
  </si>
  <si>
    <t>+7 (499)394-46-05</t>
  </si>
  <si>
    <t>107150, Москва, ул. Ивантеевская, дом 11б, оф. 14</t>
  </si>
  <si>
    <t>Пневмакс</t>
  </si>
  <si>
    <t>Пневматические фитинги, фильтры и т.п.</t>
  </si>
  <si>
    <t>mail@pneumax.ru</t>
  </si>
  <si>
    <t>pneumax.ru</t>
  </si>
  <si>
    <t>+7 (495) 739-39-99</t>
  </si>
  <si>
    <t>Московская обл, Химки г, Коммунальный проезд, владение 30, комнпата А413</t>
  </si>
  <si>
    <t>Электронная техника</t>
  </si>
  <si>
    <t>Александр Зиновьев</t>
  </si>
  <si>
    <t>1206@pleer.ru</t>
  </si>
  <si>
    <t>pleer.ru</t>
  </si>
  <si>
    <t>+7 (495) 775-04-75, доб. 1206, + 7 (916) 569-65-95</t>
  </si>
  <si>
    <t>111123, Москва г, Энтузиастов 
ш, дом № 31, строение 50-55 этаж 2, помещение VIII, комната 22.23</t>
  </si>
  <si>
    <t>ООО "СЕГМЕНТ-М"</t>
  </si>
  <si>
    <t>СЕГМЕНТ-М</t>
  </si>
  <si>
    <t>БУ мебель</t>
  </si>
  <si>
    <t>Лилия</t>
  </si>
  <si>
    <t>bgv@segment-m.ru
semen@segment-m.ru</t>
  </si>
  <si>
    <t>http://www.segment-m.ru/
https://www.avito.ru/segment-bgv</t>
  </si>
  <si>
    <t>+7 (495) 961-00-72
+7 (495) 961-00-62</t>
  </si>
  <si>
    <t>Магазин на Беговой
1-я Магистральная ул., вл.4, стр.6
Магазин на Семеновской
ул. Ибрагимова д.31 корп.10</t>
  </si>
  <si>
    <t>LAPP</t>
  </si>
  <si>
    <t>Кабели LAPP</t>
  </si>
  <si>
    <t>Антон Пауэрс</t>
  </si>
  <si>
    <t>lappsales@lappgroup.ru</t>
  </si>
  <si>
    <t>https://lapprussia.lappgroup.com/</t>
  </si>
  <si>
    <t>+7 (846)231-51-55</t>
  </si>
  <si>
    <t>443028, Самарская область, г. Самара, микрорайон Крутые ключи, ул. Мира, д. 7</t>
  </si>
  <si>
    <t>Империя</t>
  </si>
  <si>
    <t>Оргстекло, резка оргстекла</t>
  </si>
  <si>
    <t>Сергей Коршунов</t>
  </si>
  <si>
    <t>info@tbc-empire.ru
korshunov@tbc-empire.ru</t>
  </si>
  <si>
    <t>https://www.tbc-empire.ru</t>
  </si>
  <si>
    <t>7 (495) 104-31-93</t>
  </si>
  <si>
    <t>Москва, ул. Иловайская, д. 2Б (литерация) стр.3
(на территории Интертрансэкспедиция)</t>
  </si>
  <si>
    <t>FAM-Drive</t>
  </si>
  <si>
    <t>Привода, муфты, редукторы</t>
  </si>
  <si>
    <t>Дронова Оксана</t>
  </si>
  <si>
    <t>do@fam-m.ru</t>
  </si>
  <si>
    <t>https://fam-drive.ru/</t>
  </si>
  <si>
    <t>+7(495) 137-80-27 (доб.820)</t>
  </si>
  <si>
    <t>117405, РФ, г. Москва,
ул. Дорожная, дом 60 Б, офис 516.</t>
  </si>
  <si>
    <t>Металлографика</t>
  </si>
  <si>
    <t>Металлографика, изготовление панелей</t>
  </si>
  <si>
    <t>Галина Ивановна</t>
  </si>
  <si>
    <t>zakaz@metallografika.ru</t>
  </si>
  <si>
    <t>http://metallografika.ru</t>
  </si>
  <si>
    <t>+7 (812)325-96-51, доб. 101</t>
  </si>
  <si>
    <t>190000, Санкт-Петербург г, Декабристов ул, д. 6,  лит. А, пом.10-Н, офис 1-37</t>
  </si>
  <si>
    <t>ООО "ЭПОКСИМАКС"</t>
  </si>
  <si>
    <t>Смола 2.0</t>
  </si>
  <si>
    <t>Товары литья и творчества</t>
  </si>
  <si>
    <t>Зинина Екатерина</t>
  </si>
  <si>
    <t>info@smola20.ru</t>
  </si>
  <si>
    <t>Smola20.ru</t>
  </si>
  <si>
    <t>8 (800) 707-35-87</t>
  </si>
  <si>
    <t>197374, Россия, Санкт-Петербург, ул. Савушкина д.89, корп. Лит.А
помещение 15Н, №33</t>
  </si>
  <si>
    <t>Бузаев Д.А.</t>
  </si>
  <si>
    <t>Техноавиа</t>
  </si>
  <si>
    <t>СИЗ и инвентарь для техобслуживания</t>
  </si>
  <si>
    <t>Наталья Бутова</t>
  </si>
  <si>
    <t>butova@technoavia.ru</t>
  </si>
  <si>
    <t>https://www.technoavia.ru</t>
  </si>
  <si>
    <t>+7 495 789-90-20 
доб. 22-02</t>
  </si>
  <si>
    <t>г. Москва, ул. В. Петушкова, д. 21, к. 1 (офис)</t>
  </si>
  <si>
    <t>ЧПУ Технологии</t>
  </si>
  <si>
    <t>Станки с ЧПУ режущие и для плазменной резки, 3д-принтеры, комплектующие, режущий инструмент</t>
  </si>
  <si>
    <t>Павел</t>
  </si>
  <si>
    <t>info@cnctechnology.ru</t>
  </si>
  <si>
    <t>https://cnc-tehnologi.ru</t>
  </si>
  <si>
    <t>+7 495 128-12-47 
доб. 110</t>
  </si>
  <si>
    <t>Москва, ул. Дубнинская, 79Б</t>
  </si>
  <si>
    <t>ООО "ШПИНДЕЛЬ ТРЕЙД"</t>
  </si>
  <si>
    <t>Шпиндель Трейд</t>
  </si>
  <si>
    <t>Шпиндели, оснастка, аксессуары для станков с ЧПУ</t>
  </si>
  <si>
    <t>info@cnc-spindle.ru</t>
  </si>
  <si>
    <t>https://cnc-spindle.ru/</t>
  </si>
  <si>
    <t>8 (495) 782-5530
8 (800) 301-0172</t>
  </si>
  <si>
    <t>Московская область, Красногорский р-он., Путилковское шоссе, 45</t>
  </si>
  <si>
    <t>Макита</t>
  </si>
  <si>
    <t>Инструменты макита</t>
  </si>
  <si>
    <t>https://makitatrading.ru/</t>
  </si>
  <si>
    <t>+7 965 294-71-21</t>
  </si>
  <si>
    <t>Москва, Нижегородская ул. дом 29-33 стр. 11 ком.204</t>
  </si>
  <si>
    <t>ТП1674</t>
  </si>
  <si>
    <t>Яхт-партс</t>
  </si>
  <si>
    <t>Винты и запчасти для подрулек</t>
  </si>
  <si>
    <t>Егор Комогорцев</t>
  </si>
  <si>
    <t>egor@yacht-parts.ru</t>
  </si>
  <si>
    <t>yacht-parts.ru</t>
  </si>
  <si>
    <t>+7 4012 337 445</t>
  </si>
  <si>
    <t>Россия, 236006, г.Калининград, ул. Октябрьская 8 - 202</t>
  </si>
  <si>
    <t>Реабин</t>
  </si>
  <si>
    <t>Поставщик лабораторных ЧПУ станков</t>
  </si>
  <si>
    <t>Андрей</t>
  </si>
  <si>
    <t>reabin@mail.ru</t>
  </si>
  <si>
    <t>http://reabin.ru/</t>
  </si>
  <si>
    <t>+7 925 545 86 95</t>
  </si>
  <si>
    <t>Днепропетровская ул., 18А, Москва, 117570</t>
  </si>
  <si>
    <t>ИП Неменшая В. Н.</t>
  </si>
  <si>
    <t>Продажа фанеры</t>
  </si>
  <si>
    <t>info@fanera-osb.ru</t>
  </si>
  <si>
    <t>https://www.fanera-osb.ru</t>
  </si>
  <si>
    <t>+7 (499) 677-51-76</t>
  </si>
  <si>
    <t xml:space="preserve">141044, дер. Грибки, Мытищинский р-н, Дмитровское шоссе, стр. 48, помещение 4
</t>
  </si>
  <si>
    <t>МеталМастер</t>
  </si>
  <si>
    <t>info@metalmaster.ru</t>
  </si>
  <si>
    <t>https://metalmaster.ru/</t>
  </si>
  <si>
    <t>8(499) 288-57-10</t>
  </si>
  <si>
    <t>г. Москва4-й Рощинский проезд д. 18. стр. 7</t>
  </si>
  <si>
    <t>Cu-prum</t>
  </si>
  <si>
    <t>Цветной металлопрокат</t>
  </si>
  <si>
    <t>zakaz@cu-prum.ru</t>
  </si>
  <si>
    <t>https://cu-prum.ru/</t>
  </si>
  <si>
    <t>8 (495) 101‑70-33</t>
  </si>
  <si>
    <t>г. Москва, ул. Никопольская 6 стр.2</t>
  </si>
  <si>
    <t>Машсервис</t>
  </si>
  <si>
    <t>Инструменты для станка</t>
  </si>
  <si>
    <t>info@m-ser.ru</t>
  </si>
  <si>
    <t>https://m-ser.ru/</t>
  </si>
  <si>
    <t>+7 (495) 988-22-19</t>
  </si>
  <si>
    <t>125167, г. Москва, Ленинградский проспект 37, корпус 9, офис 676</t>
  </si>
  <si>
    <t>OlmiTool</t>
  </si>
  <si>
    <t>Режущий инструмент</t>
  </si>
  <si>
    <t>freza@olmitool.ru</t>
  </si>
  <si>
    <t>https://olmitool.ru/</t>
  </si>
  <si>
    <t>8 (495) 260-11-95</t>
  </si>
  <si>
    <t>143912, г. Балашиха, Западная коммунальная зона, ш. Энтузиастов, Вл1А, подъезд 2, офис 5, этаж 2, (М7 Технопарк) 1км от МКАД.</t>
  </si>
  <si>
    <t>№ 1921187101272432209200503/ТП1674</t>
  </si>
  <si>
    <t>Дмитрий А. Бузаев</t>
  </si>
  <si>
    <t>Сергей М. Кутяев</t>
  </si>
  <si>
    <t>Business Development</t>
  </si>
  <si>
    <t>Top 3D Shop, КИТ</t>
  </si>
  <si>
    <t>ТП1772</t>
  </si>
  <si>
    <t>№ 1921187101272432209200503/ТП1772</t>
  </si>
  <si>
    <t>Грузовой захват XL-100.V02 - 1 шт. - 326 400 р.</t>
  </si>
  <si>
    <t>ПРОМСВЯЗЬ 30694 (ТП 1772)</t>
  </si>
  <si>
    <t>ИП Буканов</t>
  </si>
  <si>
    <t>Циклонные фильтры</t>
  </si>
  <si>
    <t>vseciklony@gmail.com</t>
  </si>
  <si>
    <t>vseciklony.ru</t>
  </si>
  <si>
    <t>+7(499)957-82-22
+7 (999) 555-21-58</t>
  </si>
  <si>
    <t>МОСКВА, УЛ.БОЛЬШАЯ СЕМЁНОВСКАЯ, Д.42С2, М.ЭЛЕКТРОЗАВОДСКАЯ</t>
  </si>
  <si>
    <t>ИП Красильниченко</t>
  </si>
  <si>
    <t>ЧПУ станки моделист и комплектующие</t>
  </si>
  <si>
    <t>info@cncmodelist.ru</t>
  </si>
  <si>
    <t>cncmodelist.ru</t>
  </si>
  <si>
    <t>8-900-279-52-30</t>
  </si>
  <si>
    <t>350042, г. Краснодар, ул. Колхозная, 6</t>
  </si>
  <si>
    <t>ИП Кокоша</t>
  </si>
  <si>
    <t>Магазин тканей</t>
  </si>
  <si>
    <t>magazin@tkanix.ru</t>
  </si>
  <si>
    <t>tkanix.ru</t>
  </si>
  <si>
    <t>+79258085924</t>
  </si>
  <si>
    <t>Московская область, г. Щелково, ул. Свирская 3, офис 109  </t>
  </si>
  <si>
    <t>ИП Буканов С.Д.</t>
  </si>
  <si>
    <t>ИП Красильниченко В.В.</t>
  </si>
  <si>
    <t>ИП Кокоша Н.А.</t>
  </si>
  <si>
    <t>Студия Артемия Лебедева</t>
  </si>
  <si>
    <t>+7 (495) 926-18-00</t>
  </si>
  <si>
    <t>Почтовый адрес: 123022, Москва г, 1905 года ул, дом № 7, строение 1, помещение 1Г, ком. 5Б, 1Б ком. 6</t>
  </si>
  <si>
    <t>Студия Артемия Лебедева, экспресс дизайн</t>
  </si>
  <si>
    <t>ООО "ИНТЕЛ ФОРМ"</t>
  </si>
  <si>
    <t>ProMetal</t>
  </si>
  <si>
    <t>Металлические стеллажи, стойки, стенды</t>
  </si>
  <si>
    <t>почта для общих вопросов: info@prometal.ru
для заявок на готовую продукцию: shop@prometal.ru
для заявок на услуги обработки: zakaz@prometal.ru</t>
  </si>
  <si>
    <t>https://prometal.ru/</t>
  </si>
  <si>
    <t>+7 800 550 9007</t>
  </si>
  <si>
    <t xml:space="preserve"> 129626, г. Москва, Рижский проезд, 3-225</t>
  </si>
  <si>
    <t>ИП Акопян К.А.</t>
  </si>
  <si>
    <t>ИП Акопян</t>
  </si>
  <si>
    <t xml:space="preserve">Лезвия, электро- и ручной инструмент, крепёж, автомасла и др. расходники </t>
  </si>
  <si>
    <t>info@instrumentru.ru</t>
  </si>
  <si>
    <t>instrumentru.ru</t>
  </si>
  <si>
    <t>+7 (800) 700-71-55</t>
  </si>
  <si>
    <t>г. Новосибирск, ул. Выставочная, д. 38, кв. 30 </t>
  </si>
  <si>
    <t>ИП Фомина Т.Н.</t>
  </si>
  <si>
    <t>ИП Фомина</t>
  </si>
  <si>
    <t>Пластик для 3д принтера</t>
  </si>
  <si>
    <t>info@sopytka.ru</t>
  </si>
  <si>
    <t>https://www.sopytka.ru/</t>
  </si>
  <si>
    <t>+7 926 754-93-29</t>
  </si>
  <si>
    <t>г. Москва, ул. Талалихина, д. 41, стр. 8, БЦ «Калитники», кабинет 405</t>
  </si>
  <si>
    <t>ИП Моисеева А.А.</t>
  </si>
  <si>
    <t>ИП Моисеева</t>
  </si>
  <si>
    <t>Фотосессия</t>
  </si>
  <si>
    <t>Фотографии и видео</t>
  </si>
  <si>
    <t>Хотченков Роман</t>
  </si>
  <si>
    <t>+7(916)3258264</t>
  </si>
  <si>
    <t>143987,Московкая обл., г. Железнодолрожный, ул. Пушкина, д.2, кв. 49</t>
  </si>
  <si>
    <t>ООО ТАКО Лайн ЗП</t>
  </si>
  <si>
    <t>ООО NGS ЗП</t>
  </si>
  <si>
    <t>ООО NGS Дивиденды</t>
  </si>
  <si>
    <t>ООО АИТ</t>
  </si>
  <si>
    <t>ООО УСН (Sk)</t>
  </si>
  <si>
    <t>Полный Налог</t>
  </si>
  <si>
    <t>Полная сумма</t>
  </si>
  <si>
    <t>Налоговая нагрузка</t>
  </si>
  <si>
    <t>НДФЛ</t>
  </si>
  <si>
    <t>Фонды</t>
  </si>
  <si>
    <t>ЗП+НДФЛ+Фонды</t>
  </si>
  <si>
    <t>Прибыль</t>
  </si>
  <si>
    <t>Налог на прибыль</t>
  </si>
  <si>
    <t>НДС</t>
  </si>
  <si>
    <t>УСН или Прибыль</t>
  </si>
  <si>
    <t>ПФР</t>
  </si>
  <si>
    <t>ФФОМС</t>
  </si>
  <si>
    <t>ФСС</t>
  </si>
  <si>
    <t>На травматизм</t>
  </si>
  <si>
    <t>Взносы</t>
  </si>
  <si>
    <t>SalaryOfficial</t>
  </si>
  <si>
    <t>3Д комплект</t>
  </si>
  <si>
    <t>3Д сканирование</t>
  </si>
  <si>
    <t>info@3dcomplect.ru</t>
  </si>
  <si>
    <t>http://3dcomplect.ru/</t>
  </si>
  <si>
    <t>+7 (495) 540-51-98</t>
  </si>
  <si>
    <t>127473, Москва, Варшавское шоссе, д. 33</t>
  </si>
  <si>
    <t>PaymentMethod</t>
  </si>
  <si>
    <t>Налог на ЗП</t>
  </si>
  <si>
    <t>АО "ЭЛЕКТРУМ АВ"</t>
  </si>
  <si>
    <t>ЭЛЕКТРУМ</t>
  </si>
  <si>
    <t>Специализированные схемы управления</t>
  </si>
  <si>
    <t>pii@electrum-av.com</t>
  </si>
  <si>
    <t>http://electrum-av.com/ru/</t>
  </si>
  <si>
    <t>г. Орел, Наугорское шоссе, 5</t>
  </si>
  <si>
    <t>Станки и оборудование</t>
  </si>
  <si>
    <t>+7 925 545-86-95</t>
  </si>
  <si>
    <t>ИП Настенко</t>
  </si>
  <si>
    <t>Компьютерное оборудование</t>
  </si>
  <si>
    <t>Илья</t>
  </si>
  <si>
    <t>+7 920 500 86 96</t>
  </si>
  <si>
    <t>398024, Липецкая обл, Липецк г, Индустриальная ул, дом № 3</t>
  </si>
  <si>
    <t>АО ЦС Звездочка</t>
  </si>
  <si>
    <t xml:space="preserve">Шаталов Дмитрий Вячеславович </t>
  </si>
  <si>
    <t>kfo@vintnpo.ru</t>
  </si>
  <si>
    <t>Г МОСКВА,БУЛЬВ НОВИНСКИЙ, Д 11, СТР 1</t>
  </si>
  <si>
    <t>ИП Настенко И.В.</t>
  </si>
  <si>
    <t>Головной филиал "НПО "Винт" АО "ЦС "Звездочка"</t>
  </si>
  <si>
    <t>Zeta Rent</t>
  </si>
  <si>
    <t>Zeta Development</t>
  </si>
  <si>
    <t>Zeta Learning</t>
  </si>
  <si>
    <t>Zeta Commissioning</t>
  </si>
  <si>
    <t>Zeta Repair</t>
  </si>
  <si>
    <t>Zeta Service</t>
  </si>
  <si>
    <t>ZM-001</t>
  </si>
  <si>
    <t>Изготовление скида для манипулятора XM-5</t>
  </si>
  <si>
    <t>Zeta Facilities</t>
  </si>
  <si>
    <t>Доработка скида для манипулятора XM-5</t>
  </si>
  <si>
    <t>ZM-002</t>
  </si>
  <si>
    <t>Доработка плавучести манипулятора XM-5</t>
  </si>
  <si>
    <t>Аренда помещения под станки</t>
  </si>
  <si>
    <t>Обучение</t>
  </si>
  <si>
    <t>Пусконаладочные работы</t>
  </si>
  <si>
    <t>Работы по ремонту оборудования</t>
  </si>
  <si>
    <t>Работы по обслуживанию оборудования</t>
  </si>
  <si>
    <t>Инструмент и приспособления</t>
  </si>
  <si>
    <t>Обрабатывающее оборудование</t>
  </si>
  <si>
    <t>Zeta Tools and Fixtures</t>
  </si>
  <si>
    <t>ZM-003</t>
  </si>
  <si>
    <t>ZM-004</t>
  </si>
  <si>
    <t>Доработка креплений скида манипулятора XM-5</t>
  </si>
  <si>
    <t>ZM-005</t>
  </si>
  <si>
    <t>Зарплаты</t>
  </si>
  <si>
    <t>ZM-006</t>
  </si>
  <si>
    <t>Изготовление стульев "Альпака" и "Волна"</t>
  </si>
  <si>
    <t>ZL-001</t>
  </si>
  <si>
    <t>Изготовление пластиковых втулок для плат манипулятора XM-5</t>
  </si>
  <si>
    <t>ZL-002</t>
  </si>
  <si>
    <t>ZM-007</t>
  </si>
  <si>
    <t>Изготовление упаковочный тары для манипулятора XM-1</t>
  </si>
  <si>
    <t>ZM-008</t>
  </si>
  <si>
    <t>Изготовление органайзера для картона для Office-X</t>
  </si>
  <si>
    <t>ZP-001</t>
  </si>
  <si>
    <t>Zeta Salary</t>
  </si>
  <si>
    <t>Изготовление резьбовых вставок для лебёдки XW-12
250 шт.</t>
  </si>
  <si>
    <t>Изготовление плавучести для скида манипулятора XM-5</t>
  </si>
  <si>
    <t>+7 (499) 255-66-80
+7 (499) 255-65-44 (бухгалтерия)</t>
  </si>
  <si>
    <t>Доработка щёк лебёдки</t>
  </si>
  <si>
    <t>ZM-009</t>
  </si>
  <si>
    <t>ZM-010</t>
  </si>
  <si>
    <t>Изготовление комплекта деталей "Кактус" (держатель сноуборда), заказ с Юлы</t>
  </si>
  <si>
    <t>Zeta Storage</t>
  </si>
  <si>
    <t>Склад</t>
  </si>
  <si>
    <t>Картонные коробки, зип пакеты и т.п.</t>
  </si>
  <si>
    <t>ИП Рогуленко В.В.</t>
  </si>
  <si>
    <t>ИП Рогуленко</t>
  </si>
  <si>
    <t>Доп. Образование</t>
  </si>
  <si>
    <t xml:space="preserve">Рогуленко Виктор Валерьевич </t>
  </si>
  <si>
    <t>admissions@fless.pro</t>
  </si>
  <si>
    <t>+7 (929) 670-17-04</t>
  </si>
  <si>
    <t xml:space="preserve">117042, г. Москва, 
ул. Венёвская, д.7, кв. 133 </t>
  </si>
  <si>
    <t>3D тема</t>
  </si>
  <si>
    <t>Фасады, отделка кухни</t>
  </si>
  <si>
    <t>Упал заказ с Юлы, изготовили, расстались хорошо</t>
  </si>
  <si>
    <t>3dtema.ru</t>
  </si>
  <si>
    <t>+7 925 929-88-99</t>
  </si>
  <si>
    <t>info@3dtema.ru</t>
  </si>
  <si>
    <t>ИП Жаховский Р.О.</t>
  </si>
  <si>
    <t>ИП Жаховский</t>
  </si>
  <si>
    <t>Судовые системы и оборудование</t>
  </si>
  <si>
    <t>Татьяна</t>
  </si>
  <si>
    <t>ft@7ft.ru</t>
  </si>
  <si>
    <t>https://7ft.ru/</t>
  </si>
  <si>
    <t>+7 (800) 5555-145</t>
  </si>
  <si>
    <t>188643, г. Всеволожск, Ленинградская область, ул. Ленинградская, д. 11, кв. 313</t>
  </si>
  <si>
    <t>ZM-011</t>
  </si>
  <si>
    <t>Подготовка фасок на алюминиевых листах. Заказ с Юлы</t>
  </si>
  <si>
    <t>Сергей</t>
  </si>
  <si>
    <t>+7 903 018 74 64</t>
  </si>
  <si>
    <t>ZL-003</t>
  </si>
  <si>
    <t>Торцевое точение латунных форсунок</t>
  </si>
  <si>
    <t>ZL-004</t>
  </si>
  <si>
    <t>Точение резьбовых шестигранников (40Х), шайб (40Х) и втулок с резьбой из алюминия.</t>
  </si>
  <si>
    <t>ZL-005</t>
  </si>
  <si>
    <t>Изготовление конусов и шайб из бронзы</t>
  </si>
  <si>
    <t>ZL-006</t>
  </si>
  <si>
    <t>Изготовление пластиковых шайб</t>
  </si>
  <si>
    <t>ZL-007</t>
  </si>
  <si>
    <t>Кольца от модельера</t>
  </si>
  <si>
    <t>ZM-012</t>
  </si>
  <si>
    <t>Декоративные накладки</t>
  </si>
  <si>
    <t>ZL-008</t>
  </si>
  <si>
    <t>Изготовление токарной втулки</t>
  </si>
  <si>
    <t>ИП Ионов М. В.</t>
  </si>
  <si>
    <t>WifiMag</t>
  </si>
  <si>
    <t>Wi-Fi оборудование и оборудование для SOHO-сегмента</t>
  </si>
  <si>
    <t>Денис</t>
  </si>
  <si>
    <t>s8@wifimag.ru</t>
  </si>
  <si>
    <t>https://wifimag.ru/</t>
  </si>
  <si>
    <t>8 (495) 226-37-87</t>
  </si>
  <si>
    <t>г. Сергиев Посад улица Фабричная, дом 7, строение 2</t>
  </si>
  <si>
    <t>DeviceDen</t>
  </si>
  <si>
    <t>Онлайн гипермаркет систем безопасности</t>
  </si>
  <si>
    <t>zakaz@deviceden.ru</t>
  </si>
  <si>
    <t>https://deviceden.ru/</t>
  </si>
  <si>
    <t>7 (495) 150-40-95</t>
  </si>
  <si>
    <t>117216, Москва г, Феодосийская ул, дом 
1, корпус 11, этаж 2, комната Г2</t>
  </si>
  <si>
    <t>XMD48V10A</t>
  </si>
  <si>
    <t>ООО "АМИКОМ ТРЕЙД"</t>
  </si>
  <si>
    <t>Системы видеонаблюдения</t>
  </si>
  <si>
    <t>sale@ami-com.ru</t>
  </si>
  <si>
    <t>https://www.ami-com.ru/</t>
  </si>
  <si>
    <t>7 (495) 120-06-86</t>
  </si>
  <si>
    <t>107023, Москва, площадь Журавлева, д. 2, стр.2</t>
  </si>
  <si>
    <t>Георгий Андреевич</t>
  </si>
  <si>
    <t>Преподаватель по английскому</t>
  </si>
  <si>
    <t>Георгий английский</t>
  </si>
  <si>
    <t>+7 901 508-16-12</t>
  </si>
  <si>
    <t>Алексеев Э.Ю.</t>
  </si>
  <si>
    <t>Эдуард Юрьевич</t>
  </si>
  <si>
    <t>alexeev.edik2013@yandex.ru</t>
  </si>
  <si>
    <t>Муром</t>
  </si>
  <si>
    <t>+7(920) 913-63-96</t>
  </si>
  <si>
    <t>Консультации по гидравлике</t>
  </si>
  <si>
    <t>6181 Зарплатный</t>
  </si>
  <si>
    <t>2803 Зарплатный</t>
  </si>
  <si>
    <t>2803 Личный</t>
  </si>
  <si>
    <t>6181 Личный</t>
  </si>
  <si>
    <t>5788 Зарплатный</t>
  </si>
  <si>
    <t>5788 Личный</t>
  </si>
  <si>
    <t>3029 Зарплатный</t>
  </si>
  <si>
    <t>Сбербанк Вклады 6181</t>
  </si>
  <si>
    <t>3029 Личный</t>
  </si>
  <si>
    <t>5788@gidrobot.ru</t>
  </si>
  <si>
    <t>R&amp;D XM-6</t>
  </si>
  <si>
    <t>ZL-009</t>
  </si>
  <si>
    <t>Пробная обработка и испытания для зондов</t>
  </si>
  <si>
    <t>Сбербанк Вклады 6181 EUR</t>
  </si>
  <si>
    <t>Сбербанк Вклады 6181 USD</t>
  </si>
  <si>
    <t>ООО "КОМУС" НДС 10%</t>
  </si>
  <si>
    <t>Комус</t>
  </si>
  <si>
    <t>Продукты и товары для офиса</t>
  </si>
  <si>
    <t>Нагорнова Наталья</t>
  </si>
  <si>
    <t>nnmeq@tvr.komus.net</t>
  </si>
  <si>
    <t>https://www.komus.ru/</t>
  </si>
  <si>
    <t>8(495)780-80-80</t>
  </si>
  <si>
    <t>105005, Москва, набережная акадеика Туполева,, д 15, к 29, эт 5 каб 18</t>
  </si>
  <si>
    <t>ООО "МДРАЙВ"</t>
  </si>
  <si>
    <t>КУБО</t>
  </si>
  <si>
    <t>https://kubotechnologies.com/cnt</t>
  </si>
  <si>
    <t>+7 (812) 612-97-08</t>
  </si>
  <si>
    <t>194223, Россия, Санкт-Петербург, ул. Курчатова, д. 14, лит. А, офис 509А</t>
  </si>
  <si>
    <t>ИП Лыкова М. Г.</t>
  </si>
  <si>
    <t>Порядок</t>
  </si>
  <si>
    <t>Товары для дома</t>
  </si>
  <si>
    <t>sales@poryadok.ru</t>
  </si>
  <si>
    <t>https://www.poryadok.ru</t>
  </si>
  <si>
    <t>+7 (499) 112-07-00</t>
  </si>
  <si>
    <t>394028, г. Воронеж, ул.Туполева, д. 38, кв. 31, ком. 4</t>
  </si>
  <si>
    <t>R&amp;D XMD48V10A</t>
  </si>
  <si>
    <t>ООО "ИННОДРАЙВ</t>
  </si>
  <si>
    <t>ИнноДрайв</t>
  </si>
  <si>
    <t>Электродвигатели, редукторы (MAXON)</t>
  </si>
  <si>
    <t>sales@innodrive.ru</t>
  </si>
  <si>
    <t>https://innodrive.ru/</t>
  </si>
  <si>
    <t>+7 (812) 317-77-93</t>
  </si>
  <si>
    <t>197110, Санкт-Петербург, Пионерская улица, 30 «B», офис 306</t>
  </si>
  <si>
    <t>ГидроСнаб</t>
  </si>
  <si>
    <t>Гидравлическое и пневматическое оборудование (Parker)</t>
  </si>
  <si>
    <t>Александр Братищев</t>
  </si>
  <si>
    <t>a.bratischev@hydrosnab.ru</t>
  </si>
  <si>
    <t>www.hydrosnab.ru</t>
  </si>
  <si>
    <t>Тел.:  +7(495)545-45-00 доб.112
Факс: +7(495)545-45-00 (авт.)</t>
  </si>
  <si>
    <t>140004, Московская обл., г. Люберцы, 1-й Панковский пр-д, д. 1, лит. Б2, пом. 8
(Заезд на территорию с ул. Электрификации)</t>
  </si>
  <si>
    <t>ПромподшипникИнтер</t>
  </si>
  <si>
    <t>Подшипники и промышленные комплектующие</t>
  </si>
  <si>
    <t>ppi1@bearing-inter.ru</t>
  </si>
  <si>
    <t>sales@bearing-inter.ru</t>
  </si>
  <si>
    <t>+7(495)773-09-49</t>
  </si>
  <si>
    <t>115230, г. Москва, Каширское шоссе 13Б, 5-й эт., офис 504</t>
  </si>
  <si>
    <t>ЭрДжиСи-трейд</t>
  </si>
  <si>
    <t>Комплексная поставка комплектующих для гидросистем.</t>
  </si>
  <si>
    <t>Говоров Вячеслав Вячеславович</t>
  </si>
  <si>
    <t>vvg@rg-gr.ru </t>
  </si>
  <si>
    <t>www.rgc-trade.com  </t>
  </si>
  <si>
    <t>(926) 002-13-13</t>
  </si>
  <si>
    <t>г. Москва, 33 км МКАД, ВЛ6С7</t>
  </si>
  <si>
    <t>Гранкин Р.О.</t>
  </si>
  <si>
    <t>Сотрудник, фрилансер</t>
  </si>
  <si>
    <t>Инженер конструктор
Подготовка чертежей по ЕСКД</t>
  </si>
  <si>
    <t>Сер 4276400026809290</t>
  </si>
  <si>
    <t>Гранкин Роман Олегович</t>
  </si>
  <si>
    <t>freezrom@mail.ru</t>
  </si>
  <si>
    <t>+7 915 081-80-51</t>
  </si>
  <si>
    <t>Ресиф</t>
  </si>
  <si>
    <t>Производство на заказ</t>
  </si>
  <si>
    <t>office@resif.by</t>
  </si>
  <si>
    <t>https://resif.by/</t>
  </si>
  <si>
    <t>+375 (17) 207 02 50
+375 (17) 212 39 02 Факс</t>
  </si>
  <si>
    <t>220108, Республика Беларусь, Минск,
ул. Корженевского 14</t>
  </si>
  <si>
    <t>АЕССИЛ</t>
  </si>
  <si>
    <t>Механические уплотнения, подшипники</t>
  </si>
  <si>
    <t>Корчагин Олег Владимирович</t>
  </si>
  <si>
    <t>uniseal@mail.ru</t>
  </si>
  <si>
    <t>http://aesseal.su/</t>
  </si>
  <si>
    <t>+7 (495) 512-02-04</t>
  </si>
  <si>
    <t>141073, Московская область, г. Королев, ул. Болдырева, 1</t>
  </si>
  <si>
    <t>sales@zelchip.ru</t>
  </si>
  <si>
    <t>https://www.zelchip.ru/</t>
  </si>
  <si>
    <t>+7-499-350-96-26</t>
  </si>
  <si>
    <t>124460, Москва г, Зеленоград г, 
корпус № 1213, квартира 166</t>
  </si>
  <si>
    <t>ИП Лукьянов А.В.</t>
  </si>
  <si>
    <t>VirPil</t>
  </si>
  <si>
    <t>Органы управления для пульта</t>
  </si>
  <si>
    <t>support@virpil.com</t>
  </si>
  <si>
    <t>https://virpil.by/</t>
  </si>
  <si>
    <t>+375 152 44-77-00</t>
  </si>
  <si>
    <t>Республика Беларусь, 230014, г.Гродно, ул.Мясницкая, д.36</t>
  </si>
  <si>
    <t>Договор №7 Спец. № 5</t>
  </si>
  <si>
    <t>Регул</t>
  </si>
  <si>
    <t>Производство деталей</t>
  </si>
  <si>
    <t>Нелля Николаевна</t>
  </si>
  <si>
    <t>nel-rud@yandex.ru</t>
  </si>
  <si>
    <t>8 (916) 918-91-23</t>
  </si>
  <si>
    <t>129090, Москва, улица Гиляровского, 1, СТРОЕНИЕ 1, КВАРТИРА 24</t>
  </si>
  <si>
    <t>Пружинный проект</t>
  </si>
  <si>
    <t>Пружины</t>
  </si>
  <si>
    <t>8-843-206-01-44</t>
  </si>
  <si>
    <t>420087, Татарстан Респ, Казань г, Родины ул, д.7 офис 358</t>
  </si>
  <si>
    <t>ИП Столбов А.И.</t>
  </si>
  <si>
    <t>Onepad</t>
  </si>
  <si>
    <t>shop@onpad.ru</t>
  </si>
  <si>
    <t>www.onpad.ru</t>
  </si>
  <si>
    <t>+7 495 225 9998
+7 499 553 0933</t>
  </si>
  <si>
    <t>127299, г. Москва, ул. Клары Цеткин д. 18к3</t>
  </si>
  <si>
    <t>Гидроснаб</t>
  </si>
  <si>
    <t>Гидравлическое оборудование</t>
  </si>
  <si>
    <t>info@hydrosnab.ru</t>
  </si>
  <si>
    <t>http://hydrosnab.ru/</t>
  </si>
  <si>
    <t>+7 (495) 545-45-00</t>
  </si>
  <si>
    <t>Техноградис</t>
  </si>
  <si>
    <t>tehnogradis@mail.ru</t>
  </si>
  <si>
    <t>http://tehnogradis.ru/</t>
  </si>
  <si>
    <t>8 (495) 676-71-75
8 (495) 783-75-73</t>
  </si>
  <si>
    <t>109316, г. Москва, Остаповский проезд, д.13, стр.11</t>
  </si>
  <si>
    <t>Техномарин</t>
  </si>
  <si>
    <t>Технические запчасти</t>
  </si>
  <si>
    <t>shop@technomarin.ru</t>
  </si>
  <si>
    <t>https://www.technomarin.ru/</t>
  </si>
  <si>
    <t>8(800)555-93-93</t>
  </si>
  <si>
    <t>2-ой верхний переулок, дом 3 Литер А</t>
  </si>
  <si>
    <t>ZM-013</t>
  </si>
  <si>
    <t>Изготовление деталей для стенда из 8 мм фанеры (Сергей К.)</t>
  </si>
  <si>
    <t>ZM-014</t>
  </si>
  <si>
    <t>Изготовление деталей для стенда из 18 мм фанеры (Данила М.)</t>
  </si>
  <si>
    <t>ZP-002</t>
  </si>
  <si>
    <t>Утконос</t>
  </si>
  <si>
    <t>Интернет гипермаркет</t>
  </si>
  <si>
    <t>info@utkonos.ru</t>
  </si>
  <si>
    <t>www.utkonos.ru</t>
  </si>
  <si>
    <t>8 800 737 77 75</t>
  </si>
  <si>
    <t>127299, г. Москва, ул. Клары Цеткин, д.2/3, стр.1</t>
  </si>
  <si>
    <t>ООО "СЕНСОРЕН ЭЛЕКТРО"</t>
  </si>
  <si>
    <t>Сенсорен</t>
  </si>
  <si>
    <t>Датчики</t>
  </si>
  <si>
    <t>info@sensoren.ru</t>
  </si>
  <si>
    <t>https://sensoren.ru/</t>
  </si>
  <si>
    <t>+7 (495) 150-48-00</t>
  </si>
  <si>
    <t>107023, г. Москва, м. Преображенская площадь или Электрозаводская ул. Девятая Рота, дом 7а, офис 107</t>
  </si>
  <si>
    <t>ФГУП "СТАНДАРТИНФОРМ"</t>
  </si>
  <si>
    <t>Назначение 4-хзначных буквенных кодов</t>
  </si>
  <si>
    <t>info@gostinfo.ru</t>
  </si>
  <si>
    <t>http://www.gostinfo.ru/</t>
  </si>
  <si>
    <t>+7 (495) 531 26 44</t>
  </si>
  <si>
    <t>Металлсервис</t>
  </si>
  <si>
    <t>Металлопрокат</t>
  </si>
  <si>
    <t>https://mc.ru/</t>
  </si>
  <si>
    <t>8 (495) 925-11-55</t>
  </si>
  <si>
    <t>109428, Москва, ул.Стахановская , 19 ( Заезд автотранспорта: 1-й Вязовский проезд )</t>
  </si>
  <si>
    <t>Амарид электро</t>
  </si>
  <si>
    <t>Электрооборудование</t>
  </si>
  <si>
    <t>zakaz@amarid.ru</t>
  </si>
  <si>
    <t>https://amarid.ru/</t>
  </si>
  <si>
    <t>8 (812) 336-60-38</t>
  </si>
  <si>
    <t>195197, г. Санкт-Петербург, Полюстровский проспект, д. 68, лит. А, пом. 57,58</t>
  </si>
  <si>
    <t>ZL-010</t>
  </si>
  <si>
    <t>Опытный образец медицинского инструмента</t>
  </si>
  <si>
    <t>ZM-015</t>
  </si>
  <si>
    <t>Детали для складного стула (Реабин)</t>
  </si>
  <si>
    <t>ПК Сатурн</t>
  </si>
  <si>
    <t>Производственная компания</t>
  </si>
  <si>
    <t>+7 (499) 500-94-40</t>
  </si>
  <si>
    <t>ИП Бойков В.А.</t>
  </si>
  <si>
    <t xml:space="preserve">DragonMotors </t>
  </si>
  <si>
    <t>Запасти для техники, аноды</t>
  </si>
  <si>
    <t>support@dragonmotors.ru</t>
  </si>
  <si>
    <t>https://www.dragonmotors.ru/</t>
  </si>
  <si>
    <t>8-925-566-34-44</t>
  </si>
  <si>
    <t xml:space="preserve"> Москва г, 
Корнейчука, дом № 58А, квартира 124</t>
  </si>
  <si>
    <t>https://www.dellin.ru/</t>
  </si>
  <si>
    <t>Логин: office@tako-line.ru
Пароль: Tako2015</t>
  </si>
  <si>
    <t>Пароль: A1x8tYn3</t>
  </si>
  <si>
    <t>ИП Добровольский С.Л.</t>
  </si>
  <si>
    <t>Dis мебель</t>
  </si>
  <si>
    <t>info@dismebel.ru</t>
  </si>
  <si>
    <t>http://dismebel.ru/</t>
  </si>
  <si>
    <t>8 495 532 30 72</t>
  </si>
  <si>
    <t>Москва, Центросоюзный пер., д.21А</t>
  </si>
  <si>
    <t>BDSKApp</t>
  </si>
  <si>
    <t>Разработка заявки на статус участника Сколково</t>
  </si>
  <si>
    <t>СвязьКомплект</t>
  </si>
  <si>
    <t>info@skomplekt.com
sales@skomplekt.com</t>
  </si>
  <si>
    <t>https://skomplekt.com/</t>
  </si>
  <si>
    <t>+7 (495) 927-07-87</t>
  </si>
  <si>
    <t>Москва, 2-ая ул. Энтузиастов, 5, завод «Компрессор», корпус 10.</t>
  </si>
  <si>
    <t>Альфа-Гидравлика</t>
  </si>
  <si>
    <t>Гидравлика, редукторы, электроника</t>
  </si>
  <si>
    <t>aradchenkov@alpha-hydraulics.ru</t>
  </si>
  <si>
    <t>www.alpha-hydraulics.ru</t>
  </si>
  <si>
    <t>(+7 495) 287-45-82, доб.104</t>
  </si>
  <si>
    <t>141021, Россия, г. Мытищи, ул. Борисовка, д. 12А, оф. 4 </t>
  </si>
  <si>
    <t>Профимет</t>
  </si>
  <si>
    <t>Производство изделий из металла, обработка и окраска продукции</t>
  </si>
  <si>
    <t>info@prmet.ru</t>
  </si>
  <si>
    <t>https://prmet.ru/</t>
  </si>
  <si>
    <t>+7 495 212-17-72</t>
  </si>
  <si>
    <t>Москва, Варшавское ш., 170Г</t>
  </si>
  <si>
    <t>ZH-001</t>
  </si>
  <si>
    <t>Подготовка испытательного стенда для XT-5K</t>
  </si>
  <si>
    <t>Полесский С.Н.</t>
  </si>
  <si>
    <t>Полесский</t>
  </si>
  <si>
    <t>Расчет надежности</t>
  </si>
  <si>
    <t>snp1981@yandex.ru</t>
  </si>
  <si>
    <t>+7 926 563-70-04</t>
  </si>
  <si>
    <t>Москва, ул. Менжинского, д. 23, кор. 1, кв. 48.</t>
  </si>
  <si>
    <t>HRX</t>
  </si>
  <si>
    <t>ООО "АВТОНОРМА-МАРКЕТ"</t>
  </si>
  <si>
    <t>Автонорма-Маркет</t>
  </si>
  <si>
    <t>Хомуты</t>
  </si>
  <si>
    <t>gate@avtonorma-market.ru</t>
  </si>
  <si>
    <t>http://avtonorma-market.ru/</t>
  </si>
  <si>
    <t>+7 (495) 453-5335</t>
  </si>
  <si>
    <t>Россия, Москва, ул. Солнечногорская, д. 4, строение 13, комната 26 (3 этаж)</t>
  </si>
  <si>
    <t>Судовые системы</t>
  </si>
  <si>
    <t>Оборудование для водной техники</t>
  </si>
  <si>
    <t>http://shipsystems.spb.ru/</t>
  </si>
  <si>
    <t>+7 (812) 448-13-27</t>
  </si>
  <si>
    <t>196247, г. Санкт-Петербург, Ленинский пр-т, д. 160 (БЦ "Меридиан"), офис 502</t>
  </si>
  <si>
    <t>3D SLON</t>
  </si>
  <si>
    <t>3D принтеры и аксессуары</t>
  </si>
  <si>
    <t>3d@3dslon</t>
  </si>
  <si>
    <t>https://3dslon.ru/</t>
  </si>
  <si>
    <t>+7 966 355-14-33</t>
  </si>
  <si>
    <t>г. Москва, ул. Скотопрогонная, д.29/1, офис 206</t>
  </si>
  <si>
    <t>АО "АКИН"</t>
  </si>
  <si>
    <t>АО "Акустический институт имени академика Н.Н. Андреева"</t>
  </si>
  <si>
    <t>Разработка подводной техники</t>
  </si>
  <si>
    <t>info@akin.ru</t>
  </si>
  <si>
    <t>http://akin.ru/</t>
  </si>
  <si>
    <t>+7 (499) 126-74-01</t>
  </si>
  <si>
    <t>ул. Шверника, 4, Москва, 117036</t>
  </si>
  <si>
    <t>Договор №7 Спец. № 6</t>
  </si>
  <si>
    <t>R&amp;D XPC-300 v2</t>
  </si>
  <si>
    <t>Изготовление новых крышек, замена шпилек, смена торцевого уплотнения на радиальное, доработка эргономики</t>
  </si>
  <si>
    <t>ZP-003</t>
  </si>
  <si>
    <t>Печать шкива (Гидробот)</t>
  </si>
  <si>
    <t>ZL-011</t>
  </si>
  <si>
    <t>Нарезание внутренней резьбы NPT (Гидробот)</t>
  </si>
  <si>
    <t>ИП Подлесных К. Г.</t>
  </si>
  <si>
    <t>7ft</t>
  </si>
  <si>
    <t>Судовое оборудование</t>
  </si>
  <si>
    <t>8 (800) 5555-145</t>
  </si>
  <si>
    <t>191024, г. Санкт-Петербург, ул. Херсонская, д. 6</t>
  </si>
  <si>
    <t>Стол, тумба, кресло</t>
  </si>
  <si>
    <t>info@столтумба.рус</t>
  </si>
  <si>
    <t>https://xn--80ab3aeirhcj.xn--p1acf/</t>
  </si>
  <si>
    <t>+7 (499) 754-52-62</t>
  </si>
  <si>
    <t>Москва,ул. 4-я Магистральная, 5с5,
БЦ "На Магистральной"</t>
  </si>
  <si>
    <t>ООО ТД "АБН"</t>
  </si>
  <si>
    <t>АБН</t>
  </si>
  <si>
    <t>Материалы и оборудование для СКС</t>
  </si>
  <si>
    <t>info@abn.ru</t>
  </si>
  <si>
    <t>www.abn.ru</t>
  </si>
  <si>
    <t>8 (495) 266 89 89</t>
  </si>
  <si>
    <t>Россия, 115230, Москва,
Электролитный проезд, д. 3 стр. 2.
Территория завода "Медная фольга"</t>
  </si>
  <si>
    <t>Автоматика</t>
  </si>
  <si>
    <t>Компьютеры и комплектующие</t>
  </si>
  <si>
    <t>Кабанова Надежда</t>
  </si>
  <si>
    <t>5205@nnz.ru</t>
  </si>
  <si>
    <t>www.nnz-ipc.ru</t>
  </si>
  <si>
    <t xml:space="preserve">(495) 980-6406 доб 5205  </t>
  </si>
  <si>
    <t xml:space="preserve">107140, г. Москва, ул. Верхняя Красносельская, д. 2 </t>
  </si>
  <si>
    <t>УПД № 338 от 07.09.2020 XL-100 -1шт.
XM-1 - 1 шт.</t>
  </si>
  <si>
    <t>ZP-004</t>
  </si>
  <si>
    <t>Печать бесконечного винта (Гидробот)</t>
  </si>
  <si>
    <t>ZP-005</t>
  </si>
  <si>
    <t>Печать шкива натяжителя (Гидробот)</t>
  </si>
  <si>
    <t>ООО "ПОДВОДНАЯ ТЕХНИКА"</t>
  </si>
  <si>
    <t>Подводная техника</t>
  </si>
  <si>
    <t>Разъемы, заглушки и пр</t>
  </si>
  <si>
    <t>contact@uwt.ru</t>
  </si>
  <si>
    <t>www.uwt.ru</t>
  </si>
  <si>
    <t>+7 965 273-35-26</t>
  </si>
  <si>
    <t>119330, Москва, Мосфильмовская ул., дом 17Б</t>
  </si>
  <si>
    <t>ИП Иванов А.В.</t>
  </si>
  <si>
    <t>Prutki</t>
  </si>
  <si>
    <t>Магазин заготовок, прутки</t>
  </si>
  <si>
    <t>zakaz@prutki.ru</t>
  </si>
  <si>
    <t>http://prutki.ru/</t>
  </si>
  <si>
    <t>+7(495)532-9438
+7(926)188-9438</t>
  </si>
  <si>
    <t>г. Москва, улица Матросская Тишина, 1А</t>
  </si>
  <si>
    <t>ООО "АВВИ"</t>
  </si>
  <si>
    <t>Авви</t>
  </si>
  <si>
    <t>Планетарные редукторы</t>
  </si>
  <si>
    <t>avvi@avvi.ru</t>
  </si>
  <si>
    <t>https://avvi.ru/</t>
  </si>
  <si>
    <t>+7 (8362) 63-83-76
+7 (8362) 64-09-83</t>
  </si>
  <si>
    <t>424007, Россия, РМЭ, г.Йошкар-Ола, ул.Крылова 58г.</t>
  </si>
  <si>
    <t>ООО "БМП-СИМИРА"</t>
  </si>
  <si>
    <t>Симира</t>
  </si>
  <si>
    <t>rf@bmp-simira.ru</t>
  </si>
  <si>
    <t>http://bmp-simira.ru/</t>
  </si>
  <si>
    <t>+7 (800) 350-14-97</t>
  </si>
  <si>
    <t>г. Москва, ул. Стахановская, д.19. стр. 12. Эт. 1, Пом. 14</t>
  </si>
  <si>
    <t>Тумбаков А.П.</t>
  </si>
  <si>
    <t>altumbakov@gmail.com</t>
  </si>
  <si>
    <t>+7 916 158-17-20</t>
  </si>
  <si>
    <t>Тумбаков Александр Петрович</t>
  </si>
  <si>
    <t>ООО "ГетЧипс"</t>
  </si>
  <si>
    <t>ГетЧипс</t>
  </si>
  <si>
    <t>Электроника</t>
  </si>
  <si>
    <t>natalia@getchips.ru</t>
  </si>
  <si>
    <t>http://getchips.ru/</t>
  </si>
  <si>
    <t>8-800-700-18-63</t>
  </si>
  <si>
    <t xml:space="preserve"> 620014, г. Екатеринбург, ул. Хохрякова 74, офис 1404</t>
  </si>
  <si>
    <t>Sendit</t>
  </si>
  <si>
    <t>Сендит</t>
  </si>
  <si>
    <t>Доставка, перевозки. Агрегатор служб</t>
  </si>
  <si>
    <t>daniya.u@sendit.ru</t>
  </si>
  <si>
    <t>https://sendit.ru/</t>
  </si>
  <si>
    <t>+7 495 118 3897, добавочный 218</t>
  </si>
  <si>
    <t>Почта России</t>
  </si>
  <si>
    <t>Почта</t>
  </si>
  <si>
    <t>Доставка документов</t>
  </si>
  <si>
    <t>BDAquabyte</t>
  </si>
  <si>
    <t>ООО "СТАЛЬ-ИНВЕСТ"</t>
  </si>
  <si>
    <t>СТАЛЬ-ИНВЕСТ</t>
  </si>
  <si>
    <t>Алексей</t>
  </si>
  <si>
    <t>stal-invest@bk.ru</t>
  </si>
  <si>
    <t>https://www.stl-invest.ru/</t>
  </si>
  <si>
    <t>+7 (343) 247-85-15 доб.16
+7 (800) 500-24-15</t>
  </si>
  <si>
    <t>620137, Екатеринбург, Промышленный, 11, офис 304</t>
  </si>
  <si>
    <t>ТД Симметрон ЭК</t>
  </si>
  <si>
    <t>Комплексные поставки электронных компонентов</t>
  </si>
  <si>
    <t>https://www.symmetron.ru/</t>
  </si>
  <si>
    <t>+7 495 961 20 20</t>
  </si>
  <si>
    <t>Ленинградское шоссе, дом 69, корпус 1 Бизнес-парк River City</t>
  </si>
  <si>
    <t>info@bigit.ru</t>
  </si>
  <si>
    <t>www.bigit.ru</t>
  </si>
  <si>
    <t>+7 (495) 507-84-36</t>
  </si>
  <si>
    <t>117545, Москва г, Дорожный 1-й проезд, дом № 9, строение 2, оф.20</t>
  </si>
  <si>
    <t>Договор №7 Спец. № 7</t>
  </si>
  <si>
    <t>ЗелЧип</t>
  </si>
  <si>
    <t>УПД № 198 от 29.05.2020 - XM-1 - 1 шт.</t>
  </si>
  <si>
    <t>УПД № 199 от 17.06.2020
XM-1, XW-12, XL-100 - 2 шт.</t>
  </si>
  <si>
    <t>УПД № 198 от 17.06.2019 
XM-1 - 1шт.</t>
  </si>
  <si>
    <t>ООО "УНИВЕРСАЛСНАБ"</t>
  </si>
  <si>
    <t>УНИВЕРСАЛСНАБ, Резинотехсервис</t>
  </si>
  <si>
    <t>Разработка и производство изделий из резины, силикона, ПВХ, полиуретана. Обрезинивание. Комплексное снабжение</t>
  </si>
  <si>
    <t xml:space="preserve">mail@rezina.biz
</t>
  </si>
  <si>
    <t>https://www.rezina.biz/</t>
  </si>
  <si>
    <t>+7(495) 786-27-00</t>
  </si>
  <si>
    <t>Сергиев Посад, ул. Вознесенская, 103</t>
  </si>
  <si>
    <t>DWTEK</t>
  </si>
  <si>
    <t>ООО "ТББС"</t>
  </si>
  <si>
    <t>ТББС</t>
  </si>
  <si>
    <t>Подшипники и комплектующие</t>
  </si>
  <si>
    <t>verdina01@mail.ru</t>
  </si>
  <si>
    <t>https://tbbs.ru/</t>
  </si>
  <si>
    <t>127422, г. Москва, ул. Тимирязевская, дом 38/25, пом. 3, ком. 15</t>
  </si>
  <si>
    <t>Мир крепежа</t>
  </si>
  <si>
    <t>Крепеж</t>
  </si>
  <si>
    <t>Илья Борисов</t>
  </si>
  <si>
    <t>ilya@mir-krepega.ru</t>
  </si>
  <si>
    <t>https://www.mir-krepega.ru/</t>
  </si>
  <si>
    <t>+7 495 787-40-53 (доб 444)</t>
  </si>
  <si>
    <t>Москва, Лихоборская набережная, 3</t>
  </si>
  <si>
    <t>Регойл</t>
  </si>
  <si>
    <t xml:space="preserve">Испытание, анализ и регенерация трансформаторного масла
</t>
  </si>
  <si>
    <t>info@reg-oil.ru</t>
  </si>
  <si>
    <t>www.reg-oil.ru</t>
  </si>
  <si>
    <t>8 495 796-40-67</t>
  </si>
  <si>
    <t>127081, Москва г, 
Полярная ул, дом 1, этаж 1, пом.III, ком. 1, офис 1</t>
  </si>
  <si>
    <t>ООО "МОТОМИР"</t>
  </si>
  <si>
    <t>Альбатрос</t>
  </si>
  <si>
    <t>Аксессуары и экипировка</t>
  </si>
  <si>
    <t xml:space="preserve">zakaz@motorov.net </t>
  </si>
  <si>
    <t>https://motorov.net</t>
  </si>
  <si>
    <t>8 (800) 500-80-37</t>
  </si>
  <si>
    <t>129366, Москва г, Ярославская ул, дом 17, эт.5, пом.140</t>
  </si>
  <si>
    <t>ООО "ВМ ЭКСТРИМ"</t>
  </si>
  <si>
    <t>ВестМарин</t>
  </si>
  <si>
    <t>Запчасти, винты и пр</t>
  </si>
  <si>
    <t>shop@west-marine.ru</t>
  </si>
  <si>
    <t>http://west-marine.ru/</t>
  </si>
  <si>
    <t>8 (800) 777-59-66</t>
  </si>
  <si>
    <t>125445, г. Москва,  ул. Смольная 63Б, ТЦ "Водный мир" павильон M3+</t>
  </si>
  <si>
    <t>ZP-006</t>
  </si>
  <si>
    <t>Печать шкива натяжителя цельного (Гидробот)</t>
  </si>
  <si>
    <t>Манипулятор XM-1.V02 - 1 шт. - 359 560 р.
Грузовой захват XL-100.V02 - 1 шт. - 332 200 р.</t>
  </si>
  <si>
    <t>ИП Сорокин И.И.</t>
  </si>
  <si>
    <t>info@zub-x.ru</t>
  </si>
  <si>
    <t>https://zub-x.ru/</t>
  </si>
  <si>
    <t>+7 (495)240-82-98</t>
  </si>
  <si>
    <t xml:space="preserve">г. Москва, ул. Новая Басманная , д.12,стр. 2 </t>
  </si>
  <si>
    <t>Маяк</t>
  </si>
  <si>
    <t>Нержавеющий крепеж, такелаж и дельные вещи</t>
  </si>
  <si>
    <t>Денис Улиско</t>
  </si>
  <si>
    <t>denis@deel.ru</t>
  </si>
  <si>
    <t xml:space="preserve"> http://rostfrei.ru</t>
  </si>
  <si>
    <t>+7(812)297-73-38</t>
  </si>
  <si>
    <t>194021, Россия, Санкт-Петербург,, ул.Политехническая, дом 1, Лит В,офис 4</t>
  </si>
  <si>
    <t>https://saturn-pk.ru/</t>
  </si>
  <si>
    <t>ZP-007</t>
  </si>
  <si>
    <t>Печать крышек ротора и других деталей XT-5K (Гидробот)</t>
  </si>
  <si>
    <t>R&amp;D XM-1DR</t>
  </si>
  <si>
    <t xml:space="preserve">Доработка одностепенного манипулятора для работы на глубине до 2500 м </t>
  </si>
  <si>
    <t>ООО "РОСТ"</t>
  </si>
  <si>
    <t>Рост</t>
  </si>
  <si>
    <t>Резинотехнические изделия, подшипники и т.д.</t>
  </si>
  <si>
    <t>Даниил</t>
  </si>
  <si>
    <t>avk@rost-holding.ru</t>
  </si>
  <si>
    <t>https://rost-holding.ru/</t>
  </si>
  <si>
    <t>+7(812)336-35-75 доб 1321</t>
  </si>
  <si>
    <t>198097, Санкт-Петербург, ул. Маршала Говорова 29, лит. Л</t>
  </si>
  <si>
    <t>Регард</t>
  </si>
  <si>
    <t>Компьютерный магазин</t>
  </si>
  <si>
    <t>s@regard.ru</t>
  </si>
  <si>
    <t>www.regard.ru</t>
  </si>
  <si>
    <t>+7 (495) 921-41-58 (241)</t>
  </si>
  <si>
    <t>121601, ГОРОД МОСКВА, БУЛЬВАР ФИЛЁВСКИЙ, ДОМ 39, ЭТАЖ 1, ПОМ. 1, КОМ. 15</t>
  </si>
  <si>
    <t>ООО "РАДИОТЕХИНДУСТРИЯ"</t>
  </si>
  <si>
    <t>РТ Кабель</t>
  </si>
  <si>
    <t>Магазин радиоэлектрники и кабельной продукции</t>
  </si>
  <si>
    <t>zakaz@rt-kabel.ru</t>
  </si>
  <si>
    <t>https://www.rt-kabel.ru/</t>
  </si>
  <si>
    <t>+7 (495) 790-92-70</t>
  </si>
  <si>
    <t>123423, Москва г, Народного Ополчения ул, дом № 34, строение 1, этаж цокольный ком 1</t>
  </si>
  <si>
    <t>ZL-013</t>
  </si>
  <si>
    <t>Доработка коков, изготовление заглушек для XT-5K (Гидробот)</t>
  </si>
  <si>
    <t>Витур</t>
  </si>
  <si>
    <t>Российский производитель изделий из термопластичного полиуретана (ТПУ)</t>
  </si>
  <si>
    <t>vlad-pu@mail.ru</t>
  </si>
  <si>
    <t>https://www.vitur33.ru/</t>
  </si>
  <si>
    <t>8-800-707-57-89</t>
  </si>
  <si>
    <t>600016, Россия, Владимирская
область, г. Владимир, ул. Большая
Нижегородская, д. 77</t>
  </si>
  <si>
    <t>АНО "ЦПИ РГО"</t>
  </si>
  <si>
    <t>https://urc-rgs.ru/</t>
  </si>
  <si>
    <t>191123, г. Санкт-Петербург, ул. Захарьевская, д. 3, лит. А</t>
  </si>
  <si>
    <t>8 (812) 327-45-05</t>
  </si>
  <si>
    <t>office@urc-rgs.ru
r.nedbailo@urc-rgs.ru</t>
  </si>
  <si>
    <t>Автономная некоммерческая организация «Центр подводных исследований Русского географического общества»</t>
  </si>
  <si>
    <t xml:space="preserve">ЦПИ РГО проводит уникальные по своей сложности глубоководные работы и участвует в международных исследовательских программах. </t>
  </si>
  <si>
    <t>Грузовой захват XL-100 - 1 шт. - 353 100 р.</t>
  </si>
  <si>
    <t>Договор б/н от 2021.02.02</t>
  </si>
  <si>
    <t>УПД № 50 от 2021.02.09</t>
  </si>
  <si>
    <t>ИП Приходько А.И.</t>
  </si>
  <si>
    <t>Sтанция 2025</t>
  </si>
  <si>
    <t>Развлекательно-игровой центр</t>
  </si>
  <si>
    <t>https://www.station2025.ru/</t>
  </si>
  <si>
    <t>8 (495) 215-56-31</t>
  </si>
  <si>
    <t>109029, Москва Михайловский пр-д, 1, строение 1</t>
  </si>
  <si>
    <t>info@station2025.ru</t>
  </si>
  <si>
    <t>Договор б/н от 2021.01.13</t>
  </si>
  <si>
    <t>Договор №7 Спец. № 9</t>
  </si>
  <si>
    <t>Грузовой захват XL-100.V02 - 1 шт. - 353 100 р.</t>
  </si>
  <si>
    <t>ZL-015</t>
  </si>
  <si>
    <t>Изготовление фторопластовых шайб для XM-6</t>
  </si>
  <si>
    <t>ZL-014</t>
  </si>
  <si>
    <t>Доработка винта для XT-5K (Гидробот)</t>
  </si>
  <si>
    <t>ZL-016</t>
  </si>
  <si>
    <t>Изготовление приспособлений для вставки статоров XM-6</t>
  </si>
  <si>
    <t>Прутки</t>
  </si>
  <si>
    <t>Магазин заготовок</t>
  </si>
  <si>
    <t>8 (495)532-9438</t>
  </si>
  <si>
    <t>ООО "ТМ ЭЛЕКТРОНИКС"</t>
  </si>
  <si>
    <t>Электроникс</t>
  </si>
  <si>
    <t>aa@tmelectronics.ru</t>
  </si>
  <si>
    <t>https://tmelectronics.ru/</t>
  </si>
  <si>
    <t>+7 (812) 409 48 49</t>
  </si>
  <si>
    <t>197343, Россия, Санкт-Петербург, Перевозный переулок, 19/1</t>
  </si>
  <si>
    <t>ООО "АКВАИРИ"</t>
  </si>
  <si>
    <t>АКВАИР ИНЖИНИРИНГ, АКВАИРИ СПб</t>
  </si>
  <si>
    <t>Герморазъемы, подводные кабели и пр</t>
  </si>
  <si>
    <t>techno@aquairy.ru </t>
  </si>
  <si>
    <t>www.aquairy.ru</t>
  </si>
  <si>
    <t xml:space="preserve">+7 (812)919-66-86 </t>
  </si>
  <si>
    <t>192029, г.Санкт-Петербург, пр.Обуховской обороны, д.70, корп.2, офис 431</t>
  </si>
  <si>
    <t>ООО "АМС"</t>
  </si>
  <si>
    <t>Различные прокаты</t>
  </si>
  <si>
    <t>ams9990704121@yandex.ru </t>
  </si>
  <si>
    <t>https://ooo-ams.promportal.su/</t>
  </si>
  <si>
    <t>+7 (999)070-41-21</t>
  </si>
  <si>
    <t>601785, Владимирская облсть, город Кольчугино, улица Ульяновская, дом 22, офис 9</t>
  </si>
  <si>
    <t>Авиаматика</t>
  </si>
  <si>
    <t xml:space="preserve">Порошковая покраска </t>
  </si>
  <si>
    <t>aviamatika@gmail.com</t>
  </si>
  <si>
    <t>https://aviam.ru/</t>
  </si>
  <si>
    <t>+7 495 605 78 90</t>
  </si>
  <si>
    <t xml:space="preserve">123103, Москва г, ул.Генерала Глаголева, д.25, к.2, 
кв.88 </t>
  </si>
  <si>
    <t>ZL-017</t>
  </si>
  <si>
    <t>Изготовление латунных втулок для XM-6 (Гидробот)</t>
  </si>
  <si>
    <t>http://mehlab.net/</t>
  </si>
  <si>
    <t>Инжиниринг/ производство</t>
  </si>
  <si>
    <t>info@mehlab.net</t>
  </si>
  <si>
    <t>МЕХЛАБ</t>
  </si>
  <si>
    <t>8 (967) 285-45-26</t>
  </si>
  <si>
    <t>Гном</t>
  </si>
  <si>
    <t>Робототехника</t>
  </si>
  <si>
    <t>aav@gnomrov.ru</t>
  </si>
  <si>
    <t>https://gnomrov.com/</t>
  </si>
  <si>
    <t>+7 (916) 257-52-61</t>
  </si>
  <si>
    <t>Москва, Нахимовский проспект,36</t>
  </si>
  <si>
    <t>РМП</t>
  </si>
  <si>
    <t>Производство, ремонтные работы</t>
  </si>
  <si>
    <t>mosremzavod@bk.ru</t>
  </si>
  <si>
    <t>8 962 989 21 74</t>
  </si>
  <si>
    <t>434 ОАО АКБ «АВАНГАРД» (ТАКО) USD</t>
  </si>
  <si>
    <t>Aquabyte</t>
  </si>
  <si>
    <t>https://www.aquabyte.ai/index.html</t>
  </si>
  <si>
    <t>Аквабайт</t>
  </si>
  <si>
    <t>ZL-018</t>
  </si>
  <si>
    <t>Доработка деталей (торцевой шлиц) ХМ-6 (Гидробот)</t>
  </si>
  <si>
    <t>ZL-019</t>
  </si>
  <si>
    <t>Дорабтка гаек для XM-6 (Гидробот)</t>
  </si>
  <si>
    <t>ZP-008</t>
  </si>
  <si>
    <t>Печать крышки ротора для XM-6 (Гидробот)</t>
  </si>
  <si>
    <t>ИП Павленко А.М.</t>
  </si>
  <si>
    <t>Сделай станок</t>
  </si>
  <si>
    <t>Металлообработка</t>
  </si>
  <si>
    <t>info@SdelaiStanok.ru</t>
  </si>
  <si>
    <t>https://www.sdelaistanok.ru/</t>
  </si>
  <si>
    <t>+7(963) 648-00-00</t>
  </si>
  <si>
    <t>Россия, г. Москва, Касимовская ул., вл. 26, этаж 4, офис 405</t>
  </si>
  <si>
    <t xml:space="preserve">Москва, Фрезер ш., дом 17А, строение 1, квартира Э/ПОМ 3/3 </t>
  </si>
  <si>
    <t>ООО "ТПК ЗЕДЕКС"</t>
  </si>
  <si>
    <t>Plastmass Group (Пластмасс Групп)</t>
  </si>
  <si>
    <t>info@zedex.ru</t>
  </si>
  <si>
    <t>https://plastmass-group.ru/</t>
  </si>
  <si>
    <t>+7 (499) 951-79-41</t>
  </si>
  <si>
    <t>109341, РФ, г. Москва, ул. Братиславская, д. 6, оф. 120 (8й этаж, домофон 80В или 120В)</t>
  </si>
  <si>
    <t>Производитель и эксклюзивный поставщик уникальных синтетических полимеров</t>
  </si>
  <si>
    <t>ООО «МИКС БАЙ»</t>
  </si>
  <si>
    <t>MIX-BUY</t>
  </si>
  <si>
    <t>Светотехника и электрика</t>
  </si>
  <si>
    <t xml:space="preserve">info@mix-buy.ru </t>
  </si>
  <si>
    <t>https://www.mix-buy.ru/</t>
  </si>
  <si>
    <t>+7 (495) 005-52-86</t>
  </si>
  <si>
    <t>141580, Московская Область, Солнечногорский р-н, д. Черная Грязь, дом. 43-М, помещение 1</t>
  </si>
  <si>
    <t>Металл-экспертиза</t>
  </si>
  <si>
    <t>Анализ испытания и экспертиза металлла</t>
  </si>
  <si>
    <t>info@metall-expertiza.ru</t>
  </si>
  <si>
    <t>https://metall-expertiza.ru/</t>
  </si>
  <si>
    <t>+7 (499) 390-13-16</t>
  </si>
  <si>
    <t>117393, Москва, Архитектора Власова, 49</t>
  </si>
  <si>
    <t>ФГУП ОКБ ОТ РАН Договор поставки б/н от 2020.10.13</t>
  </si>
  <si>
    <t xml:space="preserve">ФГУП ОКБ ОТ РАН </t>
  </si>
  <si>
    <t>02.07.202</t>
  </si>
  <si>
    <t>УПД № 499 от 17.12.2020
XM-1 - 2 шт.</t>
  </si>
  <si>
    <t>Манипулятор XM-1.V02 - 2 шт. - 359 560 р.</t>
  </si>
  <si>
    <t>Иммертехник</t>
  </si>
  <si>
    <t>Поставщик Parker</t>
  </si>
  <si>
    <t>Nedobezhkin@immerservice.ru</t>
  </si>
  <si>
    <t>www.immertechnik.ru</t>
  </si>
  <si>
    <t>+7 499 608 1015 (вн 107)</t>
  </si>
  <si>
    <t>142717, Московская область, Ленинский район, с. Беседы, Промышленный проезд,
д.7</t>
  </si>
  <si>
    <t>ООО "АДДИТИВНЫЕ ТЕХНОЛОГИИ"</t>
  </si>
  <si>
    <t>Top 3D Shop</t>
  </si>
  <si>
    <t>STD-SHELL.RU</t>
  </si>
  <si>
    <t>Продукция SHELL, масло и т.д.</t>
  </si>
  <si>
    <t>ruslan@std-shell.ru</t>
  </si>
  <si>
    <t>https://www.std-shell.ru/</t>
  </si>
  <si>
    <t>+7 (499) 577-04-00</t>
  </si>
  <si>
    <t>111675, г. Москва, улица Руднёвка, дом 4, помещение IV, к. 1,2, 
о. 1, РМ 1/1</t>
  </si>
  <si>
    <t>ZL-020</t>
  </si>
  <si>
    <t>Изготовление втулок с канавками для XM-6 (Гидробот)</t>
  </si>
  <si>
    <t>ZL-021</t>
  </si>
  <si>
    <t>Изготовление прокладки для XM-6 (Гидробот)</t>
  </si>
  <si>
    <t>Дом Краски</t>
  </si>
  <si>
    <t>Краски и пр.</t>
  </si>
  <si>
    <t>pavlova@domkraski.ru</t>
  </si>
  <si>
    <t>http://domkraski.ru/</t>
  </si>
  <si>
    <t>+7 (495) 775-05-03</t>
  </si>
  <si>
    <t>Москва, ул. Большая Семеновская, д.42, стр.6</t>
  </si>
  <si>
    <t>АО "Метизно-Интструментальная Компания"</t>
  </si>
  <si>
    <t>Магазин "Метизы от А до..."</t>
  </si>
  <si>
    <t>info@grover-sk.ru</t>
  </si>
  <si>
    <t>https://grover-sk.ru/</t>
  </si>
  <si>
    <t>+7(495) 151-42-43</t>
  </si>
  <si>
    <t>111141, г. Москва, ул. Плеханова, д. 11, стр. 7</t>
  </si>
  <si>
    <t>АО "ПРОМТЕХСНАБ"</t>
  </si>
  <si>
    <t>СИНЕРГИЯ-ДИСТРИБУЦИЯ</t>
  </si>
  <si>
    <t>akim@gsupply.ru </t>
  </si>
  <si>
    <t>https://www.gsupply.ru/</t>
  </si>
  <si>
    <t>8 (812) 409 49 13</t>
  </si>
  <si>
    <t>195027, Санкт-Петербург г, Шаумяна пр-т, дом № 4, корпус 1, лит. А, 
пом.35Н, оф.510</t>
  </si>
  <si>
    <t>ООО "АСПЕКТ"</t>
  </si>
  <si>
    <t>ООО Евромаш ЭК</t>
  </si>
  <si>
    <t>sale7@euromash.su</t>
  </si>
  <si>
    <t>http://euromash.su/</t>
  </si>
  <si>
    <t>7 812 309 89 32</t>
  </si>
  <si>
    <t>197374, Санкт-Петербург г, 
Мебельная ул, дом 12, корпус 1, литер Б, помещение 2-Н, офис 212</t>
  </si>
  <si>
    <t>ООО "ИНТЕГРАЛЬНЫЕ СХЕМЫ"</t>
  </si>
  <si>
    <t xml:space="preserve"> sale2@ic-ltd.ru</t>
  </si>
  <si>
    <t>https://ic-ltd.ru/</t>
  </si>
  <si>
    <t>+7 (812) 448-53-82</t>
  </si>
  <si>
    <t>197374, 
Санкт-Петербург г, Мебельная ул, дом 12, корпус 1, литера Б, помещение 2Н, офис 
211</t>
  </si>
  <si>
    <t>ООО "ЗАПАДПРИБОР"</t>
  </si>
  <si>
    <t>ЗАПАДПРИБОР</t>
  </si>
  <si>
    <t>Производство, продажа и обслуживание средств измерительной техники.</t>
  </si>
  <si>
    <t>proton@zapadpribor.com</t>
  </si>
  <si>
    <t>https://zapadpribor.com/</t>
  </si>
  <si>
    <t>(495) 260-12-54</t>
  </si>
  <si>
    <t>115191, Москва г, внутригородская территория муниципальный 
округ Даниловский, ул.2-я Рощинская, дом № 4  пом. 1 A  ком. 1 раб. м  №3</t>
  </si>
  <si>
    <t>УПД № 226 от 31.05.2021
XL-100-1шт.</t>
  </si>
  <si>
    <t xml:space="preserve">УПД № 197 от 17.06.2019 </t>
  </si>
  <si>
    <t>УПД № 185 от 25.05.2020</t>
  </si>
  <si>
    <t>УПД № 22 от 05.02.2019 - XW-12 - 5шт.
УПД № 41 от 19.02.2019 - XL-100 - 9шт.
УПД № 51 от 25.02.2019 - XW-12 - 3шт.
УПД № 62 от 12.03.2019 XW-12 - 4шт.
XL-100 - 7шт.
УПД № 59 от 04.03.2019 XW-12 - 4шт.
УПД № 70 от 20.03.2019 - XM-100 - 2шт.
УПД № 338 от 08.10.2019 - XW-12 - 5шт.
УПД № 276 от 14.08.2018 - XM-1 - 15 шт, XL-100 - 15 шт.
УПД № 270 от 12.08.2019 - XW-12 - 4шт.
УПД № 259 от 07.08.2019 - XW-12 - 7шт.
УПД № 269 от 12.08.2019 - XW-12 - 4шт.
УПД № 366 от 29.10.2019 - XW-12 - 3шт.
УПД № 421 от 02.12.2019 - XL-100 - 14шт. XM-1 - 14шт.
УПД № 84 от 22.03.2019 - XM-1- 14шт.
УПД № 373 от 06.11.2019 - XW-12- 3шт.
УПД № 376 от 08.11.2019 - XW-12- 3 шт.</t>
  </si>
  <si>
    <t>ИП Пономарев С.В.</t>
  </si>
  <si>
    <t>Холодпромсервис</t>
  </si>
  <si>
    <t>Интернет-магазин холодильного инструмента. Фреоны, масла, расходные материалы</t>
  </si>
  <si>
    <t>holodps@mail.ru</t>
  </si>
  <si>
    <t>http://holodps.ru/</t>
  </si>
  <si>
    <t>+7 (495) 796-25-39 </t>
  </si>
  <si>
    <t>109518, Москва г, Волжский б-р, дом № 3, корпус 1, 
квартира 157</t>
  </si>
  <si>
    <t>АЛЛЮР</t>
  </si>
  <si>
    <t>Поставки материалов для электроники</t>
  </si>
  <si>
    <t>info@aly.ru</t>
  </si>
  <si>
    <t>www.alychemi.ru</t>
  </si>
  <si>
    <t>8 (812) 716-90-19</t>
  </si>
  <si>
    <t>92029, Санкт-Петербург, Большой Смоленский пр.,
дом 10, этаж 2, офис 202</t>
  </si>
  <si>
    <t>ООО "ПРОМБИЗНЕС"</t>
  </si>
  <si>
    <t>Коломенка</t>
  </si>
  <si>
    <t>Магазин детских товаров</t>
  </si>
  <si>
    <t>info@kolomenka.ru</t>
  </si>
  <si>
    <t>https://kolomenka.ru/</t>
  </si>
  <si>
    <t>+7 (495) 998-78-71</t>
  </si>
  <si>
    <t>г. Москва, 2-й Амбулаторный проезд, д.12Ес7</t>
  </si>
  <si>
    <t>ГАРВИН</t>
  </si>
  <si>
    <t>Автомобильный инструмент и слесарное оборудование</t>
  </si>
  <si>
    <t>shopmsk@garagetools.ru</t>
  </si>
  <si>
    <t>https://garagetools.ru/</t>
  </si>
  <si>
    <t>8 495 877-33-05</t>
  </si>
  <si>
    <t>192236, г. Санкт-Петербург, ул. Софийская, д.6, корпус 8, стр.1, пом. 1-Н, оф.512</t>
  </si>
  <si>
    <t>Договор №7 Спец. № 10</t>
  </si>
  <si>
    <t>ООО "ССК"</t>
  </si>
  <si>
    <t>Компании ALUMICA</t>
  </si>
  <si>
    <t>Профили алюминиевые</t>
  </si>
  <si>
    <t>mail@alumica.ru</t>
  </si>
  <si>
    <t>www.alumica.ru</t>
  </si>
  <si>
    <t>8(499) 649-49-53, доб.128</t>
  </si>
  <si>
    <t>170040, Тверская обл, Тверь г, Николая Корыткова пр-кт, дом 46</t>
  </si>
  <si>
    <t>MinimalPrice</t>
  </si>
  <si>
    <t>Оборудование для дома и офиса</t>
  </si>
  <si>
    <t xml:space="preserve">info@minimalprice.ru
</t>
  </si>
  <si>
    <t>https://minimalprice.ru/</t>
  </si>
  <si>
    <t>+7 (495) 150-62-07</t>
  </si>
  <si>
    <t>г. Москва, Балаклавский просп., д. 4, корп. 8</t>
  </si>
  <si>
    <t>МФК-Торг</t>
  </si>
  <si>
    <t>Оптовая поставка товаров промышленного назначения</t>
  </si>
  <si>
    <t>https://mfk-torg.ru/</t>
  </si>
  <si>
    <t>mfk10@mfk-torg.ru</t>
  </si>
  <si>
    <t>8-495-767-28-86</t>
  </si>
  <si>
    <t>117545, Г МОСКВА, 1-Й ДОРОЖНЫЙ ПРОЕЗД, Д.9, ЭТАЖ 2, ПОМЕЩ.20, тел.: 84957672886</t>
  </si>
  <si>
    <t>ООО "ЭКС"</t>
  </si>
  <si>
    <t>ЭКС</t>
  </si>
  <si>
    <t>Электротехническая продукция</t>
  </si>
  <si>
    <t xml:space="preserve">zakaz@e-kc.ru
</t>
  </si>
  <si>
    <t>https://e-kc.ru/</t>
  </si>
  <si>
    <t xml:space="preserve"> +7 (495) 777-83-45</t>
  </si>
  <si>
    <t>Москва, улица Кусковская, дом 20А, офис В706.</t>
  </si>
  <si>
    <t>Ситилинк</t>
  </si>
  <si>
    <t>Техника</t>
  </si>
  <si>
    <t>https://www.citilink.ru/</t>
  </si>
  <si>
    <t xml:space="preserve">+7(495)780-20-02
</t>
  </si>
  <si>
    <t>105122, ГОРОД МОСКВА, ЩЕЛКОВСКОЕ ШОССЕ, Д. 7, СТР. 1, ЭТАЖ 1, ПОМ. I, КОМ. 51</t>
  </si>
  <si>
    <t>ИП Бенин М.Е.</t>
  </si>
  <si>
    <t>Бенин</t>
  </si>
  <si>
    <t>Техника apple, контакт SZ</t>
  </si>
  <si>
    <t>РТИ Петербург</t>
  </si>
  <si>
    <t>http://www.mir-rti.ru</t>
  </si>
  <si>
    <t>+7(812) 309-98-09</t>
  </si>
  <si>
    <t>198216,г.Санкт-Петербург, пр-т Народного Ополчения, д.2 корп.2</t>
  </si>
  <si>
    <t>ТД Формула Пласт</t>
  </si>
  <si>
    <t>Продажа оргстекла и сопутствующих материалов</t>
  </si>
  <si>
    <t>info@formula-plast.ru</t>
  </si>
  <si>
    <t>https://www.formula-plast.ru/</t>
  </si>
  <si>
    <t>+7 (495) 142-14-10</t>
  </si>
  <si>
    <t>Москва, 6-я Радиальная ул., д. 62, стр. 1</t>
  </si>
  <si>
    <t>Изготовление габаритного макета манипулятора XM-6 (Гидробот)</t>
  </si>
  <si>
    <t>Печать крышки ротора XT-5K (Гидробот)</t>
  </si>
  <si>
    <t>УПД № 272 от 24.06.2021 XT-5K - 3 шт.
УПД № 284 от 01.07.2021 XT-5K - 2 шт.
УПД № 297 от 09.07.2021 XT-5K - 2 шт.
УПД № 323 от 22.07.2021 ХТ-5К - 1 шт.
УПД № 328 от 26.07.2021 ХТ-5К - 1 шт.</t>
  </si>
  <si>
    <t>УПД № 312 от 21.07.2021</t>
  </si>
  <si>
    <t>Кургузова О.С.</t>
  </si>
  <si>
    <t>olga.kurguzova@gidrobot.ru</t>
  </si>
  <si>
    <t>+7 (916)465-39-68</t>
  </si>
  <si>
    <t>Кургузова О.С. Личный</t>
  </si>
  <si>
    <t>ТП906</t>
  </si>
  <si>
    <t>№ 2123187100772412209209685/ТП906</t>
  </si>
  <si>
    <t>Манипулятор XM-1.V02 - 1 шт. - 376 900 р.
Грузовой захват XL-100.V02-01( без патрона) - 1 шт. - 298 180,65 р.
Грузовой захват XL-100.V02-02 (без патрона и такелажной точки)- 1 шт. - 279 680,63 р.</t>
  </si>
  <si>
    <t xml:space="preserve">Изготовление деталей по запросу, по чертежам </t>
  </si>
  <si>
    <t>info@model-r.ru</t>
  </si>
  <si>
    <t>www.model-r.ru</t>
  </si>
  <si>
    <t>8-495-532-53-12,
8-926-243-55-16</t>
  </si>
  <si>
    <t>МО , г.Подольск, ул. 8 марта, д.2</t>
  </si>
  <si>
    <t>Ольга С. Кургузова</t>
  </si>
  <si>
    <t>Частное лицо</t>
  </si>
  <si>
    <t>ООО "ГИДРОСКЛАД"</t>
  </si>
  <si>
    <t>info@hydrosklad.com</t>
  </si>
  <si>
    <t>+7 (495)-254-00-44</t>
  </si>
  <si>
    <t>МО, Красногорский р-н, Гольево д магазин "Автомобили"</t>
  </si>
  <si>
    <t>Продажа деталей</t>
  </si>
  <si>
    <t xml:space="preserve">Частное лицо </t>
  </si>
  <si>
    <t>Карапетян Р.А.</t>
  </si>
  <si>
    <t>Карапетян Р.А</t>
  </si>
  <si>
    <t>ИП Козлов А.Н.</t>
  </si>
  <si>
    <t>350000, РФ, Краснодарский
край, г. Краснодар, ул. им Митрофана Седина, 145/1,</t>
  </si>
  <si>
    <t>8-800-775-46-82
8-861-255-97-54</t>
  </si>
  <si>
    <t>125284, Россия, г Москва, ул Беговая, 6 к 3, 214</t>
  </si>
  <si>
    <t>8 926 525 34 17</t>
  </si>
  <si>
    <t>ООО "БИГИТ ПЛЮС"</t>
  </si>
  <si>
    <t>БИГИТ ПЛЮС</t>
  </si>
  <si>
    <t>ZP-009</t>
  </si>
  <si>
    <t>Печать корпусов для проходника XT-5K (Гидробот)</t>
  </si>
  <si>
    <t>ЗАО "РОСМА"</t>
  </si>
  <si>
    <t>(495) 666-33-01</t>
  </si>
  <si>
    <t>Ленинградская обл., район Гатчинский, городской поселок Вырица, шоссе Сиверское, дом № 168</t>
  </si>
  <si>
    <t>ООО "ТРУБОПРОВОДНЫЙ МИР"</t>
  </si>
  <si>
    <t>Изготовление деталей по запросу</t>
  </si>
  <si>
    <t>Москва г, Свободы ул, дом № 35, строение 42, этаж 1, пом. II, комн. 46</t>
  </si>
  <si>
    <t>АО "КОМПЭЛ"</t>
  </si>
  <si>
    <t>Продажа деталей, электронных компонентов</t>
  </si>
  <si>
    <t>sds@compel.ru</t>
  </si>
  <si>
    <t>(495) 234-7760</t>
  </si>
  <si>
    <t>109316, РОССИЯ,г. Москва, проспект 
Волгоградский, дом 28А, пом. I, эт.3, ком. 6.</t>
  </si>
  <si>
    <t>125362, г. Москва, вн. тер. г. муниципальный округ 
Покровское-Стрешнево, пр-д Строительный,  двлд. 7а, к.39, стр.3, этаж 2, ком. 5,</t>
  </si>
  <si>
    <t xml:space="preserve">Изготовление деталей по 3Д модели </t>
  </si>
  <si>
    <t>+7(963)648-00-00</t>
  </si>
  <si>
    <t xml:space="preserve">115304, Москва г, Кантемировская ул, дом 4, корпус 3, квартира 1281 </t>
  </si>
  <si>
    <t>Покраска деталей</t>
  </si>
  <si>
    <t>ООО "ЭЛЕКТРОСИСТЕМ"</t>
  </si>
  <si>
    <t>Заказ компаунда</t>
  </si>
  <si>
    <t xml:space="preserve"> opt13@mos1.russvet.ru</t>
  </si>
  <si>
    <t>РФ, 111123, Москва г, Энтузиастов ш, д. 56, стр. 8</t>
  </si>
  <si>
    <t>8-495-981-49-21 (доб 310))
7-(495)-9814921</t>
  </si>
  <si>
    <t>ПРОМСВЯЗЬ 44357 (ТП 906)</t>
  </si>
  <si>
    <t>Изготовление деталей</t>
  </si>
  <si>
    <t>+7 (495) 921-44-14</t>
  </si>
  <si>
    <t>105318, Москва г, Ибрагимова ул, дом № 31, офис 808</t>
  </si>
  <si>
    <t>Не надежный котрагент</t>
  </si>
  <si>
    <t>https://kipservis.ru/</t>
  </si>
  <si>
    <t>https://rosma.spb.ru/</t>
  </si>
  <si>
    <t>https://xn----9sbdivewfgabjkdjrs7m.xn--p1ai/</t>
  </si>
  <si>
    <t>https://www.compel.ru/</t>
  </si>
  <si>
    <t>https://hydrosnab.ru/</t>
  </si>
  <si>
    <t>https://xn--80aafc5bcni6j.xn--p1ai/about/</t>
  </si>
  <si>
    <t>НТЦ "СИСТЭМ"</t>
  </si>
  <si>
    <t>Специлизируется на разработке и производстве электрических машин ( электродвигатели)</t>
  </si>
  <si>
    <t>https://ntcsystem.ru/</t>
  </si>
  <si>
    <t>+7  (473) 202-87-47</t>
  </si>
  <si>
    <t>394019, г. Воронеж, проспект Труда 139Г, офис 28.</t>
  </si>
  <si>
    <t>НПЦ "АТРИ"</t>
  </si>
  <si>
    <t>Производство, разработка и проектирование компонентов для панельных компьютеров для использования в системах промышленной автоматики.</t>
  </si>
  <si>
    <t>http://www.a3.spb.ru/catalog/seriya/4953</t>
  </si>
  <si>
    <t>+7(812) 380-30-44</t>
  </si>
  <si>
    <t>Россия, 197343, г. Санкт-Петербург,
ул. Земледельческая, д. 5</t>
  </si>
  <si>
    <t>Занимается выпуском промышленных компьютеров на базе отечественных процессов "Эльбрус". Продажа комплектующих.</t>
  </si>
  <si>
    <t>office@positron.ru</t>
  </si>
  <si>
    <t>https://positron.ru/product-category/komplektujushhie/monitor/</t>
  </si>
  <si>
    <t>+7 (812) 603-20-30</t>
  </si>
  <si>
    <t>194295, Санкт-Петербург, ул. Ивана Фомина, дом 6, пом. 342</t>
  </si>
  <si>
    <t>ОАО "НПП "Темп" им. Ф. Корткова</t>
  </si>
  <si>
    <t>ОАО "НПП "Темп" им. Ф. Короткова</t>
  </si>
  <si>
    <t>Разработка в области механики, гидравлики, электроники и пневмоники. Механическая обработка очень сложных деталей</t>
  </si>
  <si>
    <t xml:space="preserve"> m.lavrinenko@npptemp.com</t>
  </si>
  <si>
    <t>http://npptemp.com/</t>
  </si>
  <si>
    <t xml:space="preserve"> +7 (495) 640-25-42 доб. 1111 ( приемная)
+7 (495) 640-25-42 доб. 1600 ( отдел маркетинга)</t>
  </si>
  <si>
    <t>127015, г. Москва, ул. Правды, д. 23</t>
  </si>
  <si>
    <t>АО НПЦ «ЭЛВИС»</t>
  </si>
  <si>
    <t>ведущий разработчик систем на кристалле и устройств на их основе.</t>
  </si>
  <si>
    <t xml:space="preserve">secretary@elvees.com </t>
  </si>
  <si>
    <t>https://multicore.ru/</t>
  </si>
  <si>
    <t>+7(495) 926-79-57</t>
  </si>
  <si>
    <t xml:space="preserve"> 124498, Москва, Зеленоград, проезд №4922, дом 4, стр. 2</t>
  </si>
  <si>
    <t>"Кобра"</t>
  </si>
  <si>
    <t>Механическая обработка сложных деталей</t>
  </si>
  <si>
    <t>Доступ через Илью</t>
  </si>
  <si>
    <t>"АМ 2.0"</t>
  </si>
  <si>
    <t>https://am20.ru/</t>
  </si>
  <si>
    <t>ВИАМ</t>
  </si>
  <si>
    <t>https://viam.ru/</t>
  </si>
  <si>
    <t>+7(499)261-86-77</t>
  </si>
  <si>
    <t>г. Москва, 
ул. Радио, д. 17</t>
  </si>
  <si>
    <t xml:space="preserve">компаунда 3M ScotchCast 2131 </t>
  </si>
  <si>
    <t>рекомендация от Тетиса</t>
  </si>
  <si>
    <t>https://formos.ru/</t>
  </si>
  <si>
    <t>(495)642-73-04 доб. 138
Моб. 8(905) 723-40-02</t>
  </si>
  <si>
    <t>Договор № 479/20</t>
  </si>
  <si>
    <t>Ингильдеев Р.</t>
  </si>
  <si>
    <t>Программист</t>
  </si>
  <si>
    <t>Физ. Лицо Диля</t>
  </si>
  <si>
    <t>+7 960 523-03-42</t>
  </si>
  <si>
    <t>+ 916 968-35-65</t>
  </si>
  <si>
    <t>Программист из МАИ, найденный через АКИН</t>
  </si>
  <si>
    <t>ООО "ГУД МЕБЕЛЬ РИТЭЙЛ"</t>
  </si>
  <si>
    <t>Интернет-магазин</t>
  </si>
  <si>
    <t>Офисная мебель,диваны</t>
  </si>
  <si>
    <t>Все доставили строго в срок</t>
  </si>
  <si>
    <t>os@good-mebel.ru</t>
  </si>
  <si>
    <t>https://good-mebel.com</t>
  </si>
  <si>
    <t>+7 495 154-73-94</t>
  </si>
  <si>
    <t>Шоу-рум ул. Велозаводская, д. 13, стр. 1, здание Велозаводского Рынка, цокольный этаж, павильон 315</t>
  </si>
  <si>
    <t xml:space="preserve">УПД № 429 от 29.09.2021 </t>
  </si>
  <si>
    <t>Кабельная сборка движителя XT-5K, 1.6 м - 6шт. - 25 000 р./шт.
Кабельная сборка движителя XT-5K, 1.6 м, выходной штуцер совм. co SeaEye SM4 - 2шт. - 30 000 р./шт.</t>
  </si>
  <si>
    <t>УПД № 395 от 07.09.2021 Кабельная сборка движителя XT-5K, 1.6 м - 6шт. - 25 000 р./шт.</t>
  </si>
  <si>
    <t>Bornemann-gewindetechnik.
Сделано в Германии</t>
  </si>
  <si>
    <t>Расходные материалы</t>
  </si>
  <si>
    <t>Винты, винтовые гайки по индивидуальному заказу</t>
  </si>
  <si>
    <t>Производство специальной резьбы и механическая обработка деталей по индивидуальному заказу TÜV NORD CERT GmbH</t>
  </si>
  <si>
    <t> info@bornemann.de</t>
  </si>
  <si>
    <t>https://www.bornemann-gewindetechnik.de/ru/%D0%BF%D1%80%D0%BE%D0%B4%D1%83%D0%BA%D1%86%D0%B8%D1%8F/</t>
  </si>
  <si>
    <t> +49 5187-9422-26</t>
  </si>
  <si>
    <t>Германия</t>
  </si>
  <si>
    <t>Аssunmotor</t>
  </si>
  <si>
    <t>Бесщеточные двигатели постоянного тока</t>
  </si>
  <si>
    <t>info_cn@assunmotor.com</t>
  </si>
  <si>
    <t>https://assunmotor.com/products/brushless-coreless-motor</t>
  </si>
  <si>
    <t>Китай</t>
  </si>
  <si>
    <t>Провода, кабели</t>
  </si>
  <si>
    <t>snabcable@bk.ru</t>
  </si>
  <si>
    <t>https://snabcable.ru/mounting/mgtf-mgtfe/pv-3-pugv/</t>
  </si>
  <si>
    <t>8-800-222-14-27</t>
  </si>
  <si>
    <t>428003 г. Чебоксары, ул. Байдула, д. 10 пом. 6</t>
  </si>
  <si>
    <t>Электрооборудование и кабельная продукция</t>
  </si>
  <si>
    <t>chertkov@etp-perm.ru</t>
  </si>
  <si>
    <t>http://etp-perm.ru/</t>
  </si>
  <si>
    <t>(342) 210-59-06</t>
  </si>
  <si>
    <t>614018, Россия, Пермь, ул. Набережная 3-я, 46а</t>
  </si>
  <si>
    <t>ООО «ЭСТЭРИЯ»</t>
  </si>
  <si>
    <t>Уплотнительные кольца</t>
  </si>
  <si>
    <t>zakaz@uplotneniyarf.ru</t>
  </si>
  <si>
    <t>http://uplotneniyarf.ru/</t>
  </si>
  <si>
    <t>г. Москва, бульвар Адмирала Ушакова, д.11</t>
  </si>
  <si>
    <t>Оборудование</t>
  </si>
  <si>
    <t>ООО "Хэдхантер"</t>
  </si>
  <si>
    <t>Вакансии</t>
  </si>
  <si>
    <t>Размещение вакансий на платформе hh.ru</t>
  </si>
  <si>
    <t>Киселев А.А.</t>
  </si>
  <si>
    <t>ИП Воронцов Д.С.</t>
  </si>
  <si>
    <t>Полина С. Мархашова</t>
  </si>
  <si>
    <t>Наталья В. Силантьева</t>
  </si>
  <si>
    <t>Мархашова П.С Личный</t>
  </si>
  <si>
    <t>Силантьева Н.В Личный</t>
  </si>
  <si>
    <t>Мархашова П.С.</t>
  </si>
  <si>
    <t>Бухгалтер</t>
  </si>
  <si>
    <t>Силантьева Н.В.</t>
  </si>
  <si>
    <t>Главный бухгалтер</t>
  </si>
  <si>
    <t>Поставка компаунда</t>
  </si>
  <si>
    <t>&lt;mera@meratest.ru</t>
  </si>
  <si>
    <t>111033, г. Москва, Ул. Золоторожский Вал, д.34, стр.6</t>
  </si>
  <si>
    <t>Вадим Ф. Газлиев</t>
  </si>
  <si>
    <t>Дмитрий Е. Карцев</t>
  </si>
  <si>
    <t>Газлиев В. Ф.</t>
  </si>
  <si>
    <t>Сборка, техник</t>
  </si>
  <si>
    <t>+7 (925) 519-34-04</t>
  </si>
  <si>
    <t>+7 (910) 903-41-37</t>
  </si>
  <si>
    <t xml:space="preserve">Продажа компаунда </t>
  </si>
  <si>
    <t>https://www.meratest.ru/kontakti/</t>
  </si>
  <si>
    <t>+8 (800) 777-75-15</t>
  </si>
  <si>
    <t>МО, г.Мытищи,Одимпийский пр-кт, д.29,стр.2, оф.46/2</t>
  </si>
  <si>
    <t>ООО Компания ВДЛ</t>
  </si>
  <si>
    <t>info@shop220.ru</t>
  </si>
  <si>
    <t>https://shop220.ru/</t>
  </si>
  <si>
    <t>+7 (499) 220-88-88</t>
  </si>
  <si>
    <t>г.Москва,Новохохловская ул. Д.91,стр.10</t>
  </si>
  <si>
    <t>Газлиев В.Ф. Личный</t>
  </si>
  <si>
    <t>ZL-022</t>
  </si>
  <si>
    <t>Изготовление оси системы фиксации Гаража (Гидробот)</t>
  </si>
  <si>
    <t>ZL-023</t>
  </si>
  <si>
    <t>Изготовление заглушек БРС для XM-6 (Гидробот)</t>
  </si>
  <si>
    <t>BDAKINOKR</t>
  </si>
  <si>
    <t>Денис В. Коваленко</t>
  </si>
  <si>
    <t>Коваленко Д.В. Личный</t>
  </si>
  <si>
    <t>ООО "ХОМУТИНФО ТРЕЙД"</t>
  </si>
  <si>
    <t>Коваленко Д.В.</t>
  </si>
  <si>
    <t>Аренда серверов и других удаленных вычислительных мощностей</t>
  </si>
  <si>
    <t>ООО " ВП КВАЗАР"</t>
  </si>
  <si>
    <t>ООО "БАФУС"</t>
  </si>
  <si>
    <t>Локтайт</t>
  </si>
  <si>
    <t>bafus@bafus.ru</t>
  </si>
  <si>
    <t xml:space="preserve"> www.bafus.ru</t>
  </si>
  <si>
    <t>(495) 989-20-25</t>
  </si>
  <si>
    <t>129344, г. Москва, Енисейская улица, 2, стр 9, оф 1</t>
  </si>
  <si>
    <t>zakaz05@statust.ru</t>
  </si>
  <si>
    <t>+7 (843) 203-93-42</t>
  </si>
  <si>
    <t>420021, Татарстан Респ, г Казань, ул Лево-Булачная, д. 52, помещ. 21В</t>
  </si>
  <si>
    <t xml:space="preserve">www.statust.ru </t>
  </si>
  <si>
    <t>Трансформаторное масло</t>
  </si>
  <si>
    <t>+7 495 796-40-67</t>
  </si>
  <si>
    <t>Договор 760ГРНТИС5/71146</t>
  </si>
  <si>
    <t>Кургузова О.С. АКИН</t>
  </si>
  <si>
    <t>ПАО СБЕРБАНК 19284 (760ГРНТИС5/71146)</t>
  </si>
  <si>
    <t>МО УФК (ФГБУ "ФОНД СОДЕЙСТВИЯ РАЗВИТИЮ МАЛЫХ ФОРМ ПРЕДПРИЯТИЙ В НАУЧНО-ТЕХНИЧЕСКОЙ СФЕРЕ")</t>
  </si>
  <si>
    <t>ФСИ</t>
  </si>
  <si>
    <t>УФК по г.Москве (ИФНС России N 28 по г.Москве)</t>
  </si>
  <si>
    <t>штрафы</t>
  </si>
  <si>
    <t>141073, Московская обл, 
Королев г, Болдырева ул, дом № 1</t>
  </si>
  <si>
    <t>(495) 777-40-11</t>
  </si>
  <si>
    <t>Шланг</t>
  </si>
  <si>
    <t>8-921-934-24-00</t>
  </si>
  <si>
    <t>192289, Санкт-Петербург г, 
Девятого Января пр-кт, дом № 21, литера А, офис 103А</t>
  </si>
  <si>
    <t>Закрывающие документы проекта</t>
  </si>
  <si>
    <t>Счет № 45</t>
  </si>
  <si>
    <t>ТП685</t>
  </si>
  <si>
    <t>ПРОМСВЯЗЬ 62425 (ТП 685)</t>
  </si>
  <si>
    <t>№2123187100772412209209685/ТП685</t>
  </si>
  <si>
    <t>Рукоять кривошипная для привода Лебёдки XW-12</t>
  </si>
  <si>
    <t>Счет № 53 от 2022.01.20</t>
  </si>
  <si>
    <t>Счет № 758 от 2021.12.01</t>
  </si>
  <si>
    <t>Поставка изделий:
1) XHF.TA02.04-00.00.001 Адаптер трубный - 28 шт - 64820 руб.;
2) XHF.HS08V01-00.00.001 Муфта - 28 шт - 38640 руб.;
3)  OL510000 Гидравлический рукав - 25 м - 6900 руб.</t>
  </si>
  <si>
    <t>Поставка одного комплекта изделий:
- Манипулятор XM-1 - 1 шт.
- Грузовой захват XL-100 - 1 шт.</t>
  </si>
  <si>
    <t>Поставка трёх комплектов изделий:
- Манипулятор XM-1 - 3 шт.
- Грузовой захват XL-100 - 3 шт.</t>
  </si>
  <si>
    <t>Криптоуслуги (шифрование КриптоПРО и тд")</t>
  </si>
  <si>
    <t>info@trusted.ru</t>
  </si>
  <si>
    <t>https://www.trusted.ru/</t>
  </si>
  <si>
    <t>+7 (836) 233-70-50 
+7 (800) 222-11-08</t>
  </si>
  <si>
    <t>424000, РМЭ, г. Йошкар-Ола, ул. Карла Маркса, д. 109Б, позиция 48</t>
  </si>
  <si>
    <t>ИП Демидов Д. С.</t>
  </si>
  <si>
    <t>Системное администрирование</t>
  </si>
  <si>
    <t>Дмитрий Демидов</t>
  </si>
  <si>
    <t>+7 926 754-20-51</t>
  </si>
  <si>
    <t xml:space="preserve">ОКР АКИН Транспортная платформа (Гараж) </t>
  </si>
  <si>
    <t>ZL-024</t>
  </si>
  <si>
    <t>Изготовление шайб из ПОМ-С для XT-5K (Гидробот)</t>
  </si>
  <si>
    <t>ZL-025</t>
  </si>
  <si>
    <t>Изготовление шайбы из бронзы для XT-5K (Гидробот)</t>
  </si>
  <si>
    <t>Алексей С. Ефанов</t>
  </si>
  <si>
    <t>Ефанов А. С.</t>
  </si>
  <si>
    <t>alexey.efanov@gidrobot.ru</t>
  </si>
  <si>
    <t>+7 916 672-52-86</t>
  </si>
  <si>
    <t>Финансовый администратор</t>
  </si>
  <si>
    <t>Разработка движителя на основе аутранера сделанного на заказ</t>
  </si>
  <si>
    <t>Перекрёсток</t>
  </si>
  <si>
    <t>https://www.perekrestok.ru/</t>
  </si>
  <si>
    <t>Комаров Д. П.</t>
  </si>
  <si>
    <t>AE</t>
  </si>
  <si>
    <t>DD</t>
  </si>
  <si>
    <t>GV</t>
  </si>
  <si>
    <t>SN</t>
  </si>
  <si>
    <t>MP</t>
  </si>
  <si>
    <t>KA</t>
  </si>
  <si>
    <t>TP</t>
  </si>
  <si>
    <t>PA</t>
  </si>
  <si>
    <t>IM</t>
  </si>
  <si>
    <t>GR</t>
  </si>
  <si>
    <t>MD</t>
  </si>
  <si>
    <t>Comments</t>
  </si>
  <si>
    <t>Основной счет Гидробот, на который переводятся все присланные средства за продажи продукции и услуг. Смешан со счетом ТАКО (лежат не только наши средства)</t>
  </si>
  <si>
    <t>Долларовый счет</t>
  </si>
  <si>
    <t>Узнать</t>
  </si>
  <si>
    <t>Счет ТАКО, на который иногда приходят оплаты и с которого он переводит средства нам на Авангард</t>
  </si>
  <si>
    <t>Старый гоз.</t>
  </si>
  <si>
    <t>Старый гоз. (большой на 60 млн)</t>
  </si>
  <si>
    <t>Счет Гидробота, который открыт у 6181, как у физического лица. Деньги Гидробот. Используем в последнюю очередь</t>
  </si>
  <si>
    <t>Счет Гидробота, который открыт у 6181, как у физического лица. Деньги Гидробот. В евро</t>
  </si>
  <si>
    <t>Счет Гидробота, который открыт у 6181, как у физического лица. Деньги Гидробот. В долларах</t>
  </si>
  <si>
    <t>Счет компании Zeta, который открыт у Зубкова С. Н., как у физического лица</t>
  </si>
  <si>
    <t>Счет Гидробот, который открыт у Зубкова С. Н., как у ИП</t>
  </si>
  <si>
    <t>Счет по Гранту от Фонда Содействия Инновациям (Манипулятор XM-5)</t>
  </si>
  <si>
    <t>Бывший сотрудник (уволился)</t>
  </si>
  <si>
    <t>Личный счет Сергея Зубкова.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</si>
  <si>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Данилы Матюшевского.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</si>
  <si>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Максима Костанди.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</si>
  <si>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Александра Рыжова, один из трёх партнёров.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</si>
  <si>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3029.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</si>
  <si>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5788.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</si>
  <si>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Анатолия Стрельницкого.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</si>
  <si>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r>
      <t xml:space="preserve">Зарплатный счет Сергея Зубков. Используется только для начисления на него зарплаты от </t>
    </r>
    <r>
      <rPr>
        <b/>
        <u/>
        <sz val="11"/>
        <color theme="1"/>
        <rFont val="Calibri"/>
        <family val="2"/>
        <charset val="204"/>
        <scheme val="minor"/>
      </rPr>
      <t>Гидробот</t>
    </r>
  </si>
  <si>
    <t>ЗАКРЫТ</t>
  </si>
  <si>
    <t>Личный счет Силантьева Наталья.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</si>
  <si>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Крцев Дмитрий.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</si>
  <si>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Ефанов Алексей.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</si>
  <si>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Перевод средств в счет долгов</t>
  </si>
  <si>
    <t>Зарплатный счет 2803. Используется только для начисления на него зарплаты.</t>
  </si>
  <si>
    <t>Зарплатный счет 3029. Используется только для начисления на него зарплаты.</t>
  </si>
  <si>
    <t>Зарплатный счет 5788. Используется только для начисления на него зарплаты.</t>
  </si>
  <si>
    <t>Зарплатный счет 6181. Используется только для начисления на него зарплаты.</t>
  </si>
  <si>
    <t>Зарплатный счет Рыжов Александр. Используется только для начисления на него зарплаты.</t>
  </si>
  <si>
    <t>Зарплатный счет Стрельницкий Анатолий. Используется только для начисления на него зарплаты.</t>
  </si>
  <si>
    <t>Зарплатный счет Мархашова Полина. Используется только для начисления на него зарплаты.</t>
  </si>
  <si>
    <t>Личный счет Мархашова Полина.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</si>
  <si>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Зарплатный счет Силантьева Наталья. Используется только для начисления на него зарплаты.</t>
  </si>
  <si>
    <t>Зарплатный счет Карцев Дмитрий. Используется только для начисления на него зарплаты.</t>
  </si>
  <si>
    <t>Зарплатный счет Ефанов Алексей. Используется только для начисления на него зарплаты.</t>
  </si>
  <si>
    <t>Перевод средств в счет долгов и дивиденды</t>
  </si>
  <si>
    <t>Митин Д. В.</t>
  </si>
  <si>
    <t>Митин Д. В. Зарплатный</t>
  </si>
  <si>
    <t>Зарплатный счет Митин Дмитрий. Используется только для начисления на него зарплаты.</t>
  </si>
  <si>
    <t>Митин Д. В. Личный</t>
  </si>
  <si>
    <t>Личный счет Митин Дмитрий.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</si>
  <si>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Ефанова Алексея.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</si>
  <si>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ичный счет Рабочая Наталья, один из трёх партнёров.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</si>
  <si>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DM</t>
  </si>
  <si>
    <t>DKZ</t>
  </si>
  <si>
    <t>DK</t>
  </si>
  <si>
    <t>117105,г.Москва, Нагорный проезд,12Г (м.Нагатинская)</t>
  </si>
  <si>
    <t>ООО "БУХОБСЛУЖИВАНИЕ ФИНБИЗНЕС"</t>
  </si>
  <si>
    <t>Деятельность по оказанию услуг в области бухгалтерского учета, по проведению финансового аудита, по налоговому консультированию (69.20)</t>
  </si>
  <si>
    <t xml:space="preserve"> +7 (910) 471-19-23</t>
  </si>
  <si>
    <t>127474, МОСКВА Г., Ш. ДМИТРОВСКОЕ, Д. 60, ЭТАЖ 5 ПОМ/КАБ VII/516</t>
  </si>
  <si>
    <t>dd@finbisnes.ru, yv@finbisnes.ru</t>
  </si>
  <si>
    <t>DB</t>
  </si>
  <si>
    <t>Грачев С. Г.</t>
  </si>
  <si>
    <t>SG</t>
  </si>
  <si>
    <t>Сергей Г. Грачев</t>
  </si>
  <si>
    <t>г.Москва, Сумской пр-д, д. 2, к. 1, кв. 234</t>
  </si>
  <si>
    <t>Грачев С. Г. Авангард (Личный)</t>
  </si>
  <si>
    <t>Грачев С. Г. Зарплатный</t>
  </si>
  <si>
    <t>Грачев С. Г. Личный</t>
  </si>
  <si>
    <t>Суранова Е. Д. Личный</t>
  </si>
  <si>
    <t>Суранова Е. Д. Зарплатный</t>
  </si>
  <si>
    <t>Личный счет Елены Сурановой.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</si>
  <si>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Зарплатный счет Елены Сурановой. Используется только для начисления на него зарплаты.</t>
  </si>
  <si>
    <t>ГПХ</t>
  </si>
  <si>
    <t>Суранова Е. Д.</t>
  </si>
  <si>
    <t>Селиверстов Е. С.</t>
  </si>
  <si>
    <t>Селиверстов Е. С. Личный</t>
  </si>
  <si>
    <t>Личный счет Евгения Селиверстова.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</si>
  <si>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Селиверстов Е. С. Зарплатный</t>
  </si>
  <si>
    <t>Зарплатный счет Евгения Селиверстова. Используется только для начисления на него зарплаты.</t>
  </si>
  <si>
    <t>Развитие компании Zeta, разработка плана дальнейших действий, маркетинговая стратегия, общие встречи, поиск сотрудников</t>
  </si>
  <si>
    <t>ПРИМЕЧАНИЕ</t>
  </si>
  <si>
    <t>Средства - Инструмент и оборудование , химические расходники( клея, эпоксидки, обезжириватели). Расходники ( шкурки, сверла, насадки для дремеля)</t>
  </si>
  <si>
    <t>Развитие бизнеса - Развитие компании, разработка плана дальнейших действий, маркетинговая стратегия, общие встречи, поиск сотрудников</t>
  </si>
  <si>
    <t>Неотделимые улучшения и все что приобретается для ремонта, содержания и обеспечения работы(принтер, кулер, обогреватель, светильник, куллер и т.д.)</t>
  </si>
  <si>
    <t>Temp</t>
  </si>
  <si>
    <t>Ещё одно юр.лицо ООО "ТАКО Лайн"</t>
  </si>
  <si>
    <t>8 (495) 989-23-21</t>
  </si>
  <si>
    <t>https://www.as-technics.ru/</t>
  </si>
  <si>
    <t>г. Москва, Семёновский пер., 15</t>
  </si>
  <si>
    <t>Анастасия +7 968 748-60-35
Маргарита +7 968 933-33-08</t>
  </si>
  <si>
    <t>ZL-026</t>
  </si>
  <si>
    <t>Даниил П. Комаров</t>
  </si>
  <si>
    <t>ИП Лихачев Вячеслав Адольфович</t>
  </si>
  <si>
    <t>Магазин профессиональной упаковки</t>
  </si>
  <si>
    <t>+7 (968)423-66-77 Алексей
+7 (962) 939-44-00 Михаил
79680914603@yandex.ru</t>
  </si>
  <si>
    <t>zakaz@spbkonvert.com&gt;:</t>
  </si>
  <si>
    <t>Москва, ул.Складочная, 1/18, подъезд 8, офис 200/2, пн-пт с 10.00 до 18.00, сб. с 10.00 до 16.00, вс. Выходной</t>
  </si>
  <si>
    <t>Зарплатный счет Ильи Костанди. Используется только для начисления на него зарплаты.</t>
  </si>
  <si>
    <t>Костанди И.М. Зарплатный</t>
  </si>
  <si>
    <t>ИП Журавлев Максим Александрович</t>
  </si>
  <si>
    <t>Оборудование, расходники для 3D печати</t>
  </si>
  <si>
    <t>+7 (495) 532-11-56</t>
  </si>
  <si>
    <t>https://lider-3d.ru</t>
  </si>
  <si>
    <t>г. Москва, Варшавское шоссе, д. 17, стр. 5
Пн. – Пт.: с 10:00 до 19:00
Сб. – Вс.: выходные</t>
  </si>
  <si>
    <t>УПД №  210 от 25.04.2022</t>
  </si>
  <si>
    <t>Личный счет 6181 (один изи трёх партнёров).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</si>
  <si>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r>
      <t xml:space="preserve">Личный счет 2803 (один из трёх партнёров ).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 </t>
    </r>
    <r>
      <rPr>
        <sz val="11"/>
        <color theme="0"/>
        <rFont val="Calibri"/>
        <family val="2"/>
        <charset val="204"/>
        <scheme val="minor"/>
      </rPr>
      <t>Дмитрий В. Гарбузов</t>
    </r>
  </si>
  <si>
    <t>ИП Жданова Елена Сергеевна</t>
  </si>
  <si>
    <t>Пневмоцелиндры, фитинги, пневмотрубки, шаговые двигатели, электроприводы</t>
  </si>
  <si>
    <t>Карцев Д. Е. Зарплатный</t>
  </si>
  <si>
    <t>Комаров Д. П. Зарплатный</t>
  </si>
  <si>
    <t>Матюшевский Д. И. Зарплатный</t>
  </si>
  <si>
    <t>Матюшевский Д. И. Личный</t>
  </si>
  <si>
    <t>Ефанов А. С. Личный</t>
  </si>
  <si>
    <t>Зубков С. Н. Зарплатный</t>
  </si>
  <si>
    <t>Зубков С. Н. Личный</t>
  </si>
  <si>
    <t>Ефанов А. С. Зарплатный</t>
  </si>
  <si>
    <t>Карцев Д. Е. Личный</t>
  </si>
  <si>
    <t>Матюшевский Д. И. Авангард (Личный)</t>
  </si>
  <si>
    <t>Ефанов А. С. Авангард (Личный)</t>
  </si>
  <si>
    <t>Рабочая Н. Н. Авангард (Личный)</t>
  </si>
  <si>
    <t>Карцев Д. Е. Авангард (Личный)</t>
  </si>
  <si>
    <t>Комаров Д. П. Личный</t>
  </si>
  <si>
    <t>Рабочая Н. Н. Личный</t>
  </si>
  <si>
    <t>Матюшевский Д. И.</t>
  </si>
  <si>
    <t>Зубков С. Н.</t>
  </si>
  <si>
    <t>ИП Зубков С. Н.</t>
  </si>
  <si>
    <t>Матюшевский Д. И. АКИН</t>
  </si>
  <si>
    <t>Сбербанк Вклады Зубков С. Н.</t>
  </si>
  <si>
    <t>Карцев Д. Е.</t>
  </si>
  <si>
    <t>ПРОМСВЯЗЬ 20084 (ТП 798)</t>
  </si>
  <si>
    <t>ТП798</t>
  </si>
  <si>
    <t>Манипуляторы XM-1.V02 - 3 шт. - 510 100,00 р.
Грузовые захваты XL-100.V02 - 3 шт. - 436 600,00 р.
Лебедки кабельные XW-12.V01 - 3 шт. - 988 200,00 р.</t>
  </si>
  <si>
    <t>№ 2224187303131412209223798 от 31.03.2022 г.</t>
  </si>
  <si>
    <t>ZL-027</t>
  </si>
  <si>
    <t>Изготовление стальной втулки - 1 шт. - 500,00 р.</t>
  </si>
  <si>
    <t>Больничный</t>
  </si>
  <si>
    <t>Пропуски, отсутсвие на рабочем месте по причине плохого самочувствия (без обращения в медецинское учреждение), так и по болезни (с последующим предъявлением листа нетрудоспособности)</t>
  </si>
  <si>
    <t>Отпуск, отгул.</t>
  </si>
  <si>
    <t>Юридическое лицо с НДС (Содержание, бухгалтерия)
ООО ТНП</t>
  </si>
  <si>
    <t xml:space="preserve">УПД № 238 от 2022.05.24 </t>
  </si>
  <si>
    <t>Поставка  Манипулятора XM-1DR. Ожидается закрывающий платёж. Заказчики - банкроты</t>
  </si>
  <si>
    <t>Манипуляторы XM-1.V02 - 1 шт. - 510 100,00 р.
Грузовые захваты XL-100.V02 - 1 шт. - 436 600,00 р.
Лебедки кабельные XW-12.V01 - 1 шт. - 988 200,00 р.</t>
  </si>
  <si>
    <t>09.09.2022 - XL-100
09.10.2022 - XM-1; XW-12</t>
  </si>
  <si>
    <t>16.09.2022 - XL-100
16.10.2022 - XM-1; XW-12</t>
  </si>
  <si>
    <t>Счет № 329</t>
  </si>
  <si>
    <t>Зарплатный счет Комарова Даниила. Используется только для начисления на него зарплаты.</t>
  </si>
  <si>
    <t>Личный счет Комарова Даниила.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</si>
  <si>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Блок управления XTC-5K - 553 000,00
Испытания блока электроники - 100 000,00</t>
  </si>
  <si>
    <t>Договор № 7 
ТЗ № 10 от 27.05.2022</t>
  </si>
  <si>
    <t>ZL-028</t>
  </si>
  <si>
    <t>Изготовление КОК из полицеталь - 1 шт.  для XT-5K</t>
  </si>
  <si>
    <t xml:space="preserve">УПД № 244 от 2022.05.31 </t>
  </si>
  <si>
    <t>Garage XTG-04</t>
  </si>
  <si>
    <t>Manipulator XM-6</t>
  </si>
  <si>
    <t>Office XO-1</t>
  </si>
  <si>
    <t>Hydrocilindr XH-150</t>
  </si>
  <si>
    <t>Latch XL-100</t>
  </si>
  <si>
    <t>Manipulator XM-1</t>
  </si>
  <si>
    <t>Manipulator XM-1DR</t>
  </si>
  <si>
    <t>Manipulator XM-5</t>
  </si>
  <si>
    <t>Pressure chamber XPC-300</t>
  </si>
  <si>
    <t>Thruster Controller XTC-5K</t>
  </si>
  <si>
    <t>Thruster XT-5K</t>
  </si>
  <si>
    <t>Thruster XT-1000</t>
  </si>
  <si>
    <t>Thruster XT-150</t>
  </si>
  <si>
    <t>Thruster XT-150 DR</t>
  </si>
  <si>
    <t>Thruster XT-300</t>
  </si>
  <si>
    <t>Winch XW-12</t>
  </si>
  <si>
    <t>Договор № 7 
ТЗ № 11 от 09.06.2022</t>
  </si>
  <si>
    <t>Лебедка кабельная ручная Марлин-350 XW-12.V01 - 2 шт.</t>
  </si>
  <si>
    <t>ИП Буслаев А. А.</t>
  </si>
  <si>
    <t>Комплектующие для продуктов</t>
  </si>
  <si>
    <t xml:space="preserve">Hnxeropo4cxaR o6n, ropogcxoi oKpyr ropoд Нижний Новгород, Paeвскоro yn, д. 13, кв. 5.
</t>
  </si>
  <si>
    <t>8 910 103- 88-00</t>
  </si>
  <si>
    <t>Илья А. Балаткин</t>
  </si>
  <si>
    <t>Личный счет Ильи Балаткина.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</si>
  <si>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Балаткин И. А.</t>
  </si>
  <si>
    <t>IB</t>
  </si>
  <si>
    <t>Балаткин И. А. Личный</t>
  </si>
  <si>
    <t>Балаткин И. А. Авангард (Личный)</t>
  </si>
  <si>
    <t>Балаткин И. А. Зарплатный</t>
  </si>
  <si>
    <t>Зарплатный счет Балаткина Ильи. Используется только для начисления на него зарплаты и бонусов</t>
  </si>
  <si>
    <t>УПД № 40 от 2022.01.25
УПД № 101 от 2022.02.28</t>
  </si>
  <si>
    <t>msk@eprivod.ru</t>
  </si>
  <si>
    <t>ПАО СБЕРБАНК 8553 (X-01)</t>
  </si>
  <si>
    <t>ООО "ИНЕЛСО"</t>
  </si>
  <si>
    <t>Манипулятор XM-1 (обычный)</t>
  </si>
  <si>
    <t>Москва, 2-ой Рощинский пр., дом 8, стр. 6, БЦ "Серпуховской двор"</t>
  </si>
  <si>
    <t>тел.: +7-812-628-00-16 доб. 1001
 моб.: +7-926-887-62-50</t>
  </si>
  <si>
    <t>Личный счет Бурлака Екатерины.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</si>
  <si>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Бурлака Е. В. Личный</t>
  </si>
  <si>
    <t>Бурлака Е. В. Зарплатный</t>
  </si>
  <si>
    <t xml:space="preserve">Бурлака Е. В. </t>
  </si>
  <si>
    <t>EB</t>
  </si>
  <si>
    <t>Счет для покупки валюты</t>
  </si>
  <si>
    <t>АО «Кредит Европа Банк (Россия)»</t>
  </si>
  <si>
    <t>2662 АО «Кредит Европа Банк (Россия)» (ТАКО)</t>
  </si>
  <si>
    <t>Скрыпников Р. А. Личный</t>
  </si>
  <si>
    <t>Личный счет Скрыпникова Рома.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</si>
  <si>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Скрыпников Р. А. Зарплатный</t>
  </si>
  <si>
    <t>Зарплатный счет Романа Скрыпникова. Используется только для начисления на него зарплаты.</t>
  </si>
  <si>
    <t>Скрыпников Р. А.</t>
  </si>
  <si>
    <t>RS</t>
  </si>
  <si>
    <t>Роман А. Скрыпников</t>
  </si>
  <si>
    <t>ПАО «Аптечная сеть 36,6» (физ)</t>
  </si>
  <si>
    <t>Товары для офиса, расходники</t>
  </si>
  <si>
    <t>Аптека 36,6</t>
  </si>
  <si>
    <t>https://366.ru/</t>
  </si>
  <si>
    <t>Компоненты</t>
  </si>
  <si>
    <t>https://subtilit.ru/</t>
  </si>
  <si>
    <t>https://novofon.com/</t>
  </si>
  <si>
    <t>Озон</t>
  </si>
  <si>
    <t>ZL-029</t>
  </si>
  <si>
    <t>ООО "ПЕЛИТОН ПЛЮС"</t>
  </si>
  <si>
    <t>bogdanov@peliton.ru</t>
  </si>
  <si>
    <t>https://peliton.ru</t>
  </si>
  <si>
    <t>Металлообработка
Изделия из металла на заказ</t>
  </si>
  <si>
    <t>ZO-001</t>
  </si>
  <si>
    <t>Изготовление тормозных дисков для лебедки XW12 - 9 шт</t>
  </si>
  <si>
    <t>ZO-002</t>
  </si>
  <si>
    <t>Изготовление щек барабана для лебедки XW12 - 19 шт</t>
  </si>
  <si>
    <t>Изготовление резьбовых вставок для лебёдки XW-12 - 300 шт.</t>
  </si>
  <si>
    <t>ZB-001</t>
  </si>
  <si>
    <t>Изготовление ящиков для лебедок XW-12 - 5 шт</t>
  </si>
  <si>
    <t xml:space="preserve"> </t>
  </si>
  <si>
    <t>Фанера, брус</t>
  </si>
  <si>
    <t>Заказывали фанеру и брус для заказа ящики XW-12</t>
  </si>
  <si>
    <t>Расул</t>
  </si>
  <si>
    <t>Магомед Аюбов les41mkad@yandex.ru</t>
  </si>
  <si>
    <t>8 966 742 35 04</t>
  </si>
  <si>
    <t>МКАД, 41-й километр, 4с28</t>
  </si>
  <si>
    <t>Помыткина Г.Н.</t>
  </si>
  <si>
    <t>Лазерная резка, шлифовка, термообработка, ЧПУ фрезерование аллюминия</t>
  </si>
  <si>
    <t>Андрей Помыткин. ИП оформленно на жену.</t>
  </si>
  <si>
    <t xml:space="preserve">Андрей Помыткин </t>
  </si>
  <si>
    <t>lazer-udm@mail.ru</t>
  </si>
  <si>
    <t xml:space="preserve">8 904 316 22 12
</t>
  </si>
  <si>
    <t>Россия, Удмуртская Республика, г.Ижевск, ул. Телегина 49/2</t>
  </si>
  <si>
    <t>ИП Помыткина Г. Н.</t>
  </si>
  <si>
    <t>ИП Левитова А. А.</t>
  </si>
  <si>
    <t>Вакуумная фармовка</t>
  </si>
  <si>
    <t xml:space="preserve">Сергей, занимается вакуумной формовкой. ИП на его жену. Был найден для заказа "Щека барабана". </t>
  </si>
  <si>
    <t xml:space="preserve">8 929 513 53 50
</t>
  </si>
  <si>
    <t>г. Москва, Тарный проезд 11, стр.5</t>
  </si>
  <si>
    <t>ИП Понамарев В. В.</t>
  </si>
  <si>
    <t>Понамарев В. В.</t>
  </si>
  <si>
    <t>ООО "ДНС Ритейл"</t>
  </si>
  <si>
    <t>ДНС</t>
  </si>
  <si>
    <t>Интернет магазин электроника</t>
  </si>
  <si>
    <t>ZM-016</t>
  </si>
  <si>
    <t>ZM-017</t>
  </si>
  <si>
    <t>Изготовление разделочных досок из дуба</t>
  </si>
  <si>
    <t>ZM-018</t>
  </si>
  <si>
    <t>Изготовление органайзера из дерева</t>
  </si>
  <si>
    <t>https://vamvelosiped.ru</t>
  </si>
  <si>
    <t>+7 (495) 926-42-62</t>
  </si>
  <si>
    <t>zakaz@vamvelosiped.ru</t>
  </si>
  <si>
    <t>https://repro-mr.ru</t>
  </si>
  <si>
    <t>reproru@mail.ru</t>
  </si>
  <si>
    <t xml:space="preserve">
Контактные номера:
8 (991) 582 60 70.
8 (985) 727 54 80.</t>
  </si>
  <si>
    <t>Егор Шепелев, специалист по работе с клиентами.</t>
  </si>
  <si>
    <t>АО "АЛЬФА-БАНК"</t>
  </si>
  <si>
    <t>Альфа</t>
  </si>
  <si>
    <t>https://htvision.ru/</t>
  </si>
  <si>
    <t>Блоки бесперебойного питания, камеры</t>
  </si>
  <si>
    <t>ООО " ТД КАТИКС"</t>
  </si>
  <si>
    <t>РНКО «Платежный Центр» (ООО)</t>
  </si>
  <si>
    <t>КоронаПэй</t>
  </si>
  <si>
    <t>Банкинг, переводы в другие страны.</t>
  </si>
  <si>
    <t>https://koronapay.com/transfers/about/</t>
  </si>
  <si>
    <t>ИП Денисенкова О. А.</t>
  </si>
  <si>
    <t>Ребята из Реутова гаражное изготовление деталей с приемлимым качеством изделий.</t>
  </si>
  <si>
    <t>Счет в юанях</t>
  </si>
  <si>
    <t>ООО "РОБОТИКС ГИРС"</t>
  </si>
  <si>
    <t>Изготовление волновых редукторов</t>
  </si>
  <si>
    <t>http://roboticsgears.com/</t>
  </si>
  <si>
    <t>https://importmekhanika.ru/</t>
  </si>
  <si>
    <t>ИП Калугин Д. А.</t>
  </si>
  <si>
    <t>ООО ЯНДЕКС.ТАКСИ</t>
  </si>
  <si>
    <t>ФТС России</t>
  </si>
  <si>
    <t>Таможня</t>
  </si>
  <si>
    <t xml:space="preserve">Федеральная таможенная служба </t>
  </si>
  <si>
    <t>Доставка из Китая в РФ</t>
  </si>
  <si>
    <t>http://tlparts.ru/</t>
  </si>
  <si>
    <t>info@taillift.ru</t>
  </si>
  <si>
    <t>http://roboticsgears.com/o-kompanii</t>
  </si>
  <si>
    <t>http://www.laser4000.ru/ru/company/</t>
  </si>
  <si>
    <t>Бузаев Д.А. Авангард (Личный)</t>
  </si>
  <si>
    <t>Личный счет Димы Бузаева.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</si>
  <si>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ИП Крохин</t>
  </si>
  <si>
    <t>Инструменты</t>
  </si>
  <si>
    <t>ZB-002</t>
  </si>
  <si>
    <t>Сборка лебевдок, грузовых захватов, манипулятор</t>
  </si>
  <si>
    <t>ZO-003</t>
  </si>
  <si>
    <t>Изготовление гильз для Тетиса</t>
  </si>
  <si>
    <t>ZP-010</t>
  </si>
  <si>
    <t>Печать панели разъемов с выпером</t>
  </si>
  <si>
    <t>АНО ЦПИ РГО Договор поставки от 2021.02.02</t>
  </si>
  <si>
    <t>BDOKBOTXL100</t>
  </si>
  <si>
    <t>Latch XL-100 для ОКБОТ РАН для установки на выставочный/демонстрационный аппарат</t>
  </si>
  <si>
    <t>УПД № 404 от 2018.12.21</t>
  </si>
  <si>
    <t>УПД № 285 от 2018.10.10</t>
  </si>
  <si>
    <t>Statuses</t>
  </si>
  <si>
    <t>Planned</t>
  </si>
  <si>
    <t>Скрыпников Р. А. Авангард (Личный)</t>
  </si>
  <si>
    <t>Личный счет Ромы Скрыпникова.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</si>
  <si>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Оснащение ЧПУ</t>
  </si>
  <si>
    <t>https://cncmagazine.ru/</t>
  </si>
  <si>
    <t>Интернет магазин деталей</t>
  </si>
  <si>
    <t>https://magazin-detaley.ru/</t>
  </si>
  <si>
    <t>Комплектующие, запчасти, аксессуары</t>
  </si>
  <si>
    <t>Товары из дерева (посуда, столы, столешницы), эпоксидная смола, красители</t>
  </si>
  <si>
    <t>https://kaleidoscope78.ru/</t>
  </si>
  <si>
    <t>Интернет магазин Калейдоскоп</t>
  </si>
  <si>
    <t>ООО "ФАРАДЕЙ"</t>
  </si>
  <si>
    <t>Интернет магазин - заказывали контроллер для ламп в офисе</t>
  </si>
  <si>
    <t>https://www.21vek-220v.ru/</t>
  </si>
  <si>
    <t>Зарплата и аванс</t>
  </si>
  <si>
    <t>ZM-019</t>
  </si>
  <si>
    <t>Фрезеровка детали ВШАЕ.711448.001 ПЕРЕГОРОДКА</t>
  </si>
  <si>
    <t>ZB-003</t>
  </si>
  <si>
    <t>Сборка манипулятора XM-6 и движителя</t>
  </si>
  <si>
    <t>ZO-004</t>
  </si>
  <si>
    <t>Изготовление шпилек для Тетиса</t>
  </si>
  <si>
    <t>Основные задачи Администратора (составление и актуализация таблиц, доставки и т.д.)</t>
  </si>
  <si>
    <t>НДФЛ, отчисления в ФСС, ФМС, ПФР</t>
  </si>
  <si>
    <t>Когда ни один контракт не подходит</t>
  </si>
  <si>
    <t>Налог на добавленную стоимость</t>
  </si>
  <si>
    <t>Для контроля и отслеживания заказанных компонентов на складе</t>
  </si>
  <si>
    <t>Бузаев Д. А. Зарплатный</t>
  </si>
  <si>
    <t>Волкова Н. С. Зарплатный</t>
  </si>
  <si>
    <t>Игнатьев М. А. Зарплатный</t>
  </si>
  <si>
    <t>Кургузова О. С. Зарплатный</t>
  </si>
  <si>
    <t>Кутяев С. М. Зарплатный</t>
  </si>
  <si>
    <t>Литик И. Ю. Зарплатный</t>
  </si>
  <si>
    <t>Прокудин В. Д. Зарплатный</t>
  </si>
  <si>
    <t>Рабочая Н. Н. Зарплатный</t>
  </si>
  <si>
    <t>Рыжов А. Е. Зарплатный</t>
  </si>
  <si>
    <t>Стрельницкий А. С. Зарплатный</t>
  </si>
  <si>
    <t>Силантьева Н. В. Зарплатный</t>
  </si>
  <si>
    <t>Газлиев В. Ф. Зарплатный</t>
  </si>
  <si>
    <t>Коваленко Д. В. Зарплатный</t>
  </si>
  <si>
    <t>Мархашова П. С. Зарплатный</t>
  </si>
  <si>
    <t>Зубков С. Н. МИР (Личный)</t>
  </si>
  <si>
    <t>ТП685 Доп. Соглашение №1</t>
  </si>
  <si>
    <t>Манипуляторы XM-1.V02 - 4 шт. - 2 040 400,00 р.
Грузовые захваты XL-100.V02 - 4 шт. - 1 746 400 р.
Лебедки кабельные XW-12.V01 - 4 шт. - 3 952 800 р.</t>
  </si>
  <si>
    <t>Счет 16 от 21.12.2022</t>
  </si>
  <si>
    <t>ZO-005</t>
  </si>
  <si>
    <t>Изготовление адаптеров и муфт</t>
  </si>
  <si>
    <t>ZO-006</t>
  </si>
  <si>
    <t>ZM-020</t>
  </si>
  <si>
    <t>Счет компании, который открыт у Зубкова С. Н., как у физического лица (для разделения трат организации и личных)</t>
  </si>
  <si>
    <t>ТП798 Доп. Соглашение №1</t>
  </si>
  <si>
    <t>Манипуляторы XM-1.V02 - 2 шт. - 576 400,00 р.
Грузовые захваты XL-100.V02 - 2 шт. - 497 700,00 р.
Лебедки кабельные XW-12.V01 - 2 шт. - 1 113 400,00 р.</t>
  </si>
  <si>
    <t xml:space="preserve"> XHF.TA02.04-00.00.001 - Адаптер - 8 шт. - 4 900,00 р.
XHF.HS08V01-00.00.001 - Муфта - 8 шт. - 2 900,00 р.</t>
  </si>
  <si>
    <t>-</t>
  </si>
  <si>
    <t>ZL-030</t>
  </si>
  <si>
    <t>Гаситель пульсаций</t>
  </si>
  <si>
    <t>Расходы ресурсов (в основном трудовые) связанные с обеспечением работоспособности организации (морнинг митинги;)</t>
  </si>
  <si>
    <t>СберМаркет</t>
  </si>
  <si>
    <t>Продукты</t>
  </si>
  <si>
    <t>Сервис доставки продуктов</t>
  </si>
  <si>
    <t>Рукава высокого давления, Втулки, Фитинги, Соединения.
Промышленная гидравлика. Инженерия, разработка, производство.</t>
  </si>
  <si>
    <t>https://alpha-hydro.com/</t>
  </si>
  <si>
    <t>+7(812) 44-949-44
+7(800) 700-27-80</t>
  </si>
  <si>
    <t>Китайские паркеры</t>
  </si>
  <si>
    <t>0999 АО «Кредит Европа Банк (Россия)» (ТАКО)(CNY)</t>
  </si>
  <si>
    <t>ZO-007</t>
  </si>
  <si>
    <t>Изготовление тормозных дисков для лебедки XW-12</t>
  </si>
  <si>
    <t>МИ ФНС РОССИИ ПО УПРАВЛЕНИЮ ДОЛГОМ</t>
  </si>
  <si>
    <t>Налого</t>
  </si>
  <si>
    <t>Единый счет для уплаты налогов с 2023 года</t>
  </si>
  <si>
    <t>Электропирвод</t>
  </si>
  <si>
    <t>https://electroprivod.ru/</t>
  </si>
  <si>
    <t>https://voltbricks.ru/</t>
  </si>
  <si>
    <t>ZO-008</t>
  </si>
  <si>
    <t>Изготовление щек барабана для лебедки XW12</t>
  </si>
  <si>
    <t>Подшипники, шплинты</t>
  </si>
  <si>
    <t>ООО "ТД ПодшипникРУ"</t>
  </si>
  <si>
    <t>ПодшипникРУ</t>
  </si>
  <si>
    <t>РМК</t>
  </si>
  <si>
    <t>МагКреп</t>
  </si>
  <si>
    <t>https://www.magkrep.ru/</t>
  </si>
  <si>
    <t>Гипермаркет стройматериалов</t>
  </si>
  <si>
    <t>Бодиев Д. Д. Зарплатный</t>
  </si>
  <si>
    <t>Бодиев Д. Д. Личный</t>
  </si>
  <si>
    <t>Зарплатный счет Бодиева Данзана. Используется только для начисления на него зарплаты и бонусов</t>
  </si>
  <si>
    <t>Личный счет Бодиева Данзана.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</si>
  <si>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Данзан Д. Бодиев</t>
  </si>
  <si>
    <t>Изготовление мотовило из полипропилена (Гидробот)(14 шт.)</t>
  </si>
  <si>
    <t>Кредит от ТАКО Лайн</t>
  </si>
  <si>
    <t>Счет отражающий поступления от ТАКО Лайн взятые в долг. Т.е. ТАКО Лайн передает нам деньги для выплаты зп или для оплаты платежного дня.</t>
  </si>
  <si>
    <t>Бодиев Д. Д.</t>
  </si>
  <si>
    <t>DBD</t>
  </si>
  <si>
    <t>Никита А. Кушнир</t>
  </si>
  <si>
    <t>Кушнир Н. А. Зарплатный</t>
  </si>
  <si>
    <t>Зарплатный счет Кушнира Никиты. Используется только для начисления на него зарплаты и бонусов</t>
  </si>
  <si>
    <t>Личный счет Кушнира Никиты.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</si>
  <si>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Кушнир Н. А. Личный</t>
  </si>
  <si>
    <t>ИП Толокнов Е. В.</t>
  </si>
  <si>
    <t>RostFrei</t>
  </si>
  <si>
    <t>http://RostFrei.ru</t>
  </si>
  <si>
    <t>Расходники и запчасти из нержавейки.</t>
  </si>
  <si>
    <t>https://svm24.ru/</t>
  </si>
  <si>
    <t>SVM</t>
  </si>
  <si>
    <t xml:space="preserve">Поставщик всех видов крепежных изделий </t>
  </si>
  <si>
    <t>ИП Тихонов В. А.</t>
  </si>
  <si>
    <t>Производство АБС изделий</t>
  </si>
  <si>
    <t>NK</t>
  </si>
  <si>
    <t>Кушнир Н. А.</t>
  </si>
  <si>
    <t>Пятёрочка</t>
  </si>
  <si>
    <t>https://5ka.ru/</t>
  </si>
  <si>
    <t>https://www.avangard.ru/rus/</t>
  </si>
  <si>
    <t>Банк Авангард</t>
  </si>
  <si>
    <t>ПАО АКБ АВАНГАРД</t>
  </si>
  <si>
    <t>ПАО Сбербанк</t>
  </si>
  <si>
    <t>Термо</t>
  </si>
  <si>
    <t>Промышленные шланги, теплоизоляция, вентиляция, пневмооборудлвание, гидравлика</t>
  </si>
  <si>
    <t>6663636@mail.ru</t>
  </si>
  <si>
    <t>https://shop.tepmo.com/</t>
  </si>
  <si>
    <t>ИП Кабадарян В.</t>
  </si>
  <si>
    <t>Автоболт</t>
  </si>
  <si>
    <t>Крепежные элементы</t>
  </si>
  <si>
    <t>bolt@avto-bolt.ru</t>
  </si>
  <si>
    <t>https://avto-bolt.ru/</t>
  </si>
  <si>
    <t>10.03.2022 - 1 этап
10.03.2022 - 2 этап</t>
  </si>
  <si>
    <r>
      <rPr>
        <b/>
        <sz val="11"/>
        <color theme="1"/>
        <rFont val="Calibri"/>
        <family val="2"/>
        <charset val="204"/>
        <scheme val="minor"/>
      </rPr>
      <t>ФСИ - Фонд Содействия Инновациям</t>
    </r>
    <r>
      <rPr>
        <sz val="11"/>
        <color theme="1"/>
        <rFont val="Calibri"/>
        <family val="2"/>
        <charset val="204"/>
        <scheme val="minor"/>
      </rPr>
      <t xml:space="preserve">
Разработка и изготовление второй версии манипуляционного комплекса XM-5 с датчиками обратной связи и улучшенной системой управления, финансируемые Фондом Содействия Инновациям</t>
    </r>
  </si>
  <si>
    <t>Интелла</t>
  </si>
  <si>
    <t>Кадровое агентство</t>
  </si>
  <si>
    <t>Эльвира Ю. Качмазова</t>
  </si>
  <si>
    <t>Даниил К. Козлов</t>
  </si>
  <si>
    <t>EK</t>
  </si>
  <si>
    <t>Зарплатный счет Эльвиры Качмазовой. Используется только для начисления на него зарплаты и бонусов</t>
  </si>
  <si>
    <t>Личный счет Эльвиры Качмазовой.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</si>
  <si>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Пелитон</t>
  </si>
  <si>
    <t>второе Юр лицо ПЕЛИТОН ПЛЮС</t>
  </si>
  <si>
    <t>ООО "ПЕЛИТОН"</t>
  </si>
  <si>
    <t>Физ. лицо Медведев Павел Андреевич</t>
  </si>
  <si>
    <t>3D дизайн</t>
  </si>
  <si>
    <t>ООО "ИНТЕЛЛА РУС"</t>
  </si>
  <si>
    <t>ООО "ТЕРМО"</t>
  </si>
  <si>
    <t>ООО "ТД ПРИРОДНЫЙ ДАР"</t>
  </si>
  <si>
    <t>msk@eprivod.ru  ;  privod@eprivod.ru</t>
  </si>
  <si>
    <t>site@svm24.ru</t>
  </si>
  <si>
    <t>Интернет магазин, СВМ 24</t>
  </si>
  <si>
    <t>Формирование Щек барабана для лебедки XW-12</t>
  </si>
  <si>
    <t>kmv@alpha-hydro.com</t>
  </si>
  <si>
    <t>shaykhoutdinov@avea-technology.com
avea.buh@mail.ru</t>
  </si>
  <si>
    <t>Качмазова Э. Ю. Зарплатный</t>
  </si>
  <si>
    <t>Качмазова Э. Ю. Личный</t>
  </si>
  <si>
    <t>Козлов Д. К.</t>
  </si>
  <si>
    <t>Козлов Д. К. Личный</t>
  </si>
  <si>
    <t>Козлов Д. К. Зарплатный</t>
  </si>
  <si>
    <t>Зарплатный счет Козлова Даниила. Используется только для начисления на него зарплаты и бонусов</t>
  </si>
  <si>
    <t>Качмазова Э. Ю.</t>
  </si>
  <si>
    <t>Межрегиональное операционное УФК (Фонд содействия инновациям л/с 20956002260)</t>
  </si>
  <si>
    <t>УФК</t>
  </si>
  <si>
    <t>Взносы на обязательное страхование</t>
  </si>
  <si>
    <t>АО "АНАЛИТИЧЕСКИЙ ЦЕНТР"</t>
  </si>
  <si>
    <t>Аналитический центр</t>
  </si>
  <si>
    <t>Удостоверяющий центр. Изготовление КЭП</t>
  </si>
  <si>
    <t>+7 (800) 101-41-40</t>
  </si>
  <si>
    <t>77908@uc-osnovanie.ru</t>
  </si>
  <si>
    <t>https://uc-osnovanie.ru/</t>
  </si>
  <si>
    <t>Анастасия</t>
  </si>
  <si>
    <t>Заказывали у них КЭП для ТНП</t>
  </si>
  <si>
    <t xml:space="preserve">main@subtilit.ru </t>
  </si>
  <si>
    <t>admin@subtilit.ru эл. Адрес для документооборота</t>
  </si>
  <si>
    <t>+7 (499) 703-0264</t>
  </si>
  <si>
    <t>СЧ ОКР "ОПА-ТНПА-ГБ". Гараж для ТНПА</t>
  </si>
  <si>
    <t>+7(495) 777-69-52</t>
  </si>
  <si>
    <t>Брянская обл, Брянск г, Олега Кошевого ул, строение 
34В, офис 10</t>
  </si>
  <si>
    <t>ООО "ДЕАЛА"</t>
  </si>
  <si>
    <t>Деала</t>
  </si>
  <si>
    <t>ООО "КВЕРС"</t>
  </si>
  <si>
    <t>Кверс</t>
  </si>
  <si>
    <t>Каленкова Юлия</t>
  </si>
  <si>
    <t>Резинотехнические изделия на заказ от завода РТИ</t>
  </si>
  <si>
    <t>8-800-511-45-10</t>
  </si>
  <si>
    <t>https://quers.ru/</t>
  </si>
  <si>
    <t>ООО "НПФ ВАЛЬКАР Ко"</t>
  </si>
  <si>
    <t>Валькар</t>
  </si>
  <si>
    <t>Производство и продажа со складов резинотехнических изделий</t>
  </si>
  <si>
    <t>https://www.valkar.ru/</t>
  </si>
  <si>
    <t>РФ, Москва, улица Орджоникидзе, 11, стр. 3, подъезд 8, этаж 2, офис 3</t>
  </si>
  <si>
    <t>ООО "СТАНКОПРОМ"</t>
  </si>
  <si>
    <t>Станкопром</t>
  </si>
  <si>
    <t>Сергей А. Румянцев</t>
  </si>
  <si>
    <t>Румянцев С. А.</t>
  </si>
  <si>
    <t>SR</t>
  </si>
  <si>
    <t>Румянцев С. А. Личный</t>
  </si>
  <si>
    <t>Личный счет Румянцева Сергея.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</si>
  <si>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Зарплатный счет Румянцева Сергея. Используется только для начисления на него зарплаты и бонусов</t>
  </si>
  <si>
    <t>DKK</t>
  </si>
  <si>
    <t>ООО "КОМПАНИЯ ПРИРОДНЫЙ ДАР"</t>
  </si>
  <si>
    <t>Новое ЮР лицо Природного дара</t>
  </si>
  <si>
    <t>140060, Московская область, Люберецкий, РП Октябрьский, ул. Ленина, дом 55, стр. 1 помещ. 1</t>
  </si>
  <si>
    <t>АО "РУСИНКОМ"</t>
  </si>
  <si>
    <t>ООО "СПЕЦКРЕПЕЖ"</t>
  </si>
  <si>
    <t>Спецкрепеж</t>
  </si>
  <si>
    <t>Продажа крепежа</t>
  </si>
  <si>
    <t>Крепком</t>
  </si>
  <si>
    <t>Санкт Петербург, ул.Манчестерская, д. 2, кор. Лит.Б-2, пом. 21-Н</t>
  </si>
  <si>
    <t>+7 (812) 748-26-26</t>
  </si>
  <si>
    <t>m10@krepcom.ru</t>
  </si>
  <si>
    <t>+7(495)785-21-93
+7(495)763-29-92</t>
  </si>
  <si>
    <t>7852193@valkar.ru
valkar@valkar.ru</t>
  </si>
  <si>
    <t>ООО "ДИНАМИКА"</t>
  </si>
  <si>
    <t>ООО "РЕМОНТНО-СТРОИТЕЛЬНАЯ КОМПАНИЯ ВЕК"</t>
  </si>
  <si>
    <t>ООО "АСТРОФЛЕКС ГРУПП"</t>
  </si>
  <si>
    <t>ООО "ЛПЗ ХАСПО ГРУПП"</t>
  </si>
  <si>
    <r>
      <t>ООО "ВОЛЬТБРИКС</t>
    </r>
    <r>
      <rPr>
        <b/>
        <sz val="11"/>
        <color theme="1"/>
        <rFont val="Calibri"/>
        <family val="2"/>
        <charset val="204"/>
        <scheme val="minor"/>
      </rPr>
      <t>"</t>
    </r>
  </si>
  <si>
    <r>
      <t>ООО "НПО Электропривод</t>
    </r>
    <r>
      <rPr>
        <b/>
        <sz val="11"/>
        <color theme="1"/>
        <rFont val="Calibri"/>
        <family val="2"/>
        <charset val="204"/>
        <scheme val="minor"/>
      </rPr>
      <t>"</t>
    </r>
  </si>
  <si>
    <t>ООО "РЕАЛЭКОПРОЕКТ"</t>
  </si>
  <si>
    <t>ООО "ТЕХНОМИР"</t>
  </si>
  <si>
    <t>ООО "СИЭНСИЭМ"</t>
  </si>
  <si>
    <t>ООО "АВТОМАГ"</t>
  </si>
  <si>
    <t>ООО "ОПТИМА ЛОГ"</t>
  </si>
  <si>
    <t>ООО "ГРАНД"</t>
  </si>
  <si>
    <t>ООО "ЭЛИЗА"</t>
  </si>
  <si>
    <t>ООО "ВАЙД ГРУПП"</t>
  </si>
  <si>
    <t>ООО "НОВОФОН"</t>
  </si>
  <si>
    <t>ООО «АГРОТОРГ» (физ)</t>
  </si>
  <si>
    <t>ООО "АЛЬФА-ГИДРО ИНЖИНИРИНГ"</t>
  </si>
  <si>
    <t>ООО "ИНСТАМАРТ СЕРВИС"</t>
  </si>
  <si>
    <t>ООО "ИМПОРТМЕХАНИКА"</t>
  </si>
  <si>
    <t>ООО "АГАТСБ.РУ"</t>
  </si>
  <si>
    <t>ООО "ИНТЕРНЕТ РЕШЕНИЯ"</t>
  </si>
  <si>
    <t>ООО "ИННОВАКС"</t>
  </si>
  <si>
    <t>ООО "ИНДАСТРИАЛ ПАРТНЕР"</t>
  </si>
  <si>
    <t>ООО "ИММЕРТЕХНИК"</t>
  </si>
  <si>
    <t>ООО "ИММЕРСЕРВИС"</t>
  </si>
  <si>
    <t>ООО "ИКФ КОНСАЛТИНГ"</t>
  </si>
  <si>
    <t>ООО "ЗУБИКС"</t>
  </si>
  <si>
    <t>ООО "ИНЖЕНЕРНО-ТЕХНИЧЕСКИЙ ЦЕНТР САБТИЛИТ"</t>
  </si>
  <si>
    <t>ООО "ПИК"</t>
  </si>
  <si>
    <t>АО "ТД ПЕРЕКРЁСТОК" (физ)</t>
  </si>
  <si>
    <t>ООО "ЦИФРОВЫЕ ТЕХНОЛОГИИ"</t>
  </si>
  <si>
    <t>ООО "ГИДРОГРАНД"</t>
  </si>
  <si>
    <t>ООО "АЕССИЛ РУС"</t>
  </si>
  <si>
    <t>ООО "КОМПАНИЯ РЕГОЙЛ"</t>
  </si>
  <si>
    <t>ООО "ТЕХНОЛОГИЯ-СТ"</t>
  </si>
  <si>
    <t>ООО "КОМПАНИЯ ВДЛ"</t>
  </si>
  <si>
    <t>ООО "ИНЖЕНЕРНЫЙ ЦЕНТР "МЕРАТЕСТ"</t>
  </si>
  <si>
    <t>ООО "КАТАЛОГСЕРВИС"</t>
  </si>
  <si>
    <t>ООО "НОВЫЕ РЕШЕНИЯ"</t>
  </si>
  <si>
    <t>ООО "ХЭДХАНТЕР" (физ.)</t>
  </si>
  <si>
    <t>ООО "ХЭДХАНТЕР" (ЮР.)</t>
  </si>
  <si>
    <t>ООО «ЭЛЕКТРОТЕХПРОМ»</t>
  </si>
  <si>
    <t> ООО "СНАБКАБЕЛЬ" </t>
  </si>
  <si>
    <t>ООО "ДЕКО - ЭМ"</t>
  </si>
  <si>
    <t>ООО "БАСТИОН ЭК"</t>
  </si>
  <si>
    <t>ПВ ООО "ФИРМА ТЕХНОАВИА"</t>
  </si>
  <si>
    <t>ООО "ЭСПАНТ-МД"</t>
  </si>
  <si>
    <t>ООО "ТСК ИМПЕРИЯ"</t>
  </si>
  <si>
    <t>ООО "ТЕХНОПРОМ-М"</t>
  </si>
  <si>
    <t>ООО "ТД СИММЕТРОН ЭК"</t>
  </si>
  <si>
    <t>ООО ТД "ПОДШИПНИК ТРЕЙД"</t>
  </si>
  <si>
    <t>ООО ПТК "КАЛУГАРЕМПУТЬМАШ-СЕРВИС"</t>
  </si>
  <si>
    <t>ООО ПК "ФОРВАРД-КОМПЛЕКТ"</t>
  </si>
  <si>
    <t>ООО ПК "МЕТАЛЛИКА-ДИЗАЙН"</t>
  </si>
  <si>
    <t>ООО НПЦ "АЭРОСТРИМ"</t>
  </si>
  <si>
    <t>ООО НПФ "ВИТУР"</t>
  </si>
  <si>
    <t>ООО "ВИКТОРИЯ ВЕЛЬВЕТ"</t>
  </si>
  <si>
    <t>ООО "АГРЕГАТ-КОМПЛЕКТ-ПОСТАВКА"</t>
  </si>
  <si>
    <t>ООО «ЮЛМАРТ РСК»</t>
  </si>
  <si>
    <t>ООО «ЧПУ ТЕХНОЛОГИИ»</t>
  </si>
  <si>
    <t>ООО «СТИЛ ГАРАНТ»</t>
  </si>
  <si>
    <t>ООО «ЛАБОРАТОРИЯ МЕХАНООБРАБОТКИ»</t>
  </si>
  <si>
    <t>ООО «ГИДРОСНАБ ХОЛДИНГ»</t>
  </si>
  <si>
    <t>ООО "ЯХТ ПАРТС"</t>
  </si>
  <si>
    <t>ООО "ЭЦОТ"</t>
  </si>
  <si>
    <t>ООО "ЭРДЖИСИ-ТРЕЙД"</t>
  </si>
  <si>
    <t>ООО "ЭЛЕКТРОПРИВОД-М"</t>
  </si>
  <si>
    <t>ООО "ЭЛЕКТРОН"</t>
  </si>
  <si>
    <t>ООО "ШТАНДАРТ"</t>
  </si>
  <si>
    <t>ООО "ЦЕНТР РТИ"</t>
  </si>
  <si>
    <t>ООО "ЦЕНТР ИНЖЕНЕРНЫХ УСЛУГ МОДЕЛЬЕР"</t>
  </si>
  <si>
    <t>ООО "ХОРОШАЯ ТИПОГРАФИЯ"</t>
  </si>
  <si>
    <t>ООО "ФОРМОС ТК"</t>
  </si>
  <si>
    <t>ООО "ФЛАГМАН"</t>
  </si>
  <si>
    <t>ООО "ФАМ-ХОЛДИНГ"</t>
  </si>
  <si>
    <t>ООО "ФАВОРИТ ИНСТРУМЕНТ"</t>
  </si>
  <si>
    <t>ООО "ТПК ГЛОБАЛ КАПИТАЛ"</t>
  </si>
  <si>
    <t>ООО "ТОРГОВЫЙ ДОМ СОВИНСТРУМЕНТСЕРВИС"</t>
  </si>
  <si>
    <t>ООО "ТОРГОВЫЙ ДОМ МЕТИЗНЫЙ ДВОР"</t>
  </si>
  <si>
    <t>ООО "ТИМ МАРКЕТ"</t>
  </si>
  <si>
    <t>ООО "ТЕХНОМАРИН"</t>
  </si>
  <si>
    <t>ООО "ТЕХНОГРАДИС"</t>
  </si>
  <si>
    <t>ООО "ТЕКТОНИКА"</t>
  </si>
  <si>
    <t>ООО "ТД ФОРМУЛА"</t>
  </si>
  <si>
    <t>ООО "ТД ПЛАСТМАСС ГРУПП"</t>
  </si>
  <si>
    <t>ООО "ТД СУПЕРБОЛТ"</t>
  </si>
  <si>
    <t>ООО "ТД МОНОЛИТ"</t>
  </si>
  <si>
    <t>ООО "ТАРО"</t>
  </si>
  <si>
    <t>ООО "СУПЕР-КРЕПЕЖ"</t>
  </si>
  <si>
    <t>ООО "СУДОВЫЕ СИСТЕМЫ"</t>
  </si>
  <si>
    <t>ООО "СТУЛ ТУМБА КРЕСЛО"</t>
  </si>
  <si>
    <t>ООО "СТАРТ-РЛ"</t>
  </si>
  <si>
    <t>ООО "СПОРТМАРАФОН"</t>
  </si>
  <si>
    <t>ООО "СПЕЦТУЛ"</t>
  </si>
  <si>
    <t>ООО "СЛАНЦЕВСКИЙ ЗАВОД ПРУЖИН"</t>
  </si>
  <si>
    <t>ООО "СМЕЛЫЙ ХОД"</t>
  </si>
  <si>
    <t>ООО "СИТИЛИНК"</t>
  </si>
  <si>
    <t>ООО "СИЛАН"</t>
  </si>
  <si>
    <t>ООО "СЕРВОТЕХНИКА"</t>
  </si>
  <si>
    <t>ООО "СЕЙЛ ЭЛЕКТРОНИКС"</t>
  </si>
  <si>
    <t>ООО "СДЕЛАЙ СВОИМИ РУКАМИ"</t>
  </si>
  <si>
    <t>ООО "РУССКИЕ ФОНАРИ"</t>
  </si>
  <si>
    <t>ООО "РСДРАЙВ"</t>
  </si>
  <si>
    <t>ООО "РОСТ-С"</t>
  </si>
  <si>
    <t>ООО "РИТМ-8"</t>
  </si>
  <si>
    <t>ООО "РИВЕТ ГАН"</t>
  </si>
  <si>
    <t>ООО "РЕСИФ ТЕХНОЛОГИИ БЕЛ"</t>
  </si>
  <si>
    <t>ООО "РЕМОНТНО-МЕХАНИЧЕСКОЕ ПРЕДПРИЯТИЕ"</t>
  </si>
  <si>
    <t>ООО "РЕМКРЕП.РУ"</t>
  </si>
  <si>
    <t>ООО "РЕЗОНИТ"</t>
  </si>
  <si>
    <t>ООО "РЕГАРД МСК"</t>
  </si>
  <si>
    <t>ООО "ПРОФИМЕТ"</t>
  </si>
  <si>
    <t>ООО "ПРОМТЕХНО ГРУПП"</t>
  </si>
  <si>
    <t>ООО "ПРОМПОДШИПНИКИНТЕР"</t>
  </si>
  <si>
    <t>ООО "ПРИКЛАДНАЯ РОБОТОТЕХНИКА"</t>
  </si>
  <si>
    <t>ООО "ПОДВОДНАЯ РОБОТОТЕХНИКА"</t>
  </si>
  <si>
    <t>ООО "ПНЕВМАКС"</t>
  </si>
  <si>
    <t>ООО "ПМ ЭЛЕКТРОНИКС"</t>
  </si>
  <si>
    <t>ООО "ПЛАСТМАССЫ ПЕТЕРБУРГ"</t>
  </si>
  <si>
    <t>ООО "ПЛАСТ РЕСУРС"</t>
  </si>
  <si>
    <t>ООО "ПКФ ЦВЕТ"</t>
  </si>
  <si>
    <t>ООО "ПКФ ПРОПЛАСТ"</t>
  </si>
  <si>
    <t>ООО "ПК ПРУЖИННЫЙ ПРОЕКТ"</t>
  </si>
  <si>
    <t>ООО "ПК САТУРН"</t>
  </si>
  <si>
    <t>ООО "ПИКАП-КОМПЛЕКТ"</t>
  </si>
  <si>
    <t>ООО "ПЕРСПЕКТИВА"</t>
  </si>
  <si>
    <t>ООО "ПЕРЕДОВЫЕ ГАЗОВЫЕ ТЕХНОЛОГИИ"</t>
  </si>
  <si>
    <t>ООО "ОПЕНДАЙВ"</t>
  </si>
  <si>
    <t>ООО "ОНЛАЙН ТРЕЙД"</t>
  </si>
  <si>
    <t>ООО "ОКОННЫЙ КОНТИНЕНТ"</t>
  </si>
  <si>
    <t>ООО "ОВМ ТЕХНОЛОГИЯ"</t>
  </si>
  <si>
    <t>ООО "НТА-ПРОМ"</t>
  </si>
  <si>
    <t>ООО "НПО ИНФОРМАЦИОННЫЕ ТЕХНОЛОГИИ"</t>
  </si>
  <si>
    <t>ООО "НПК ПОЗИТРОН"</t>
  </si>
  <si>
    <t>ООО "НОВЫЙ ИМПУЛЬС-50" НДС 20%</t>
  </si>
  <si>
    <t>ООО "НОВЫЙ ИМПУЛЬС-50" НДС 10%</t>
  </si>
  <si>
    <t>ООО "НОВЫЙ ИМПУЛЬС-50"</t>
  </si>
  <si>
    <t>ООО "НОВЫЕ ТУРИСТИЧЕСКИЕ ТЕХНОЛОГИИ"</t>
  </si>
  <si>
    <t>другое юр. Лицо ООО "НОВЫЕ РЕШЕНИЯ"</t>
  </si>
  <si>
    <t>ООО "НИКС КОМПЬЮТЕРНЫЙ СУПЕРМАРКЕТ"</t>
  </si>
  <si>
    <t>ООО "НИЕНШАНЦ-АВТОМАТИКА"</t>
  </si>
  <si>
    <t>ООО "НАСОСЫ АМПИКА"</t>
  </si>
  <si>
    <t>ООО "МФК-ТОРГ"</t>
  </si>
  <si>
    <t>ООО "МТ-СИСТЕМС"</t>
  </si>
  <si>
    <t>ООО "МП РЕАБИН" ЮОО ВОИ"</t>
  </si>
  <si>
    <t>ООО "МИР"</t>
  </si>
  <si>
    <t>ООО "МИР РТИ ПЕТЕРБУРГ"</t>
  </si>
  <si>
    <t>ООО "МИР КРЕПЕЖА ТД"</t>
  </si>
  <si>
    <t>ООО "МИР КЛЕЯ"</t>
  </si>
  <si>
    <t>ООО "МИКРОТЕНЗОР"</t>
  </si>
  <si>
    <t>ООО "МЕТАЛМАСТЕР"</t>
  </si>
  <si>
    <t>ООО "МЕТАЛЛСЕРВИС-МОСКВА"</t>
  </si>
  <si>
    <t>ООО "МЕТАЛЛОГРАФИКА СПБ"</t>
  </si>
  <si>
    <t>ООО "МЕТАЛЛИКА-ДИЗАЙН"</t>
  </si>
  <si>
    <t>ООО "МЕЙДЖОР КАРГО СЕРВИС"</t>
  </si>
  <si>
    <t>ООО "МАЯК"</t>
  </si>
  <si>
    <t>ООО "МАШСЕРВИС"</t>
  </si>
  <si>
    <t>ООО "МАКСИКАР"</t>
  </si>
  <si>
    <t>ООО "МАКИТАТРЕЙДИНГ"</t>
  </si>
  <si>
    <t>ООО "ЛУМУС ЛАЗЕР"</t>
  </si>
  <si>
    <t>ООО "ЛОУКОСТ"</t>
  </si>
  <si>
    <t>ООО "ЛЕРУА МЕРЛЕН ВОСТОК"</t>
  </si>
  <si>
    <t>ООО "ЛАПП РУССИЯ"</t>
  </si>
  <si>
    <t>ООО "КУРЬЕРСЕРВИСЭКСПРЕСС"</t>
  </si>
  <si>
    <t>ООО "КУПРУМ"</t>
  </si>
  <si>
    <t>ООО "КОМПЛЕКСНЫЕ ИНЖЕНЕРНЫЕ ТЕХНОЛОГИИ"</t>
  </si>
  <si>
    <t>ООО "КОМПАНИЯ ФОРТИСФЛЕКС"</t>
  </si>
  <si>
    <t>ООО "КОМПАНИЯ МЕТАЛЛ-ЭКСПЕРТИЗА"</t>
  </si>
  <si>
    <t>ООО "КОМИНО"</t>
  </si>
  <si>
    <t>ООО "КИРЕЛИС"</t>
  </si>
  <si>
    <t>ООО "КИП-СЕРВИС"</t>
  </si>
  <si>
    <t>ООО "ИФМ-ЭЛЕКТРОНИК"</t>
  </si>
  <si>
    <t>ООО "ИНФОРМБИЗНЕСРЕСУРС"</t>
  </si>
  <si>
    <t>ООО "ЗЕЛЧИП"</t>
  </si>
  <si>
    <t>ООО "ДЖИ ЭР"</t>
  </si>
  <si>
    <t>ООО "ДЕЛЬНЫЕ ВЕЩИ"</t>
  </si>
  <si>
    <t>ООО "ДЕЗИНФЕКЦИЯ И СЕРВИС"</t>
  </si>
  <si>
    <t>ООО "ДАРТ ХОЛДИНГ"</t>
  </si>
  <si>
    <t>ООО "ГОРОД ИНСТРУМЕНТА"</t>
  </si>
  <si>
    <t>ООО "ГИДРОСНАБ ХОЛДИНГ"</t>
  </si>
  <si>
    <t>ООО "ГИДРО ГРУПП"</t>
  </si>
  <si>
    <t>ООО "ГИДРАЛ"</t>
  </si>
  <si>
    <t>ООО "ГИДРАВЛИК МАРКЕТ"</t>
  </si>
  <si>
    <t>ООО "ГИАДА-НН"</t>
  </si>
  <si>
    <t>ООО "ГИАДА"</t>
  </si>
  <si>
    <t>ООО "ГАРАЖТУЛС ЦЕНТР"</t>
  </si>
  <si>
    <t>ООО "ГАЛФВИНД"</t>
  </si>
  <si>
    <t>ООО "ВОЛЬТМАСТЕР"</t>
  </si>
  <si>
    <t>ООО "ВОЛГА-ДОН"</t>
  </si>
  <si>
    <t>ООО "ВИДБРУСОК"</t>
  </si>
  <si>
    <t>ООО "ВЕБПАК"</t>
  </si>
  <si>
    <t>ООО "ВАЛТАР МАГНИТ"</t>
  </si>
  <si>
    <t>ООО "ВАЙНДПРОФ"</t>
  </si>
  <si>
    <t>ООО "А-ТУЛСТРЕЙД"</t>
  </si>
  <si>
    <t>ООО "АС-ТЕХНИКС"</t>
  </si>
  <si>
    <t>ООО "А-СОЛАР"</t>
  </si>
  <si>
    <t>ООО "АРСЕНАЛ"</t>
  </si>
  <si>
    <t>ООО "АРМЕТСНАБ"</t>
  </si>
  <si>
    <t>ООО "АРСИМО ИНЖИНИРИНГ"</t>
  </si>
  <si>
    <t>ООО "АНТЕЙ-МСК"</t>
  </si>
  <si>
    <t>ООО "АМАРИД-ЭЛЕКТРО"</t>
  </si>
  <si>
    <t>ООО "АЛЬФА-ГИДРАВЛИКА"</t>
  </si>
  <si>
    <t>ООО "АЛТЕРВИА"</t>
  </si>
  <si>
    <t>ООО "АЛЛЮР"</t>
  </si>
  <si>
    <t>ООО "АЛЕКО Т"</t>
  </si>
  <si>
    <t>Бывший ООО "АВИТОН"</t>
  </si>
  <si>
    <t>ООО "АВИТОН"</t>
  </si>
  <si>
    <t>ООО "АВЕА ТЕХНОЛОДЖИ"</t>
  </si>
  <si>
    <t>ООО "АВИ СОЛЮШНС"</t>
  </si>
  <si>
    <t>ООО "3Д КОМПЛЕКТ"</t>
  </si>
  <si>
    <t>ЗАО "ФЛОУТЭК"</t>
  </si>
  <si>
    <t>ЗАО "МПО ЭЛЕКТРОМОНТАЖ"</t>
  </si>
  <si>
    <t>ООО "ДЕЛОКС"</t>
  </si>
  <si>
    <t>ООО "ДЕЛОВЫЕ ЛИНИИ"</t>
  </si>
  <si>
    <t>АО "ТИНЬКОФФ БАНК"</t>
  </si>
  <si>
    <t>АО "ТЕТИС ПРО"</t>
  </si>
  <si>
    <t>АО "МАСТЕРТЕЛ"</t>
  </si>
  <si>
    <t>Качмазова Э. Ю. Авангард (Личный)</t>
  </si>
  <si>
    <t>Козлов Д. К. Авангард (Личный)</t>
  </si>
  <si>
    <t>Кушнир Н. А. Авангард (Личный)</t>
  </si>
  <si>
    <t>Бодиев Д. Д. Авангард (Личный)</t>
  </si>
  <si>
    <t>Личный счет Даниила Козлова.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</si>
  <si>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Никиты Кушнира.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</si>
  <si>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Личный счет Данзана Бодиева.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</si>
  <si>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Contracts for Realization</t>
  </si>
  <si>
    <t>ООО "ПОДШИПНИК.РУ ЦЕНТР"</t>
  </si>
  <si>
    <t>Подшибник.ру</t>
  </si>
  <si>
    <t>info@podshipnik.ru</t>
  </si>
  <si>
    <t>Москва г, Угличская ул, 
домовлад 12, корпус 1, офис 3</t>
  </si>
  <si>
    <t>+7(495) 543-89-93</t>
  </si>
  <si>
    <t>ООО "ИНЖЕНЕРНО-ТЕХНИЧЕСКИЕ РЕШЕНИЯ"</t>
  </si>
  <si>
    <t>40004, Московская обл. г. Люберцы, Проезд 1-й Панковский, дом 1, Литер Б1, 1-й этаж, помещение 51</t>
  </si>
  <si>
    <t>tarasova.tv@bk.ru</t>
  </si>
  <si>
    <t>Татьяна Tарасова
+79057230314</t>
  </si>
  <si>
    <t>оплата налогов</t>
  </si>
  <si>
    <t>ООО "ПОРТАЛ"</t>
  </si>
  <si>
    <t>АО "ПФ СКБ КОНТУР"</t>
  </si>
  <si>
    <t>ООО "РТИ ЭКСПЕРТ"</t>
  </si>
  <si>
    <t>Москва г, 1-Я 
Боевская ул, дом 2/12, строение 4, комната 10</t>
  </si>
  <si>
    <t>8(985)566-61-09</t>
  </si>
  <si>
    <t>ТИЛЬДА</t>
  </si>
  <si>
    <t>ООО "ТИЛЬДА ПАБЛИШИНГ" с НДС</t>
  </si>
  <si>
    <t>ООО "ТИЛЬДА ПАБЛИШИНГ" без НДС</t>
  </si>
  <si>
    <t>ООО "АТОМ"</t>
  </si>
  <si>
    <t>ИП Кулакова М. М.</t>
  </si>
  <si>
    <t>Кулакова</t>
  </si>
  <si>
    <t>Манипулятор XM-1 (версия на глубину 3 км, компенсированный), в рамках разработки для ФГУП "ОКБ ОТ РАН"</t>
  </si>
  <si>
    <t>Грузовой захват XL-100 для ТНПА</t>
  </si>
  <si>
    <t>Гидроцилиндр XH-150, разработанный в рамках реализации продукта XM-5</t>
  </si>
  <si>
    <t>Гараж для необитаемого подводного аппарата XTG-04, разработанный по теме СЧ ОКР "ОПА-ТНПА-ГБ"</t>
  </si>
  <si>
    <t>Пятистепенной манипулятор XM-5, разработанный в рамках внутреннего НИОКР'а</t>
  </si>
  <si>
    <t>Пятистепенной манипулятор XM-6, разработанный в рамках реализации проекта ТП1674 для АО "Тетис Про"</t>
  </si>
  <si>
    <t>Без продукта. Например: администрирование, организационная активность, развитие бизнеса - без продукта. Продуктоми являются только результаты интеллектуальной деятельности, перечисленные в этом списке</t>
  </si>
  <si>
    <t>Испытательная камера высокого давления (внутренняя разработка)</t>
  </si>
  <si>
    <t>Контроллер XTC-5K для движителя XT-5K, разработанный в рамках реализации проекта ТП1674 для АО "Тетис Про"</t>
  </si>
  <si>
    <t>Движитель XT-1000 на 1  КВт, Rim Driven, внутренний НИОКР, заморожен</t>
  </si>
  <si>
    <t>Движитель XT-150, для малых осмотровых ТНПА, разработанный в рамках внутреннего НИОКР'а</t>
  </si>
  <si>
    <t>Движитель XT-150 DR, для малых осмотровых ТНПА, внутренний НИОКР, заморожен, компенсированный</t>
  </si>
  <si>
    <t>Движитель XT-300, OutRunner, внутренний НИОКР, заморожен</t>
  </si>
  <si>
    <t>Движитель XT-5K, разработанный в рамках реализации проекта ТП1674 для АО "Тетис Про"</t>
  </si>
  <si>
    <t>Лебёдка Кабельная XW-12 для ТНПА</t>
  </si>
  <si>
    <t xml:space="preserve">Драйвер для бесколлекторных двигателей XMD48V10A, разработанный в рамках внутреннего НИОКР'а </t>
  </si>
  <si>
    <t>Станочное направление по изготовлению деталей на заказ, сувениров, оказанию инжиниринговых услуг</t>
  </si>
  <si>
    <t>ООО ТД "АЛЕКСПОДШИПНИК"</t>
  </si>
  <si>
    <t>ООО "СИСТЕМЫ СВЯЗИ"</t>
  </si>
  <si>
    <t>Задарма</t>
  </si>
  <si>
    <t>Договор № 7 Приложение № 12</t>
  </si>
  <si>
    <t>ООО "ВНИИСМ"</t>
  </si>
  <si>
    <t>ИП Муравьева Г. С.</t>
  </si>
  <si>
    <t>Заказывали ноут</t>
  </si>
  <si>
    <t>ООО "ЯНДЕКС"</t>
  </si>
  <si>
    <t>Яндекс для бизнеса</t>
  </si>
  <si>
    <t>ООО "МКВ"</t>
  </si>
  <si>
    <t>Оплачивали билет на выставку</t>
  </si>
  <si>
    <t>ООО "АСТ ГОЗ"</t>
  </si>
  <si>
    <t>Closing Payment Date</t>
  </si>
  <si>
    <t>???????</t>
  </si>
  <si>
    <t>АНО ЦПИ РГО</t>
  </si>
  <si>
    <t>Казначейство России (ФНС России)</t>
  </si>
  <si>
    <t>ZB-004</t>
  </si>
  <si>
    <t>ООО "СТАМО СПРИНГС"</t>
  </si>
  <si>
    <t>Заказ пружин</t>
  </si>
  <si>
    <t>ООО "КОМУС"</t>
  </si>
  <si>
    <t>ООО НПО "ГИДРОМАШ"</t>
  </si>
  <si>
    <t>Выплата долга</t>
  </si>
  <si>
    <t>ЗАО "ДЕЛЬТА ЭЛЕКТРОНИКА"</t>
  </si>
  <si>
    <t>ООО "ЭЛИТАН ТРЕЙД"</t>
  </si>
  <si>
    <t>info@purelogic.ru</t>
  </si>
  <si>
    <t>zakaz@intmeh.ru</t>
  </si>
  <si>
    <t>docs@tilda.cc</t>
  </si>
  <si>
    <t>ООО "БК РУС"</t>
  </si>
  <si>
    <t>Румянцев С. А. Зарплатный</t>
  </si>
  <si>
    <t>Оплата тарифа для участия в закупке</t>
  </si>
  <si>
    <t>Garage V2</t>
  </si>
  <si>
    <t>ООО "ВСЕИНСТРУМЕНТЫ.РУ"</t>
  </si>
  <si>
    <t>Разработка гаража второй версии. Заказчик не получил дальнейшее финансирование. Проект не завершился. Сотрудники были устроены в организацию заказчика для организации денежного потока. Возврат полученных средств не предусмотрен.</t>
  </si>
  <si>
    <t>Юр лицо для оплаты площадки на выставке НЕВА</t>
  </si>
  <si>
    <t>ООО "НЕВА-ИНТЕРНЭШНЛ"</t>
  </si>
  <si>
    <t>Изготовление ящиков для лебедок XW-12 - 6 шт</t>
  </si>
  <si>
    <t>Поспелова М. Р.</t>
  </si>
  <si>
    <t>Поспелова М. Р. Личный</t>
  </si>
  <si>
    <t>Личный счет Марины Поспеловой.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</si>
  <si>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ИП Конюховская А. Е.</t>
  </si>
  <si>
    <t>ИП Конюховская</t>
  </si>
  <si>
    <t>Поиск сотрудников в ТГ</t>
  </si>
  <si>
    <t>Водовоз</t>
  </si>
  <si>
    <t>Заказ воды</t>
  </si>
  <si>
    <t>ООО "МОСВОДОВОЗ"</t>
  </si>
  <si>
    <t>ООО "МЕТАЛ-СПРИНТ"</t>
  </si>
  <si>
    <t>Счет № 756 от 2020.11.03
Счет № 825 от 2021.12.23
Счет № 826 от 2021.12.23</t>
  </si>
  <si>
    <t>Счет № 659 от 2020.12.08
Счет № 293 от 2018.07.16
Счет №  476 от 2018.12.21</t>
  </si>
  <si>
    <t>12.02.2021 - 24.12.2021</t>
  </si>
  <si>
    <t>ИП Заварин Д. В.</t>
  </si>
  <si>
    <t>3Д электроник</t>
  </si>
  <si>
    <t>Расходы на презентацию, выставки и продвижения продукции</t>
  </si>
  <si>
    <t>Договор № 7 Приложение № 14</t>
  </si>
  <si>
    <t>Счет № 655 от 2023.08.14</t>
  </si>
  <si>
    <t>Манипуляторы XM-1.V02 - 3 шт. - 576 400,00 р.
Грузовые захваты XL-100.V02 - 3 шт. - 497 700,00 р.
Лебедки кабельные XW-12.V01 - 3 шт. - 1 113 400,00 р.</t>
  </si>
  <si>
    <t>Аванс 100%</t>
  </si>
  <si>
    <t>ООО "РЕСТИНТЕРНЭШНЛ"</t>
  </si>
  <si>
    <t>Продажа долга - 270 000</t>
  </si>
  <si>
    <t>Филиал "Центральный" Банка ВТБ (ПАО) в г. Москве</t>
  </si>
  <si>
    <t>ВТБ</t>
  </si>
  <si>
    <t>Спецдеталь</t>
  </si>
  <si>
    <t>ООО "ПРОИЗВОДСТВЕННАЯ КОМПАНИЯ СПЕЦДЕТАЛЬ"</t>
  </si>
  <si>
    <t>ИП Тарасова Ю. В.</t>
  </si>
  <si>
    <t>ПРОМСВЯЗЬ 23636 (Лазурит XM-6)</t>
  </si>
  <si>
    <t>Счет по контракту ЦКБ Лазурит (Манипулятор ХМ-6)</t>
  </si>
  <si>
    <t>ЦКБ "ЛАЗУРИТ"</t>
  </si>
  <si>
    <t>Лазурит</t>
  </si>
  <si>
    <t>Договор № TL-2307</t>
  </si>
  <si>
    <t>Счет № 665 от 2023.08.22</t>
  </si>
  <si>
    <t xml:space="preserve">Манипуляционный комплекс XM-6 -1шт </t>
  </si>
  <si>
    <t>ИП Смирнов В.Е.</t>
  </si>
  <si>
    <t>ООО "САН ГРИФТС"</t>
  </si>
  <si>
    <t>Типография</t>
  </si>
  <si>
    <t>Степанова Анна Андреевна</t>
  </si>
  <si>
    <t>Аренда авто</t>
  </si>
  <si>
    <t>Мальцева Яна Игоревна</t>
  </si>
  <si>
    <t>Аренда кофемашины</t>
  </si>
  <si>
    <t>ИП Легецкая О. В.</t>
  </si>
  <si>
    <t>ООО "РИОТЭКС ИНВЕСТ"</t>
  </si>
  <si>
    <t>Арендодатель</t>
  </si>
  <si>
    <t>ИП Матершев Н. А.</t>
  </si>
  <si>
    <t>Качмазова Э. Ю. ПСБ (Личный)</t>
  </si>
  <si>
    <t>Козлов Д. К. ПСБ (Личный)</t>
  </si>
  <si>
    <t>Кушнир Н. А. ПСБ (Личный)</t>
  </si>
  <si>
    <t>Карцев Д. Е. ПСБ (Личный)</t>
  </si>
  <si>
    <t>Матюшевский Д. И. ПСБ (Личный)</t>
  </si>
  <si>
    <t>Личный счет Дмитрия Карцева.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</si>
  <si>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Румянцев С. А. ПСБ (Личный)</t>
  </si>
  <si>
    <t>Личный счет Сергея Румянцева.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</si>
  <si>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Межрегиональное операционное УФК (Федеральная служба по 
интеллектуальной собственности)</t>
  </si>
  <si>
    <t>Оплата пошлины за патент</t>
  </si>
  <si>
    <t>ИП Воробьев Н. В.</t>
  </si>
  <si>
    <t>Фотокопир</t>
  </si>
  <si>
    <t>Фотокопир. Типография на Аннино</t>
  </si>
  <si>
    <t>Договор № 7 Приложение № 15</t>
  </si>
  <si>
    <t>Грузовой захват XL-100.V02 - 1 шт. - 497 700,00 р.</t>
  </si>
  <si>
    <t>Счет № 729 от 2023.09.14</t>
  </si>
  <si>
    <t>НЕВА 2023</t>
  </si>
  <si>
    <t>Выставка НЕВА 2023</t>
  </si>
  <si>
    <t>ИП Каменщиков А. А.</t>
  </si>
  <si>
    <t>АО "ЧИП и ДИП"</t>
  </si>
  <si>
    <t>ИП Подъячева М. Э.</t>
  </si>
  <si>
    <t>ООО "ЮНИТ ПРИНТ"</t>
  </si>
  <si>
    <t>Ремонт принтера</t>
  </si>
  <si>
    <t>ООО "ВИЛАЙТ"</t>
  </si>
  <si>
    <t>ООО "ОМЕГА"</t>
  </si>
  <si>
    <t>info@flowtech.ru</t>
  </si>
  <si>
    <t>legma@bk.ru'</t>
  </si>
  <si>
    <t>Plastformovka@gmail.com'</t>
  </si>
  <si>
    <t>koordinator1@rts-arenda.ru Координатор</t>
  </si>
  <si>
    <t>vladislav@inelso.ru ; andrianova.y@acont.ru</t>
  </si>
  <si>
    <t>Соколов Владислав, 2 почта по бух вопросам</t>
  </si>
  <si>
    <t>ООО "ГК НАСОСЭЛЕКТРОМАШ"</t>
  </si>
  <si>
    <t>ООО "СИЛТЕК РУС"</t>
  </si>
  <si>
    <t>ООО "ЯНДЕКС.Облако"</t>
  </si>
  <si>
    <t>ИП Водолазский А. П.</t>
  </si>
  <si>
    <t>ЗАО "ЗАРЕЧЬЕ"</t>
  </si>
  <si>
    <t>ИП Симонов М. А.</t>
  </si>
  <si>
    <t>Зарплатный счет Мерзлякова Артема. Используется только для начисления на него зарплаты и бонусов</t>
  </si>
  <si>
    <t>Артем В. Мерзляков</t>
  </si>
  <si>
    <t>Мерзляков А. В. Зарплатный</t>
  </si>
  <si>
    <t>ООО "ДИМАЛЬТ"</t>
  </si>
  <si>
    <t>Business Development XOT-300</t>
  </si>
  <si>
    <t>Разработка движителя для аппарата ТНПА "Марлин-350"</t>
  </si>
  <si>
    <t>Перевод от ТАКО</t>
  </si>
  <si>
    <t>ООО "СИМВОЛ-АВТОМАТИКА-ПОВОЛЖЬЕ"</t>
  </si>
  <si>
    <t>Office Upkeep РТС</t>
  </si>
  <si>
    <t>Office Rent РТС</t>
  </si>
  <si>
    <t>Расходы на аренду офисного помещения в БЦ РТС</t>
  </si>
  <si>
    <t>Office Furniture РТС</t>
  </si>
  <si>
    <t>Мебель, отделимое имущество БЦ РТС</t>
  </si>
  <si>
    <t>Salary 2803</t>
  </si>
  <si>
    <t>ООО "ОКЕОН"</t>
  </si>
  <si>
    <t>Юр. Лицо 2803</t>
  </si>
  <si>
    <t>ИП Кравец И. А.</t>
  </si>
  <si>
    <t>Office-X Upkeep</t>
  </si>
  <si>
    <t>Office-X IT Hardware</t>
  </si>
  <si>
    <t>Office-X IT Software</t>
  </si>
  <si>
    <t>Office IT Hardware РТС</t>
  </si>
  <si>
    <t>Office IT Software РТС</t>
  </si>
  <si>
    <t>Расходы на ремонт и содержание офиса в БЦ РТС</t>
  </si>
  <si>
    <t>Перевод ЗП из ТАКО на банковские карты</t>
  </si>
  <si>
    <t>ЗП 2803 Перевод из ТАКО в ООО "ОКЕОН" (Выплачиваем ЗП 2803 при помощи перевода на его юр. лицо за оказание IT услуг (сопровождение сайта), процесс разработанный на 2023-2024 год)</t>
  </si>
  <si>
    <t>ZM-021</t>
  </si>
  <si>
    <t>Изготовление мотовило</t>
  </si>
  <si>
    <t>ZO-009</t>
  </si>
  <si>
    <t>Изготовление "барабан на центрифугу"</t>
  </si>
  <si>
    <t>Office search</t>
  </si>
  <si>
    <t>ООО "ПНЕВМОПЛЮС"</t>
  </si>
  <si>
    <t>ООО "ФЛЮИД ЛАЙН"</t>
  </si>
  <si>
    <t>ПАО "МТС"</t>
  </si>
  <si>
    <t>ООО "ВЫСОТА"</t>
  </si>
  <si>
    <t>ООО "С ПРОФИЛЬ"</t>
  </si>
  <si>
    <t>ООО "ГАЗЕЛЬКИН ГРУПП"</t>
  </si>
  <si>
    <t>ООО "АРКАИМ"</t>
  </si>
  <si>
    <t>Мерзляков А. В. Личный</t>
  </si>
  <si>
    <t>Личный счет Мерзлякова Артема.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</si>
  <si>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Мерзляков А. В.</t>
  </si>
  <si>
    <t>AM</t>
  </si>
  <si>
    <t>ООО "АРТ СТУДИО"</t>
  </si>
  <si>
    <t>ООО "НЕКТОН СИА"</t>
  </si>
  <si>
    <t>ООО "ЕВРОПОДШИПНИК М"</t>
  </si>
  <si>
    <t>ИП Морозова Ю. А.</t>
  </si>
  <si>
    <t>ООО "ЛИСТ СПБ"</t>
  </si>
  <si>
    <t>Счет по контракту АО Тетис Про № 2325187902331432209230322/2023 (Движки)</t>
  </si>
  <si>
    <t>ПРОМСВЯЗЬ 46306 (2023-XT-5K)</t>
  </si>
  <si>
    <t>Счет № 767 от 2023.11.27</t>
  </si>
  <si>
    <t>Комплект движителей XT-5K  - 9шт - 1 912 000 р.</t>
  </si>
  <si>
    <t>Комплект движителей XT-5K  - 9шт - 823 111 р.
Манипуляционный комплекс XM-6 - 1шт - 13 880 000 р.</t>
  </si>
  <si>
    <t>ТП798 Доп. Соглашение №2</t>
  </si>
  <si>
    <t>Счет № 939 от 2023.12.08</t>
  </si>
  <si>
    <t>ПРОМСВЯЗЬ 49251 (ГОЗ 2630)</t>
  </si>
  <si>
    <t>Счет по контракту АО Тетис Про № ГОЗ 2630 (раньше счет по данному контракту был в сбере, открыли новый счет в ПСБ, чтобы потратить оставшиеся деньги)</t>
  </si>
  <si>
    <t>АО "БЕРГ АБ"</t>
  </si>
  <si>
    <t>ООО "БАСТИНИ"</t>
  </si>
  <si>
    <t>ООО "СТОЛ ТУМБА КРЕСЛО"</t>
  </si>
  <si>
    <t>ООО "ЦПК ТЕЛЛУР"</t>
  </si>
  <si>
    <t>Михаил П. Красильников</t>
  </si>
  <si>
    <t>Зарплатный счет Красильникова Михаила. Используется только для начисления на него зарплаты и бонусов</t>
  </si>
  <si>
    <t>Личный счет Красильникова Михаила.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</si>
  <si>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Красильников М. П.</t>
  </si>
  <si>
    <t>MK</t>
  </si>
  <si>
    <t>ООО "СТЕЛЛА-ТЕХНИК"</t>
  </si>
  <si>
    <t>ИП Оськин С. И.</t>
  </si>
  <si>
    <t>Гидравлическая инструментальная платформа для ТНПА рабочего класса</t>
  </si>
  <si>
    <t>info@snabv.ru</t>
  </si>
  <si>
    <t>mgalvanika@mail.ru
mgalvanika3@mail.ru</t>
  </si>
  <si>
    <t>support@prometall33.ru</t>
  </si>
  <si>
    <t>sales@kubotechnologies.com
d.andriushchenko@kubotechnologies.com</t>
  </si>
  <si>
    <t>mi@bastion24.ru</t>
  </si>
  <si>
    <t>zakaz@nta-prom.ru
solovieva.o@nta-prom.ru - Бух документы</t>
  </si>
  <si>
    <t>Красильников М. П. Личный</t>
  </si>
  <si>
    <t>Красильников М. П. Зарплатный</t>
  </si>
  <si>
    <t>ИП Абдрахимова Э. Г.</t>
  </si>
  <si>
    <t>ИП Прокошенков Д. Е.</t>
  </si>
  <si>
    <t>Benefits 2022</t>
  </si>
  <si>
    <t>Benefits 2023</t>
  </si>
  <si>
    <t>ИП Обшаров В. А.</t>
  </si>
  <si>
    <t>ИП Хатуев А. М.</t>
  </si>
  <si>
    <t>Киц В. П.</t>
  </si>
  <si>
    <t>Киц В. П. Личный</t>
  </si>
  <si>
    <t>Киц В. П. Зарплатный</t>
  </si>
  <si>
    <t>Личный счет Киц Владимира.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</si>
  <si>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Зарплатный счет Киц Владимира. Используется только для начисления на него зарплаты и бонусов</t>
  </si>
  <si>
    <t>Владимир П. Киц</t>
  </si>
  <si>
    <t>ООО "УРАЛПРОМ"</t>
  </si>
  <si>
    <t>Юр лицо STAR</t>
  </si>
  <si>
    <t>STAR</t>
  </si>
  <si>
    <t>ООО "ПОДВОДНЫЕ ТЕХНОЛОГИИ И РЕМОНТ - ЦЕНТР ПЕРЕДОВОГО ОПЫТА"</t>
  </si>
  <si>
    <t>Договор STAR № 0032</t>
  </si>
  <si>
    <t>ООО "ЗАВОД РТИ "УПК"</t>
  </si>
  <si>
    <t>ООО ТПК "ОЛЕОКИТ"</t>
  </si>
  <si>
    <t>ООО "ЭЛАСТОМЕРИК СИСТЕМС"</t>
  </si>
  <si>
    <t>Счет № 95 о  2024.02.13</t>
  </si>
  <si>
    <t>Сегмент рамы вертикальный XW12-02.00.00.012 - 6 144,28 - 2 шт
Сегмент рамы горизонтальный XW12-02.00.00.012-01 - 8 192,38 - 2 шт
Фитинг рамы 90° - 990,29 - 2 шт
Фитинг рамы 90-120° - 2 457,71 - 2 шт
Кольцо - 450,13 - 8 шт
Вилка - 360,11 - 1 шт</t>
  </si>
  <si>
    <t>Киц В. П. ПСБ (Личный)</t>
  </si>
  <si>
    <t>Личный счет Владимира Киц.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</si>
  <si>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ООО "ФЕРТОИНГ"</t>
  </si>
  <si>
    <t>Договор № ТАКО-240119</t>
  </si>
  <si>
    <t>Счет № 181 от 2024.03.15</t>
  </si>
  <si>
    <t>Pan Tilt XPT-2</t>
  </si>
  <si>
    <t>Наклонно-поворотное устройство - предназначенное для оснащения ТНПА в целях обеспечения необходимых углов поворота камер, светильников, сонаров или иного оборудования</t>
  </si>
  <si>
    <t>Наклонно-поворотное устройство Pan Tilt XPT-2 - 1 шт.</t>
  </si>
  <si>
    <t>ООО "ТД ГПА"</t>
  </si>
  <si>
    <t>ООО РСО "НЕВА"</t>
  </si>
  <si>
    <t>Получение БГ</t>
  </si>
  <si>
    <t>Счет № 70 от 2024.02.06</t>
  </si>
  <si>
    <t xml:space="preserve">Негарантийный ремонт манипулятора XM-1.V01: замена привода </t>
  </si>
  <si>
    <t>Интерфейсный модуль телеуправляемого необитаемого подводного аппарата - Hydraulic Skid XHS-1500 - 1шт.</t>
  </si>
  <si>
    <t>Anvil cutter XAC-38</t>
  </si>
  <si>
    <t>Гидравлический тросорез XAC-38 предназначенный для разрезания троса из нержавеющей стали, диаметром до 38 мм.</t>
  </si>
  <si>
    <t>Дрель гидравлическая</t>
  </si>
  <si>
    <t>ООО "МБЛДСП"</t>
  </si>
  <si>
    <t>Покупали кресла комп.</t>
  </si>
  <si>
    <t>ООО "АТОЛЛ"</t>
  </si>
  <si>
    <t>Счет № 95 от 2024.02.13</t>
  </si>
  <si>
    <t>ООО "ПК ТАРА-24"</t>
  </si>
  <si>
    <t>ООО "РЕСТИНТЕРНЭШНЛ ЦЕНТР"</t>
  </si>
  <si>
    <t>ООО "АТОН"</t>
  </si>
  <si>
    <t>ООО "АНКАС"</t>
  </si>
  <si>
    <t>Александр И. Глазов</t>
  </si>
  <si>
    <t>Киц В. П. Авангард (Личный)</t>
  </si>
  <si>
    <t>Красильников М. П. Авангард  (Личный)</t>
  </si>
  <si>
    <t>Личный счет Михаила Красильникова.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</si>
  <si>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Глазов А. И. Личный</t>
  </si>
  <si>
    <t>Глазов А. И. Зарплатный</t>
  </si>
  <si>
    <t>Личный счет Александра Глазова.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</si>
  <si>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Зарплатный счет Александра Глазова. Используется только для начисления на него зарплаты и бонусов</t>
  </si>
  <si>
    <t>ООО "НОРМА-М"</t>
  </si>
  <si>
    <t>ООО "РЕЗОНИТ ПЛЮС"</t>
  </si>
  <si>
    <t>Сергей Д. Зиберев</t>
  </si>
  <si>
    <t>Зиберев С. Д. Личный</t>
  </si>
  <si>
    <t>Зиберев С. Д. Зарплатный</t>
  </si>
  <si>
    <t>Личный счет Сергея Зиберева.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</si>
  <si>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Зарплатный счет Сергея Зиберева. Используется только для начисления на него зарплаты и бонусов</t>
  </si>
  <si>
    <t>Глазов А. И.</t>
  </si>
  <si>
    <t>Зиберев С. Д.</t>
  </si>
  <si>
    <t>Счет № 209 от 2024.03.22</t>
  </si>
  <si>
    <t>№ счета</t>
  </si>
  <si>
    <t>ООО "КЛЕЕВЫЕ ТЕХНОЛОГИИ"</t>
  </si>
  <si>
    <t>ИП Мурзин А. В.</t>
  </si>
  <si>
    <t>ООО "СИЛРУС"</t>
  </si>
  <si>
    <t>ООО "ХАЙКО"</t>
  </si>
  <si>
    <t>ООО "ТНП"</t>
  </si>
  <si>
    <t>ИП Колодий Л. П.</t>
  </si>
  <si>
    <t>ООО "ДОРИНГ"</t>
  </si>
  <si>
    <t>ООО "РИДБЕРГ"</t>
  </si>
  <si>
    <t>ООО "ЛАБИРИНТ"</t>
  </si>
  <si>
    <t>Красильников М. П. ПСБ (Личный)</t>
  </si>
  <si>
    <t>ООО "ГИДРОПАРТ"</t>
  </si>
  <si>
    <t>ООО "КОМТЕХ"</t>
  </si>
  <si>
    <t>ООО "ПРОЦМЕТ"</t>
  </si>
  <si>
    <t>ООО "ИБИС"</t>
  </si>
  <si>
    <t>Договор № 2023</t>
  </si>
  <si>
    <t>Договор № 2023 Доп соглашение № 1</t>
  </si>
  <si>
    <t>Счет № 327 от 2024.05.08</t>
  </si>
  <si>
    <t>Манипуляционный комплекс XM-6 - 29 035 600 р.
Компенсатор давления гидравлический XHPC-06 - 3 шт. - 394 900 р.
Система вакуумирования и заполнения XOF-VP - 205 700 р.</t>
  </si>
  <si>
    <t>ООО "НЬЮКЕЙ"</t>
  </si>
  <si>
    <t>ООО "ПЕТРОГАЗТЕХ ШЕЛЬФ-СЕРВИС"</t>
  </si>
  <si>
    <t>Договор № ПГТ-ШС24-10</t>
  </si>
  <si>
    <t>Счет № 428 от 2024.06.17</t>
  </si>
  <si>
    <t>Грузовой захват XL-100.А02 - 1 шт.</t>
  </si>
  <si>
    <t>Московская школа управления "СКОЛКОВО"</t>
  </si>
  <si>
    <t>ООО "КАМОЦЦИ ПНЕВМАТИКА"</t>
  </si>
  <si>
    <t>ИП Фомина Т. Н.</t>
  </si>
  <si>
    <t>Latch XL-100.A02</t>
  </si>
  <si>
    <t>Грузовой захват XL-100.A02 для ТНПА</t>
  </si>
  <si>
    <t>1 аванс - 8 713 200,00р.
2 аванс - 6 776 934,00р.
3 аванс - 6 776 934,00р.
4 аванс - 6 776 934,00р.
5 аванс - 29 786 258,00р.
6 аванс - 2 417 371,00р.
7 аванс -  2 417 371,00р.
8 аванс - 10 938 800,00р.
9 аванс - 8 204 100,00р.
10 аванс - 8 204 100,00р.
11 аванс - 9 812 000,00р.
12 аванс - 3 492 000,00р.
13 аванс - 3 492 000,00р.</t>
  </si>
  <si>
    <t xml:space="preserve"> 8 713 200,00р.
 6 776 934,00р.
 6 776 934,00р.
6 776 934,00р.
29 786 258,00р.
2 417 371,00р.
2 417 371,00р.
10 938 800,00р.
8 204 100,00р.
 8 204 100,00р.
9 812 000,00р.
3 492 000,00р.
3 492 000,00р.</t>
  </si>
  <si>
    <t>1 аванс - 5 162 400,00р.
2 аванс - 6 883 200,00р.</t>
  </si>
  <si>
    <t>1 аванс - 9 127 800,00 р.
2 аванс - 12 170 400,00 р.</t>
  </si>
  <si>
    <t xml:space="preserve">1 аванс - 15.05.2024
2 аванс - </t>
  </si>
  <si>
    <t>31.03.2021 - 1 часть
27.04.2024 - Часть долга
06.06.2024 - вторая часть долга
Долг 2 000 000 руб</t>
  </si>
  <si>
    <t>ООО "ОЛНИСА+"</t>
  </si>
  <si>
    <t>ООО "ХЕННЛИХ"</t>
  </si>
  <si>
    <t>ООО "ОМЗ ЛЕОТЕК"</t>
  </si>
  <si>
    <t>Зубков С. Н. ТИНЬКОФФ HRX</t>
  </si>
  <si>
    <t>Счет для перевода средств со счета ИП Зубков для дальнейшего пользования или обналичивания</t>
  </si>
  <si>
    <t>moscow@symmetron.ru
tatyana.maslova@symmetron.ru для бух. Документов</t>
  </si>
  <si>
    <t>Гидропневмоагрегат</t>
  </si>
  <si>
    <t>akimov.d@gpagregat.com</t>
  </si>
  <si>
    <t>office@bastini.ru</t>
  </si>
  <si>
    <t>rev@hennlich.ru</t>
  </si>
  <si>
    <t>heico.ru@yandex.ru</t>
  </si>
  <si>
    <t>sales@h-p-p.ru</t>
  </si>
  <si>
    <t>anastasia.rogova@leotec.ru</t>
  </si>
  <si>
    <t>info@shipsystems.spb.ru
e.borisova@shipsystems.spb.ru бух документы</t>
  </si>
  <si>
    <t>184035@mail.ru
content@springs-project.com</t>
  </si>
  <si>
    <t>d.banarcev@tellur-el.ru</t>
  </si>
  <si>
    <t>m55@olnisa.ru</t>
  </si>
  <si>
    <t>Счет № 150 от 2023.02.21</t>
  </si>
  <si>
    <t>ООО "КВ СИСТЕМЫ"</t>
  </si>
  <si>
    <t>ООО "ЭЛМА-1"</t>
  </si>
  <si>
    <t>Даниил Р. Лютин</t>
  </si>
  <si>
    <t>Лютин Д. Р. Личный</t>
  </si>
  <si>
    <t>Лютин Д. Р. Зарплатный</t>
  </si>
  <si>
    <t>Личный счет Даниила Лютина.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</si>
  <si>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Зарплатный счет  Даниила Лютина. Используется только для начисления на него зарплаты и бонусов</t>
  </si>
  <si>
    <t>ИП Ревнивых С. В.</t>
  </si>
  <si>
    <t>ООО "СМАРТ АВТОМАТИЗАЦИЯ"</t>
  </si>
  <si>
    <t>Станция маслозаполнение</t>
  </si>
  <si>
    <t xml:space="preserve">1 аванс - 28.11.2023
2 аванс - 06.08.2024
</t>
  </si>
  <si>
    <t>Лютин Д. Р.</t>
  </si>
  <si>
    <t>ИП Николашина А. А.</t>
  </si>
  <si>
    <t>ООО "ХЭДХАНТЕР"</t>
  </si>
  <si>
    <t>ООО "НОВОТЕКС"</t>
  </si>
  <si>
    <t>ООО СТД "ПЕТРОВИЧ"</t>
  </si>
  <si>
    <t>ООО "БИЗНЕС ПОСТАВКА"</t>
  </si>
  <si>
    <t>Маширов Н. А.</t>
  </si>
  <si>
    <t>ООО "АРТПРОФИЛЬ"</t>
  </si>
  <si>
    <t>Физ. Лицо Гуля</t>
  </si>
  <si>
    <t>ОТДЕЛЕНИЕ ТУЛА БАНКА РОССИИ//УФК по Тульской области, г Тула</t>
  </si>
  <si>
    <t>Управление Федерального казначейства по Тульской области (Межрегиональная инспекция Федеральной налоговой службы о управлению долгом)</t>
  </si>
  <si>
    <t>ООО "НОВИ ИНДАСТРИ"</t>
  </si>
  <si>
    <t>ООО "ХАЙ ВЭЙ ГРУПП"</t>
  </si>
  <si>
    <t>ИП Фетисов Д. С.</t>
  </si>
  <si>
    <t>Lead Еngineer 3</t>
  </si>
  <si>
    <t>ИП Синев А. Ю.</t>
  </si>
  <si>
    <t>ИП Пискунов И. И.</t>
  </si>
  <si>
    <t>ИП Протасов М. С.</t>
  </si>
  <si>
    <t>ООО "КЮГЕЛЬ"</t>
  </si>
  <si>
    <t>ООО "ПОКРАС.РУ"</t>
  </si>
  <si>
    <t>ИП Пашков Е. А.</t>
  </si>
  <si>
    <t>ООО "ГИДРАВИЯ"</t>
  </si>
  <si>
    <t>ООО "МЕТПРОМИНДУСТРИЯ"</t>
  </si>
  <si>
    <t>Манипуляторы XM-1.V02 - 3 шт. - 609 501,00 р.
Грузовые захваты XL-100.V02 - 3 шт. - 534 629,00 р.
Лебедки кабельные XW-12.V01 - 3 шт. - 1 196 014,00 р.</t>
  </si>
  <si>
    <t>Договор № Т-Т-24-08</t>
  </si>
  <si>
    <t>Контракт используется для отражения дивидендов партнерам</t>
  </si>
  <si>
    <t>Контракт используется для отражения дивидендов партнерам а также расчет с юр. Лицом (Выплаты ген. Директору ТАКО)</t>
  </si>
  <si>
    <t>Расходы на приобретение софта и IT услуги,  (интернет, MS Office, почтовый хостинг, сайты оплата виртуальной телефонии и т.д.)</t>
  </si>
  <si>
    <t>Экономические Издержки - Общехозяйственные расходы (туалетная бумага, батарейки, Канцелярия, уборка, заказ продуктов в офис)</t>
  </si>
  <si>
    <t>Перевод от ТНП</t>
  </si>
  <si>
    <t>Перевод ЗП из ТНП на банковские карты</t>
  </si>
  <si>
    <t>6181 ТНП (Личный)</t>
  </si>
  <si>
    <t>Глазов А. И. ТНП (Личный)</t>
  </si>
  <si>
    <t>Личный счет 6181.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 (ТНП)</t>
  </si>
  <si>
    <t>Личный счет Александра Глазова.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 (ТНП)</t>
  </si>
  <si>
    <t>АО "ТБанк"</t>
  </si>
  <si>
    <t>ИП Яковлева В. В.</t>
  </si>
  <si>
    <t>ООО "ГИДРАВЛИЧЕСКИЙ ИНСТРУМЕНТ"</t>
  </si>
  <si>
    <t>ТИНЬКОФФ 26183 (ТНП)</t>
  </si>
  <si>
    <t>Счет ООО "ТНП" на который переводятся деньги из ТАКО по договору</t>
  </si>
  <si>
    <t>контракт ТНП</t>
  </si>
  <si>
    <t>Счет № 1 от 2024.04.24</t>
  </si>
  <si>
    <t>Дрель гидравлическая - 1 шт.</t>
  </si>
  <si>
    <t>Договор № ТТ-0424</t>
  </si>
  <si>
    <t>ООО "АЛЬФАГИДРАВЛИКА"</t>
  </si>
  <si>
    <t>ИП Тихонов С. С.</t>
  </si>
  <si>
    <t>ИП Яковлева М. В.</t>
  </si>
  <si>
    <t>Счет по контракту Т-Т-24-08 АО "ТЕТИС Про" (3 комплекта)</t>
  </si>
  <si>
    <t>ПРОМСВЯЗЬ 07833 (Т-Т-24-08)</t>
  </si>
  <si>
    <t>Счет № 696 от 2024.08.22</t>
  </si>
  <si>
    <t>ООО "ПРОИЗВОДСТВЕННАЯ КОМПАНИЯ "РЕПРО"</t>
  </si>
  <si>
    <t>ИП Киселев Н. Е.</t>
  </si>
  <si>
    <t>ООО "КЛАСС ТОЧНОСТИ"</t>
  </si>
  <si>
    <t>ООО "САН И ГИДРАВЛИК"</t>
  </si>
  <si>
    <t>ООО "ФИРМА ЕВРОСТАЛЬ"</t>
  </si>
  <si>
    <t>ООО "ХИДС"</t>
  </si>
  <si>
    <t>Немцов В. В.</t>
  </si>
  <si>
    <t>ООО "СМАРТИКУМ"</t>
  </si>
  <si>
    <t>Hydraulic Drill XHD-15-50</t>
  </si>
  <si>
    <t>Oil Fill System XOF-VP</t>
  </si>
  <si>
    <t>Valve Pack XVP-7</t>
  </si>
  <si>
    <t>Блок клапанов для XM-6</t>
  </si>
  <si>
    <t>Power Pack XP-15</t>
  </si>
  <si>
    <t>Насосная станция для XM-6</t>
  </si>
  <si>
    <t>Control Unit XCU-300</t>
  </si>
  <si>
    <t>Блок управления для XM-6</t>
  </si>
  <si>
    <t>Hydraulic Skid XHS-25-9</t>
  </si>
  <si>
    <t>Oil Cooling System XOCS-5K</t>
  </si>
  <si>
    <t>Система охлаждения масла</t>
  </si>
  <si>
    <t>Павел А. Гуркин</t>
  </si>
  <si>
    <t>Гуркин П. А. Личный</t>
  </si>
  <si>
    <t>Гуркин П. А. Зарплатный</t>
  </si>
  <si>
    <t>Личный счет Павла Гуркина. Буферный счет для аккумулирования, перевода, передачи, хранения денег, при помощи которого ведется учет долгов от компании сотруднику, или от сотрудника - компании</t>
  </si>
  <si>
    <t>Зарплатный счет  Павла Гуркина. Используется только для начисления на него зарплаты и бонусов</t>
  </si>
  <si>
    <t>ООО "АЛЕКСПЛЮС"</t>
  </si>
  <si>
    <t>ООО "ЛЕНМО"</t>
  </si>
  <si>
    <t>ООО "ПРОФЛАЗЕРМЕТ"</t>
  </si>
  <si>
    <t>ООО "ЭЛЕКТРО ГУРУ"</t>
  </si>
  <si>
    <t>Григорашенко А. Н.</t>
  </si>
  <si>
    <t>ООО "ПОЛИУРЕТАН-ЭКСПОРТ"</t>
  </si>
  <si>
    <t>ООО "ТПК ГИДРОСИЛМАШ"</t>
  </si>
  <si>
    <t>ООО "ЭНЕРГО-Р"</t>
  </si>
  <si>
    <t>ИП Власов С. Ю.</t>
  </si>
  <si>
    <t>ООО "МАГНИТНЫЕ РЕШЕНИЯ"</t>
  </si>
  <si>
    <t>ИП Курицын И. В.</t>
  </si>
  <si>
    <t>Соловьева А. Ю.</t>
  </si>
  <si>
    <t>ООО "ПОЗИТИВ ПРИНТ"</t>
  </si>
  <si>
    <t>УФК по г. Москве ( Отделение Фонда пенсионного и социального
страхования Российской Федерации по г. Москве и Московской области
л/с 04734Ф73010)</t>
  </si>
  <si>
    <t>ООО "РГ-ЭКОТЕК"</t>
  </si>
  <si>
    <t>ООО "РУНА"</t>
  </si>
  <si>
    <t>ООО "ВИВТЕХ"</t>
  </si>
  <si>
    <t>ООО "ОЛИМП"</t>
  </si>
  <si>
    <t xml:space="preserve">1 аванс - 05.04.2024
2 аванс - 05.07.2024
3 аванс - 05.09.2024
4 аванс - 05.11.2024
5 аванс - 05.11.2024
6 аванс -
7 аванс -  
8 аванс - 
9 аванс - 
10 аванс -
11 аванс -
12 аванс - 
13 аванс - </t>
  </si>
  <si>
    <t>Гуркин П. А.</t>
  </si>
  <si>
    <t>ИП Радаев А. А.</t>
  </si>
  <si>
    <t>ООО "ВЕНТАЛ"</t>
  </si>
  <si>
    <t>ООО "НТ"</t>
  </si>
  <si>
    <t>ИП Бычкова А. А.</t>
  </si>
  <si>
    <t>ООО "ТД СТЕПМОТОР"</t>
  </si>
  <si>
    <t>Трудозатраты по поиску нового офиса</t>
  </si>
  <si>
    <t>Гуркин П. А. ПСБ (Личный)</t>
  </si>
  <si>
    <t>Гуркин П. А. Авангард (Личный)</t>
  </si>
  <si>
    <t>ООО "АДАМКО КОНТРОЛС"</t>
  </si>
  <si>
    <t>ООО "МАНЭЛ"</t>
  </si>
  <si>
    <t>ООО "УЛЬТИМА"</t>
  </si>
  <si>
    <t>ООО "КОЛОВРАТ"</t>
  </si>
  <si>
    <t>ООО "ПЕРЕДОВЫЕ ТЕХНОЛОГИИ"</t>
  </si>
  <si>
    <t>ООО "НЕФТЕБАЗА № 1"</t>
  </si>
  <si>
    <t>Основной счет Гидробот, на который переводятся все присланные средства за продажи продукции и услуг.</t>
  </si>
  <si>
    <t>ВТБ 01356 (Гидробот)</t>
  </si>
  <si>
    <t>Процентный доход по депозиту</t>
  </si>
  <si>
    <t>Контракт по которому мы получаем проценты по депозиту</t>
  </si>
  <si>
    <t>Счет для учета процентного дохода от депозита</t>
  </si>
  <si>
    <t>ВТБ Депозит (Гидробот)</t>
  </si>
  <si>
    <t>ООО "УРАЛМЕТАЛЛРЕСУРС"</t>
  </si>
  <si>
    <t>ИП Шиков И. А.</t>
  </si>
  <si>
    <t>ООО "ПУТЕВОДИТЕЛЬ ПО ИННОВАЦИЯМ"</t>
  </si>
  <si>
    <t>Счет № 912 от 2024.12.28</t>
  </si>
  <si>
    <t>Счет № 913 от 2024.12.28</t>
  </si>
  <si>
    <t>Счет № 914 от 2024.12.28</t>
  </si>
  <si>
    <t>Манипуляторы XM-1.V02 - 4 шт. - 639 976,00 р.
Грузовые захваты XL-100.V02 - 4 шт. - 561360,00 р.
Лебедки кабельные XW-12.V01 - 4 шт. - 1 255 815,00 р.</t>
  </si>
  <si>
    <t>Манипуляторы XM-1.V02 - 2 шт. - 639 976,00 р.
Грузовые захваты XL-100.V02 - 2 шт. - 561360,00 р.
Лебедки кабельные XW-12.V01 - 2 шт. - 1 255 815,00 р.</t>
  </si>
  <si>
    <t>ООО "АГРОПАК"</t>
  </si>
  <si>
    <t>ООО "РЕСТАРТ"</t>
  </si>
  <si>
    <t>1 аванс - 2 480 940 р.
2 аванс - 2 480 940 р.</t>
  </si>
  <si>
    <t>1 аванс - 10 045 490 р.
2 аванс - 10 045 490 р.</t>
  </si>
  <si>
    <t>Компенсатор давления гидравлический XHPC-06 - 4 шт. - 394 900 р.
Гидравлический тросорез XAC-38.B - 1 шт. - 2 183 000 р.
Система вакуумирования и заполнения маслозаполненных корпусов XOF-VP - 1 шт. - 205 700 р.
Комплект движителей XT-5K  - 9 шт. - 1 856 555,55
Наклонно-поворотное устройство XPT-2 - 1 шт. - 1 885 700 р.</t>
  </si>
  <si>
    <t>Манипуляционный комплекс XM-7 -1 шт.</t>
  </si>
  <si>
    <t>Манипуляционный комплекс XM-5 -1 шт.</t>
  </si>
  <si>
    <t>1 аванс - 7 897 050 р.
2 аванс - 7 897 050 р.</t>
  </si>
  <si>
    <t>ООО "ЭЛГЕТ"</t>
  </si>
  <si>
    <t>ООО "СЛИТКАТ"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</si>
</sst>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#,##0.00&quot;р.&quot;"/>
    <numFmt numFmtId="167" formatCode="0.0%"/>
    <numFmt numFmtId="168" formatCode="_-* #,##0.00[$р.-419]_-;\-* #,##0.00[$р.-419]_-;_-* &quot;-&quot;??[$р.-419]_-;_-@_-"/>
    <numFmt numFmtId="169" formatCode="dd/mm/yy;@"/>
    <numFmt numFmtId="170" formatCode="_-&quot;$&quot;* #,##0.00_-;\-&quot;$&quot;* #,##0.00_-;_-&quot;$&quot;* &quot;-&quot;??_-;_-@_-"/>
    <numFmt numFmtId="171" formatCode="[&lt;=9999999]###\-####;\8&quot; &quot;\(###\)\ ###\-##\-##"/>
    <numFmt numFmtId="172" formatCode="_-* #,##0.00\ [$₽-419]_-;\-* #,##0.00\ [$₽-419]_-;_-* &quot;-&quot;??\ [$₽-419]_-;_-@_-"/>
    <numFmt numFmtId="173" formatCode="#,##0.00\ &quot;₽&quot;"/>
  </numFmts>
  <fonts count="9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rgb="FF323130"/>
      <name val="Segoe UI"/>
      <family val="2"/>
      <charset val="204"/>
    </font>
    <font>
      <sz val="8"/>
      <name val="Arial"/>
      <family val="2"/>
      <charset val="204"/>
    </font>
    <font>
      <sz val="11"/>
      <color rgb="FF32313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8"/>
      <color rgb="FF000000"/>
      <name val="Arial"/>
      <family val="2"/>
      <charset val="204"/>
    </font>
    <font>
      <sz val="11"/>
      <color theme="1"/>
      <name val="Calibri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8" tint="0.79998168889431442"/>
      </patternFill>
    </fill>
    <fill>
      <patternFill patternType="solid">
        <fgColor rgb="FFFF0000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8" tint="0.79998168889431442"/>
      </patternFill>
    </fill>
    <fill>
      <patternFill patternType="solid">
        <fgColor theme="4" tint="0.79998168889431442"/>
        <bgColor theme="8" tint="0.59999389629810485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theme="8" tint="0.59999389629810485"/>
      </patternFill>
    </fill>
    <fill>
      <patternFill patternType="solid">
        <fgColor rgb="FFA9D08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FF00"/>
        <bgColor theme="8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 tint="-0.249977111117893"/>
        <bgColor theme="7" tint="0.79998168889431442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728">
    <xf numFmtId="0" fontId="0" fillId="0" borderId="0"/>
    <xf numFmtId="165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/>
    <xf numFmtId="165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5" fontId="26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0" fillId="0" borderId="0"/>
    <xf numFmtId="0" fontId="27" fillId="0" borderId="0" applyNumberForma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0" borderId="10" applyNumberFormat="0" applyFill="0" applyAlignment="0" applyProtection="0"/>
    <xf numFmtId="0" fontId="38" fillId="0" borderId="11" applyNumberFormat="0" applyFill="0" applyAlignment="0" applyProtection="0"/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0" applyNumberFormat="0" applyBorder="0" applyAlignment="0" applyProtection="0"/>
    <xf numFmtId="0" fontId="42" fillId="8" borderId="12" applyNumberFormat="0" applyAlignment="0" applyProtection="0"/>
    <xf numFmtId="0" fontId="43" fillId="9" borderId="13" applyNumberFormat="0" applyAlignment="0" applyProtection="0"/>
    <xf numFmtId="0" fontId="44" fillId="9" borderId="12" applyNumberFormat="0" applyAlignment="0" applyProtection="0"/>
    <xf numFmtId="0" fontId="45" fillId="0" borderId="14" applyNumberFormat="0" applyFill="0" applyAlignment="0" applyProtection="0"/>
    <xf numFmtId="0" fontId="25" fillId="10" borderId="15" applyNumberFormat="0" applyAlignment="0" applyProtection="0"/>
    <xf numFmtId="0" fontId="46" fillId="0" borderId="0" applyNumberFormat="0" applyFill="0" applyBorder="0" applyAlignment="0" applyProtection="0"/>
    <xf numFmtId="0" fontId="21" fillId="11" borderId="16" applyNumberFormat="0" applyFont="0" applyAlignment="0" applyProtection="0"/>
    <xf numFmtId="0" fontId="47" fillId="0" borderId="0" applyNumberFormat="0" applyFill="0" applyBorder="0" applyAlignment="0" applyProtection="0"/>
    <xf numFmtId="0" fontId="48" fillId="0" borderId="17" applyNumberFormat="0" applyFill="0" applyAlignment="0" applyProtection="0"/>
    <xf numFmtId="0" fontId="49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49" fillId="35" borderId="0" applyNumberFormat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57" fillId="0" borderId="0"/>
    <xf numFmtId="0" fontId="59" fillId="0" borderId="0"/>
    <xf numFmtId="0" fontId="20" fillId="0" borderId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0" fillId="0" borderId="0"/>
    <xf numFmtId="165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0" fillId="0" borderId="0"/>
    <xf numFmtId="0" fontId="21" fillId="0" borderId="0"/>
    <xf numFmtId="165" fontId="21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1" fillId="7" borderId="0" applyNumberFormat="0" applyBorder="0" applyAlignment="0" applyProtection="0"/>
    <xf numFmtId="0" fontId="21" fillId="11" borderId="16" applyNumberFormat="0" applyFont="0" applyAlignment="0" applyProtection="0"/>
    <xf numFmtId="0" fontId="49" fillId="15" borderId="0" applyNumberFormat="0" applyBorder="0" applyAlignment="0" applyProtection="0"/>
    <xf numFmtId="0" fontId="49" fillId="19" borderId="0" applyNumberFormat="0" applyBorder="0" applyAlignment="0" applyProtection="0"/>
    <xf numFmtId="0" fontId="49" fillId="23" borderId="0" applyNumberFormat="0" applyBorder="0" applyAlignment="0" applyProtection="0"/>
    <xf numFmtId="0" fontId="49" fillId="27" borderId="0" applyNumberFormat="0" applyBorder="0" applyAlignment="0" applyProtection="0"/>
    <xf numFmtId="0" fontId="49" fillId="31" borderId="0" applyNumberFormat="0" applyBorder="0" applyAlignment="0" applyProtection="0"/>
    <xf numFmtId="0" fontId="49" fillId="35" borderId="0" applyNumberFormat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59" fillId="0" borderId="0"/>
    <xf numFmtId="0" fontId="21" fillId="0" borderId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0" fillId="0" borderId="0"/>
    <xf numFmtId="0" fontId="21" fillId="0" borderId="0"/>
    <xf numFmtId="0" fontId="20" fillId="0" borderId="0"/>
    <xf numFmtId="165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1" fillId="7" borderId="0" applyNumberFormat="0" applyBorder="0" applyAlignment="0" applyProtection="0"/>
    <xf numFmtId="0" fontId="21" fillId="11" borderId="16" applyNumberFormat="0" applyFont="0" applyAlignment="0" applyProtection="0"/>
    <xf numFmtId="0" fontId="49" fillId="15" borderId="0" applyNumberFormat="0" applyBorder="0" applyAlignment="0" applyProtection="0"/>
    <xf numFmtId="0" fontId="49" fillId="19" borderId="0" applyNumberFormat="0" applyBorder="0" applyAlignment="0" applyProtection="0"/>
    <xf numFmtId="0" fontId="49" fillId="23" borderId="0" applyNumberFormat="0" applyBorder="0" applyAlignment="0" applyProtection="0"/>
    <xf numFmtId="0" fontId="49" fillId="27" borderId="0" applyNumberFormat="0" applyBorder="0" applyAlignment="0" applyProtection="0"/>
    <xf numFmtId="0" fontId="49" fillId="31" borderId="0" applyNumberFormat="0" applyBorder="0" applyAlignment="0" applyProtection="0"/>
    <xf numFmtId="0" fontId="49" fillId="35" borderId="0" applyNumberFormat="0" applyBorder="0" applyAlignment="0" applyProtection="0"/>
    <xf numFmtId="44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0" fillId="0" borderId="0"/>
    <xf numFmtId="165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1" fillId="0" borderId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65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21" fillId="0" borderId="0"/>
    <xf numFmtId="165" fontId="2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1" fillId="7" borderId="0" applyNumberFormat="0" applyBorder="0" applyAlignment="0" applyProtection="0"/>
    <xf numFmtId="0" fontId="21" fillId="11" borderId="16" applyNumberFormat="0" applyFont="0" applyAlignment="0" applyProtection="0"/>
    <xf numFmtId="0" fontId="49" fillId="15" borderId="0" applyNumberFormat="0" applyBorder="0" applyAlignment="0" applyProtection="0"/>
    <xf numFmtId="0" fontId="49" fillId="19" borderId="0" applyNumberFormat="0" applyBorder="0" applyAlignment="0" applyProtection="0"/>
    <xf numFmtId="0" fontId="49" fillId="23" borderId="0" applyNumberFormat="0" applyBorder="0" applyAlignment="0" applyProtection="0"/>
    <xf numFmtId="0" fontId="49" fillId="27" borderId="0" applyNumberFormat="0" applyBorder="0" applyAlignment="0" applyProtection="0"/>
    <xf numFmtId="0" fontId="49" fillId="31" borderId="0" applyNumberFormat="0" applyBorder="0" applyAlignment="0" applyProtection="0"/>
    <xf numFmtId="0" fontId="49" fillId="35" borderId="0" applyNumberFormat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57" fillId="0" borderId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21" fillId="0" borderId="0"/>
    <xf numFmtId="0" fontId="1" fillId="0" borderId="0"/>
    <xf numFmtId="165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165" fontId="21" fillId="0" borderId="0" applyFont="0" applyFill="0" applyBorder="0" applyAlignment="0" applyProtection="0"/>
    <xf numFmtId="0" fontId="1" fillId="0" borderId="0"/>
    <xf numFmtId="165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57" fillId="0" borderId="0"/>
    <xf numFmtId="0" fontId="1" fillId="0" borderId="0"/>
    <xf numFmtId="165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4" fillId="0" borderId="0"/>
    <xf numFmtId="165" fontId="54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4" fillId="0" borderId="0"/>
    <xf numFmtId="0" fontId="89" fillId="0" borderId="0" applyNumberFormat="0" applyFill="0" applyBorder="0" applyAlignment="0" applyProtection="0"/>
    <xf numFmtId="165" fontId="5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54" fillId="0" borderId="0"/>
    <xf numFmtId="0" fontId="89" fillId="0" borderId="0" applyNumberFormat="0" applyFill="0" applyBorder="0" applyAlignment="0" applyProtection="0"/>
    <xf numFmtId="165" fontId="5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1" fillId="7" borderId="0" applyNumberFormat="0" applyBorder="0" applyAlignment="0" applyProtection="0"/>
    <xf numFmtId="0" fontId="49" fillId="15" borderId="0" applyNumberFormat="0" applyBorder="0" applyAlignment="0" applyProtection="0"/>
    <xf numFmtId="0" fontId="49" fillId="19" borderId="0" applyNumberFormat="0" applyBorder="0" applyAlignment="0" applyProtection="0"/>
    <xf numFmtId="0" fontId="49" fillId="23" borderId="0" applyNumberFormat="0" applyBorder="0" applyAlignment="0" applyProtection="0"/>
    <xf numFmtId="0" fontId="49" fillId="27" borderId="0" applyNumberFormat="0" applyBorder="0" applyAlignment="0" applyProtection="0"/>
    <xf numFmtId="0" fontId="49" fillId="31" borderId="0" applyNumberFormat="0" applyBorder="0" applyAlignment="0" applyProtection="0"/>
    <xf numFmtId="0" fontId="49" fillId="35" borderId="0" applyNumberFormat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7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7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4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4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9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4" fillId="0" borderId="0"/>
    <xf numFmtId="165" fontId="54" fillId="0" borderId="0" applyFont="0" applyFill="0" applyBorder="0" applyAlignment="0" applyProtection="0"/>
    <xf numFmtId="0" fontId="89" fillId="0" borderId="0" applyNumberForma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4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1" fillId="7" borderId="0" applyNumberFormat="0" applyBorder="0" applyAlignment="0" applyProtection="0"/>
    <xf numFmtId="0" fontId="49" fillId="15" borderId="0" applyNumberFormat="0" applyBorder="0" applyAlignment="0" applyProtection="0"/>
    <xf numFmtId="0" fontId="49" fillId="19" borderId="0" applyNumberFormat="0" applyBorder="0" applyAlignment="0" applyProtection="0"/>
    <xf numFmtId="0" fontId="49" fillId="23" borderId="0" applyNumberFormat="0" applyBorder="0" applyAlignment="0" applyProtection="0"/>
    <xf numFmtId="0" fontId="49" fillId="27" borderId="0" applyNumberFormat="0" applyBorder="0" applyAlignment="0" applyProtection="0"/>
    <xf numFmtId="0" fontId="49" fillId="31" borderId="0" applyNumberFormat="0" applyBorder="0" applyAlignment="0" applyProtection="0"/>
    <xf numFmtId="0" fontId="49" fillId="35" borderId="0" applyNumberFormat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4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11" borderId="16" applyNumberFormat="0" applyFont="0" applyAlignment="0" applyProtection="0"/>
    <xf numFmtId="44" fontId="2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4" fontId="1" fillId="0" borderId="0" applyFont="0" applyFill="0" applyBorder="0" applyAlignment="0" applyProtection="0"/>
    <xf numFmtId="0" fontId="21" fillId="0" borderId="0"/>
    <xf numFmtId="0" fontId="21" fillId="0" borderId="0"/>
    <xf numFmtId="0" fontId="90" fillId="0" borderId="0"/>
  </cellStyleXfs>
  <cellXfs count="81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6" fontId="0" fillId="0" borderId="0" xfId="1" applyNumberFormat="1" applyFont="1"/>
    <xf numFmtId="0" fontId="23" fillId="0" borderId="0" xfId="0" applyFont="1" applyAlignment="1">
      <alignment wrapText="1"/>
    </xf>
    <xf numFmtId="49" fontId="23" fillId="0" borderId="0" xfId="0" applyNumberFormat="1" applyFont="1" applyAlignment="1">
      <alignment wrapText="1"/>
    </xf>
    <xf numFmtId="165" fontId="0" fillId="0" borderId="0" xfId="1" applyFont="1"/>
    <xf numFmtId="166" fontId="0" fillId="0" borderId="0" xfId="1" applyNumberFormat="1" applyFont="1" applyAlignment="1">
      <alignment wrapText="1"/>
    </xf>
    <xf numFmtId="165" fontId="0" fillId="0" borderId="0" xfId="1" applyFont="1" applyFill="1"/>
    <xf numFmtId="0" fontId="0" fillId="0" borderId="0" xfId="1" applyNumberFormat="1" applyFont="1" applyFill="1"/>
    <xf numFmtId="165" fontId="0" fillId="0" borderId="0" xfId="1" applyFont="1" applyAlignment="1">
      <alignment wrapText="1"/>
    </xf>
    <xf numFmtId="167" fontId="0" fillId="0" borderId="0" xfId="0" applyNumberFormat="1"/>
    <xf numFmtId="9" fontId="0" fillId="0" borderId="0" xfId="3" applyFont="1"/>
    <xf numFmtId="167" fontId="0" fillId="2" borderId="0" xfId="0" applyNumberFormat="1" applyFill="1"/>
    <xf numFmtId="165" fontId="0" fillId="2" borderId="0" xfId="1" applyFont="1" applyFill="1"/>
    <xf numFmtId="168" fontId="0" fillId="0" borderId="0" xfId="0" applyNumberFormat="1" applyAlignment="1">
      <alignment wrapText="1"/>
    </xf>
    <xf numFmtId="168" fontId="0" fillId="2" borderId="0" xfId="1" applyNumberFormat="1" applyFont="1" applyFill="1"/>
    <xf numFmtId="168" fontId="0" fillId="0" borderId="0" xfId="0" applyNumberFormat="1"/>
    <xf numFmtId="167" fontId="0" fillId="0" borderId="0" xfId="0" applyNumberFormat="1" applyAlignment="1">
      <alignment wrapText="1"/>
    </xf>
    <xf numFmtId="9" fontId="0" fillId="0" borderId="0" xfId="3" applyFont="1" applyAlignment="1">
      <alignment wrapText="1"/>
    </xf>
    <xf numFmtId="9" fontId="0" fillId="2" borderId="0" xfId="3" applyFont="1" applyFill="1"/>
    <xf numFmtId="0" fontId="0" fillId="0" borderId="0" xfId="3" applyNumberFormat="1" applyFont="1" applyAlignment="1">
      <alignment wrapText="1"/>
    </xf>
    <xf numFmtId="166" fontId="0" fillId="2" borderId="0" xfId="3" applyNumberFormat="1" applyFont="1" applyFill="1"/>
    <xf numFmtId="2" fontId="0" fillId="0" borderId="0" xfId="3" applyNumberFormat="1" applyFont="1" applyAlignment="1">
      <alignment wrapText="1"/>
    </xf>
    <xf numFmtId="168" fontId="0" fillId="2" borderId="0" xfId="3" applyNumberFormat="1" applyFont="1" applyFill="1"/>
    <xf numFmtId="168" fontId="0" fillId="0" borderId="0" xfId="3" applyNumberFormat="1" applyFont="1"/>
    <xf numFmtId="168" fontId="0" fillId="0" borderId="0" xfId="1" applyNumberFormat="1" applyFont="1"/>
    <xf numFmtId="2" fontId="0" fillId="0" borderId="0" xfId="1" applyNumberFormat="1" applyFont="1"/>
    <xf numFmtId="2" fontId="0" fillId="0" borderId="0" xfId="3" applyNumberFormat="1" applyFont="1"/>
    <xf numFmtId="1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165" fontId="0" fillId="0" borderId="0" xfId="0" applyNumberFormat="1"/>
    <xf numFmtId="0" fontId="0" fillId="2" borderId="0" xfId="0" applyFill="1"/>
    <xf numFmtId="0" fontId="21" fillId="0" borderId="0" xfId="5"/>
    <xf numFmtId="165" fontId="0" fillId="0" borderId="0" xfId="6" applyFont="1"/>
    <xf numFmtId="14" fontId="21" fillId="0" borderId="0" xfId="5" applyNumberFormat="1"/>
    <xf numFmtId="9" fontId="0" fillId="2" borderId="1" xfId="3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9" fontId="0" fillId="0" borderId="1" xfId="3" applyFont="1" applyFill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22" fillId="0" borderId="1" xfId="2" applyFill="1" applyBorder="1" applyAlignment="1">
      <alignment wrapText="1"/>
    </xf>
    <xf numFmtId="0" fontId="22" fillId="0" borderId="1" xfId="2" applyFill="1" applyBorder="1"/>
    <xf numFmtId="0" fontId="0" fillId="0" borderId="1" xfId="4" applyFont="1" applyBorder="1" applyAlignment="1">
      <alignment wrapText="1"/>
    </xf>
    <xf numFmtId="49" fontId="0" fillId="0" borderId="1" xfId="4" applyNumberFormat="1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4" applyFont="1" applyBorder="1" applyAlignment="1">
      <alignment wrapText="1"/>
    </xf>
    <xf numFmtId="0" fontId="25" fillId="0" borderId="0" xfId="0" applyFont="1" applyAlignment="1">
      <alignment wrapText="1"/>
    </xf>
    <xf numFmtId="0" fontId="25" fillId="0" borderId="3" xfId="0" applyFont="1" applyBorder="1" applyAlignment="1">
      <alignment wrapText="1"/>
    </xf>
    <xf numFmtId="49" fontId="25" fillId="0" borderId="3" xfId="0" applyNumberFormat="1" applyFont="1" applyBorder="1" applyAlignment="1">
      <alignment wrapText="1"/>
    </xf>
    <xf numFmtId="0" fontId="0" fillId="0" borderId="0" xfId="5" applyFont="1"/>
    <xf numFmtId="0" fontId="0" fillId="0" borderId="0" xfId="5" applyFont="1" applyAlignment="1">
      <alignment wrapText="1"/>
    </xf>
    <xf numFmtId="14" fontId="0" fillId="0" borderId="0" xfId="6" applyNumberFormat="1" applyFont="1"/>
    <xf numFmtId="14" fontId="0" fillId="0" borderId="0" xfId="6" applyNumberFormat="1" applyFont="1" applyAlignment="1">
      <alignment wrapText="1"/>
    </xf>
    <xf numFmtId="165" fontId="0" fillId="0" borderId="0" xfId="6" applyFont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49" fontId="0" fillId="0" borderId="7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21" fillId="0" borderId="0" xfId="4"/>
    <xf numFmtId="165" fontId="0" fillId="3" borderId="0" xfId="1" applyFont="1" applyFill="1" applyAlignment="1">
      <alignment wrapText="1"/>
    </xf>
    <xf numFmtId="0" fontId="0" fillId="3" borderId="0" xfId="0" applyFill="1" applyAlignment="1">
      <alignment wrapText="1"/>
    </xf>
    <xf numFmtId="14" fontId="0" fillId="0" borderId="0" xfId="5" applyNumberFormat="1" applyFont="1"/>
    <xf numFmtId="14" fontId="21" fillId="0" borderId="0" xfId="5" applyNumberFormat="1" applyAlignment="1">
      <alignment wrapText="1"/>
    </xf>
    <xf numFmtId="0" fontId="0" fillId="2" borderId="0" xfId="1" applyNumberFormat="1" applyFont="1" applyFill="1"/>
    <xf numFmtId="9" fontId="0" fillId="0" borderId="0" xfId="0" applyNumberFormat="1"/>
    <xf numFmtId="9" fontId="0" fillId="2" borderId="0" xfId="0" applyNumberFormat="1" applyFill="1"/>
    <xf numFmtId="165" fontId="0" fillId="4" borderId="0" xfId="1" applyFont="1" applyFill="1"/>
    <xf numFmtId="0" fontId="0" fillId="4" borderId="0" xfId="0" applyFill="1"/>
    <xf numFmtId="2" fontId="0" fillId="4" borderId="0" xfId="0" applyNumberFormat="1" applyFill="1"/>
    <xf numFmtId="2" fontId="0" fillId="0" borderId="0" xfId="0" applyNumberFormat="1"/>
    <xf numFmtId="0" fontId="0" fillId="0" borderId="8" xfId="0" applyBorder="1" applyAlignment="1">
      <alignment wrapText="1"/>
    </xf>
    <xf numFmtId="0" fontId="22" fillId="0" borderId="8" xfId="2" applyFill="1" applyBorder="1" applyAlignment="1">
      <alignment wrapText="1"/>
    </xf>
    <xf numFmtId="0" fontId="22" fillId="0" borderId="7" xfId="2" applyFill="1" applyBorder="1" applyAlignment="1">
      <alignment wrapText="1"/>
    </xf>
    <xf numFmtId="9" fontId="0" fillId="0" borderId="1" xfId="0" applyNumberFormat="1" applyBorder="1" applyAlignment="1">
      <alignment wrapText="1"/>
    </xf>
    <xf numFmtId="0" fontId="22" fillId="0" borderId="1" xfId="13" applyFont="1" applyFill="1" applyBorder="1" applyAlignment="1">
      <alignment wrapText="1"/>
    </xf>
    <xf numFmtId="0" fontId="22" fillId="0" borderId="1" xfId="10" applyFill="1" applyBorder="1" applyAlignment="1">
      <alignment wrapText="1"/>
    </xf>
    <xf numFmtId="0" fontId="30" fillId="0" borderId="8" xfId="0" applyFont="1" applyBorder="1"/>
    <xf numFmtId="0" fontId="31" fillId="0" borderId="2" xfId="4" applyFont="1" applyBorder="1" applyAlignment="1">
      <alignment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0" fontId="31" fillId="0" borderId="8" xfId="0" applyFont="1" applyBorder="1" applyAlignment="1">
      <alignment wrapText="1"/>
    </xf>
    <xf numFmtId="49" fontId="31" fillId="0" borderId="7" xfId="0" applyNumberFormat="1" applyFont="1" applyBorder="1" applyAlignment="1">
      <alignment wrapText="1"/>
    </xf>
    <xf numFmtId="0" fontId="31" fillId="0" borderId="2" xfId="0" applyFont="1" applyBorder="1" applyAlignment="1">
      <alignment wrapText="1"/>
    </xf>
    <xf numFmtId="0" fontId="31" fillId="0" borderId="1" xfId="4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0" fillId="0" borderId="6" xfId="4" applyFont="1" applyBorder="1" applyAlignment="1">
      <alignment wrapText="1"/>
    </xf>
    <xf numFmtId="0" fontId="0" fillId="0" borderId="7" xfId="4" applyFont="1" applyBorder="1" applyAlignment="1">
      <alignment wrapText="1"/>
    </xf>
    <xf numFmtId="49" fontId="31" fillId="0" borderId="1" xfId="0" applyNumberFormat="1" applyFont="1" applyBorder="1" applyAlignment="1">
      <alignment wrapText="1"/>
    </xf>
    <xf numFmtId="49" fontId="0" fillId="0" borderId="7" xfId="4" applyNumberFormat="1" applyFont="1" applyBorder="1" applyAlignment="1">
      <alignment wrapText="1"/>
    </xf>
    <xf numFmtId="0" fontId="31" fillId="0" borderId="0" xfId="0" applyFont="1"/>
    <xf numFmtId="169" fontId="0" fillId="0" borderId="0" xfId="0" applyNumberFormat="1"/>
    <xf numFmtId="14" fontId="0" fillId="0" borderId="0" xfId="5" applyNumberFormat="1" applyFont="1" applyAlignment="1">
      <alignment wrapText="1"/>
    </xf>
    <xf numFmtId="0" fontId="32" fillId="0" borderId="6" xfId="4" applyFont="1" applyBorder="1" applyAlignment="1">
      <alignment wrapText="1"/>
    </xf>
    <xf numFmtId="0" fontId="32" fillId="0" borderId="7" xfId="4" applyFont="1" applyBorder="1" applyAlignment="1">
      <alignment wrapText="1"/>
    </xf>
    <xf numFmtId="0" fontId="32" fillId="0" borderId="7" xfId="17" applyFont="1" applyFill="1" applyBorder="1" applyAlignment="1">
      <alignment wrapText="1"/>
    </xf>
    <xf numFmtId="49" fontId="32" fillId="0" borderId="7" xfId="4" applyNumberFormat="1" applyFont="1" applyBorder="1" applyAlignment="1">
      <alignment wrapText="1"/>
    </xf>
    <xf numFmtId="0" fontId="32" fillId="0" borderId="2" xfId="4" applyFont="1" applyBorder="1" applyAlignment="1">
      <alignment wrapText="1"/>
    </xf>
    <xf numFmtId="0" fontId="32" fillId="0" borderId="1" xfId="4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wrapText="1"/>
    </xf>
    <xf numFmtId="49" fontId="32" fillId="0" borderId="7" xfId="0" applyNumberFormat="1" applyFont="1" applyBorder="1" applyAlignment="1">
      <alignment wrapText="1"/>
    </xf>
    <xf numFmtId="0" fontId="32" fillId="0" borderId="2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32" fillId="0" borderId="7" xfId="20" applyFont="1" applyBorder="1" applyAlignment="1">
      <alignment wrapText="1"/>
    </xf>
    <xf numFmtId="0" fontId="34" fillId="0" borderId="8" xfId="4" applyFont="1" applyBorder="1" applyAlignment="1">
      <alignment wrapText="1"/>
    </xf>
    <xf numFmtId="0" fontId="32" fillId="0" borderId="7" xfId="2" applyFont="1" applyFill="1" applyBorder="1" applyAlignment="1">
      <alignment wrapText="1"/>
    </xf>
    <xf numFmtId="0" fontId="0" fillId="37" borderId="2" xfId="0" applyFill="1" applyBorder="1" applyAlignment="1">
      <alignment wrapText="1"/>
    </xf>
    <xf numFmtId="0" fontId="0" fillId="37" borderId="1" xfId="0" applyFill="1" applyBorder="1" applyAlignment="1">
      <alignment wrapText="1"/>
    </xf>
    <xf numFmtId="9" fontId="0" fillId="38" borderId="6" xfId="0" applyNumberFormat="1" applyFill="1" applyBorder="1" applyAlignment="1">
      <alignment wrapText="1"/>
    </xf>
    <xf numFmtId="0" fontId="0" fillId="36" borderId="6" xfId="0" applyFill="1" applyBorder="1" applyAlignment="1">
      <alignment wrapText="1"/>
    </xf>
    <xf numFmtId="0" fontId="0" fillId="36" borderId="7" xfId="0" applyFill="1" applyBorder="1" applyAlignment="1">
      <alignment wrapText="1"/>
    </xf>
    <xf numFmtId="0" fontId="0" fillId="36" borderId="8" xfId="0" applyFill="1" applyBorder="1" applyAlignment="1">
      <alignment wrapText="1"/>
    </xf>
    <xf numFmtId="49" fontId="0" fillId="36" borderId="7" xfId="0" applyNumberFormat="1" applyFill="1" applyBorder="1" applyAlignment="1">
      <alignment wrapText="1"/>
    </xf>
    <xf numFmtId="0" fontId="0" fillId="36" borderId="2" xfId="0" applyFill="1" applyBorder="1" applyAlignment="1">
      <alignment wrapText="1"/>
    </xf>
    <xf numFmtId="0" fontId="0" fillId="36" borderId="1" xfId="0" applyFill="1" applyBorder="1" applyAlignment="1">
      <alignment wrapText="1"/>
    </xf>
    <xf numFmtId="0" fontId="0" fillId="36" borderId="1" xfId="0" applyFill="1" applyBorder="1"/>
    <xf numFmtId="9" fontId="0" fillId="38" borderId="1" xfId="0" applyNumberFormat="1" applyFill="1" applyBorder="1" applyAlignment="1">
      <alignment wrapText="1"/>
    </xf>
    <xf numFmtId="0" fontId="31" fillId="0" borderId="7" xfId="4" applyFont="1" applyBorder="1" applyAlignment="1">
      <alignment wrapText="1"/>
    </xf>
    <xf numFmtId="0" fontId="31" fillId="0" borderId="7" xfId="17" applyFont="1" applyFill="1" applyBorder="1" applyAlignment="1">
      <alignment wrapText="1"/>
    </xf>
    <xf numFmtId="0" fontId="32" fillId="0" borderId="1" xfId="17" applyFont="1" applyFill="1" applyBorder="1" applyAlignment="1">
      <alignment wrapText="1"/>
    </xf>
    <xf numFmtId="49" fontId="32" fillId="0" borderId="1" xfId="0" applyNumberFormat="1" applyFont="1" applyBorder="1" applyAlignment="1">
      <alignment wrapText="1"/>
    </xf>
    <xf numFmtId="49" fontId="32" fillId="0" borderId="1" xfId="4" applyNumberFormat="1" applyFont="1" applyBorder="1" applyAlignment="1">
      <alignment wrapText="1"/>
    </xf>
    <xf numFmtId="49" fontId="31" fillId="0" borderId="7" xfId="4" applyNumberFormat="1" applyFont="1" applyBorder="1" applyAlignment="1">
      <alignment wrapText="1"/>
    </xf>
    <xf numFmtId="49" fontId="0" fillId="36" borderId="1" xfId="0" applyNumberFormat="1" applyFill="1" applyBorder="1" applyAlignment="1">
      <alignment wrapText="1"/>
    </xf>
    <xf numFmtId="0" fontId="32" fillId="0" borderId="8" xfId="4" applyFont="1" applyBorder="1" applyAlignment="1">
      <alignment wrapText="1"/>
    </xf>
    <xf numFmtId="0" fontId="33" fillId="0" borderId="1" xfId="10" applyFont="1" applyFill="1" applyBorder="1" applyAlignment="1">
      <alignment wrapText="1"/>
    </xf>
    <xf numFmtId="0" fontId="32" fillId="0" borderId="1" xfId="10" applyFont="1" applyFill="1" applyBorder="1" applyAlignment="1">
      <alignment wrapText="1"/>
    </xf>
    <xf numFmtId="0" fontId="32" fillId="0" borderId="6" xfId="0" applyFont="1" applyBorder="1" applyAlignment="1">
      <alignment vertical="center" wrapText="1"/>
    </xf>
    <xf numFmtId="0" fontId="32" fillId="0" borderId="7" xfId="0" applyFont="1" applyBorder="1" applyAlignment="1">
      <alignment vertical="center" wrapText="1"/>
    </xf>
    <xf numFmtId="0" fontId="32" fillId="0" borderId="8" xfId="0" applyFont="1" applyBorder="1" applyAlignment="1">
      <alignment vertical="center" wrapText="1"/>
    </xf>
    <xf numFmtId="49" fontId="32" fillId="0" borderId="7" xfId="0" applyNumberFormat="1" applyFont="1" applyBorder="1" applyAlignment="1">
      <alignment vertical="center" wrapText="1"/>
    </xf>
    <xf numFmtId="0" fontId="32" fillId="0" borderId="2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166" fontId="0" fillId="0" borderId="0" xfId="0" applyNumberFormat="1"/>
    <xf numFmtId="0" fontId="50" fillId="0" borderId="0" xfId="0" applyFont="1"/>
    <xf numFmtId="0" fontId="50" fillId="0" borderId="6" xfId="0" applyFont="1" applyBorder="1" applyAlignment="1">
      <alignment wrapText="1"/>
    </xf>
    <xf numFmtId="0" fontId="50" fillId="0" borderId="7" xfId="0" applyFont="1" applyBorder="1" applyAlignment="1">
      <alignment wrapText="1"/>
    </xf>
    <xf numFmtId="0" fontId="50" fillId="0" borderId="2" xfId="0" applyFont="1" applyBorder="1" applyAlignment="1">
      <alignment wrapText="1"/>
    </xf>
    <xf numFmtId="0" fontId="24" fillId="0" borderId="2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50" fillId="0" borderId="6" xfId="4" applyFont="1" applyBorder="1" applyAlignment="1">
      <alignment wrapText="1"/>
    </xf>
    <xf numFmtId="0" fontId="50" fillId="0" borderId="7" xfId="4" applyFont="1" applyBorder="1" applyAlignment="1">
      <alignment wrapText="1"/>
    </xf>
    <xf numFmtId="0" fontId="51" fillId="0" borderId="8" xfId="17" applyFont="1" applyFill="1" applyBorder="1" applyAlignment="1">
      <alignment wrapText="1"/>
    </xf>
    <xf numFmtId="0" fontId="50" fillId="0" borderId="7" xfId="17" applyFont="1" applyFill="1" applyBorder="1" applyAlignment="1">
      <alignment wrapText="1"/>
    </xf>
    <xf numFmtId="49" fontId="50" fillId="0" borderId="7" xfId="4" applyNumberFormat="1" applyFont="1" applyBorder="1" applyAlignment="1">
      <alignment wrapText="1"/>
    </xf>
    <xf numFmtId="0" fontId="50" fillId="0" borderId="2" xfId="4" applyFont="1" applyBorder="1" applyAlignment="1">
      <alignment wrapText="1"/>
    </xf>
    <xf numFmtId="0" fontId="50" fillId="0" borderId="1" xfId="4" applyFont="1" applyBorder="1" applyAlignment="1">
      <alignment wrapText="1"/>
    </xf>
    <xf numFmtId="0" fontId="21" fillId="0" borderId="0" xfId="63"/>
    <xf numFmtId="14" fontId="21" fillId="0" borderId="0" xfId="63" applyNumberFormat="1"/>
    <xf numFmtId="9" fontId="21" fillId="0" borderId="0" xfId="63" applyNumberFormat="1"/>
    <xf numFmtId="0" fontId="50" fillId="0" borderId="8" xfId="0" applyFont="1" applyBorder="1" applyAlignment="1">
      <alignment wrapText="1"/>
    </xf>
    <xf numFmtId="49" fontId="50" fillId="0" borderId="7" xfId="0" applyNumberFormat="1" applyFont="1" applyBorder="1" applyAlignment="1">
      <alignment wrapText="1"/>
    </xf>
    <xf numFmtId="0" fontId="50" fillId="0" borderId="1" xfId="0" applyFont="1" applyBorder="1" applyAlignment="1">
      <alignment wrapText="1"/>
    </xf>
    <xf numFmtId="165" fontId="50" fillId="0" borderId="0" xfId="1" applyFont="1" applyFill="1"/>
    <xf numFmtId="165" fontId="0" fillId="0" borderId="0" xfId="6" applyFont="1" applyBorder="1"/>
    <xf numFmtId="9" fontId="0" fillId="0" borderId="6" xfId="0" applyNumberFormat="1" applyBorder="1" applyAlignment="1">
      <alignment wrapText="1"/>
    </xf>
    <xf numFmtId="0" fontId="50" fillId="0" borderId="8" xfId="4" applyFont="1" applyBorder="1" applyAlignment="1">
      <alignment wrapText="1"/>
    </xf>
    <xf numFmtId="9" fontId="50" fillId="0" borderId="1" xfId="0" applyNumberFormat="1" applyFont="1" applyBorder="1" applyAlignment="1">
      <alignment wrapText="1"/>
    </xf>
    <xf numFmtId="9" fontId="50" fillId="0" borderId="1" xfId="4" applyNumberFormat="1" applyFont="1" applyBorder="1" applyAlignment="1">
      <alignment wrapText="1"/>
    </xf>
    <xf numFmtId="9" fontId="0" fillId="0" borderId="6" xfId="3" applyFont="1" applyFill="1" applyBorder="1" applyAlignment="1">
      <alignment wrapText="1"/>
    </xf>
    <xf numFmtId="9" fontId="0" fillId="2" borderId="6" xfId="3" applyFont="1" applyFill="1" applyBorder="1" applyAlignment="1">
      <alignment wrapText="1"/>
    </xf>
    <xf numFmtId="0" fontId="50" fillId="0" borderId="1" xfId="17" applyFont="1" applyFill="1" applyBorder="1" applyAlignment="1">
      <alignment wrapText="1"/>
    </xf>
    <xf numFmtId="0" fontId="22" fillId="0" borderId="7" xfId="2" applyBorder="1"/>
    <xf numFmtId="49" fontId="50" fillId="0" borderId="1" xfId="0" applyNumberFormat="1" applyFont="1" applyBorder="1" applyAlignment="1">
      <alignment wrapText="1"/>
    </xf>
    <xf numFmtId="49" fontId="21" fillId="0" borderId="7" xfId="4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50" fillId="0" borderId="1" xfId="4" applyNumberFormat="1" applyFont="1" applyBorder="1" applyAlignment="1">
      <alignment wrapText="1"/>
    </xf>
    <xf numFmtId="9" fontId="50" fillId="0" borderId="6" xfId="0" applyNumberFormat="1" applyFont="1" applyBorder="1" applyAlignment="1">
      <alignment wrapText="1"/>
    </xf>
    <xf numFmtId="0" fontId="50" fillId="0" borderId="0" xfId="0" applyFont="1" applyAlignment="1">
      <alignment wrapText="1"/>
    </xf>
    <xf numFmtId="0" fontId="50" fillId="0" borderId="3" xfId="0" applyFont="1" applyBorder="1" applyAlignment="1">
      <alignment wrapText="1"/>
    </xf>
    <xf numFmtId="0" fontId="32" fillId="0" borderId="1" xfId="20" applyFont="1" applyBorder="1" applyAlignment="1">
      <alignment wrapText="1"/>
    </xf>
    <xf numFmtId="9" fontId="50" fillId="0" borderId="6" xfId="4" applyNumberFormat="1" applyFont="1" applyBorder="1" applyAlignment="1">
      <alignment wrapText="1"/>
    </xf>
    <xf numFmtId="9" fontId="50" fillId="0" borderId="1" xfId="9" applyFont="1" applyFill="1" applyBorder="1" applyAlignment="1">
      <alignment wrapText="1"/>
    </xf>
    <xf numFmtId="0" fontId="52" fillId="0" borderId="1" xfId="0" applyFont="1" applyBorder="1" applyAlignment="1">
      <alignment wrapText="1"/>
    </xf>
    <xf numFmtId="0" fontId="27" fillId="0" borderId="1" xfId="17" applyFill="1" applyBorder="1" applyAlignment="1">
      <alignment wrapText="1"/>
    </xf>
    <xf numFmtId="49" fontId="21" fillId="0" borderId="1" xfId="4" applyNumberFormat="1" applyBorder="1" applyAlignment="1">
      <alignment wrapText="1"/>
    </xf>
    <xf numFmtId="49" fontId="22" fillId="0" borderId="7" xfId="2" applyNumberFormat="1" applyFill="1" applyBorder="1" applyAlignment="1">
      <alignment wrapText="1"/>
    </xf>
    <xf numFmtId="0" fontId="24" fillId="0" borderId="2" xfId="2" applyFont="1" applyFill="1" applyBorder="1" applyAlignment="1">
      <alignment wrapText="1"/>
    </xf>
    <xf numFmtId="14" fontId="0" fillId="0" borderId="0" xfId="5" applyNumberFormat="1" applyFont="1" applyAlignment="1">
      <alignment horizontal="left" wrapText="1" indent="3"/>
    </xf>
    <xf numFmtId="0" fontId="53" fillId="0" borderId="2" xfId="0" applyFont="1" applyBorder="1" applyAlignment="1">
      <alignment wrapText="1"/>
    </xf>
    <xf numFmtId="0" fontId="53" fillId="0" borderId="6" xfId="0" applyFont="1" applyBorder="1" applyAlignment="1">
      <alignment wrapText="1"/>
    </xf>
    <xf numFmtId="0" fontId="53" fillId="0" borderId="7" xfId="0" applyFont="1" applyBorder="1" applyAlignment="1">
      <alignment wrapText="1"/>
    </xf>
    <xf numFmtId="0" fontId="53" fillId="0" borderId="8" xfId="0" applyFont="1" applyBorder="1" applyAlignment="1">
      <alignment wrapText="1"/>
    </xf>
    <xf numFmtId="49" fontId="53" fillId="0" borderId="7" xfId="0" applyNumberFormat="1" applyFont="1" applyBorder="1" applyAlignment="1">
      <alignment wrapText="1"/>
    </xf>
    <xf numFmtId="0" fontId="53" fillId="0" borderId="1" xfId="0" applyFont="1" applyBorder="1" applyAlignment="1">
      <alignment wrapText="1"/>
    </xf>
    <xf numFmtId="167" fontId="0" fillId="0" borderId="0" xfId="3" applyNumberFormat="1" applyFont="1"/>
    <xf numFmtId="9" fontId="53" fillId="0" borderId="1" xfId="0" applyNumberFormat="1" applyFont="1" applyBorder="1" applyAlignment="1">
      <alignment wrapText="1"/>
    </xf>
    <xf numFmtId="0" fontId="0" fillId="0" borderId="8" xfId="4" applyFont="1" applyBorder="1" applyAlignment="1">
      <alignment wrapText="1"/>
    </xf>
    <xf numFmtId="0" fontId="31" fillId="0" borderId="8" xfId="4" applyFont="1" applyBorder="1" applyAlignment="1">
      <alignment wrapText="1"/>
    </xf>
    <xf numFmtId="49" fontId="53" fillId="0" borderId="1" xfId="0" applyNumberFormat="1" applyFont="1" applyBorder="1" applyAlignment="1">
      <alignment wrapText="1"/>
    </xf>
    <xf numFmtId="167" fontId="21" fillId="0" borderId="0" xfId="63" applyNumberFormat="1"/>
    <xf numFmtId="9" fontId="21" fillId="0" borderId="0" xfId="3"/>
    <xf numFmtId="0" fontId="0" fillId="0" borderId="0" xfId="63" applyFont="1"/>
    <xf numFmtId="9" fontId="53" fillId="0" borderId="6" xfId="0" applyNumberFormat="1" applyFont="1" applyBorder="1" applyAlignment="1">
      <alignment wrapText="1"/>
    </xf>
    <xf numFmtId="0" fontId="55" fillId="0" borderId="2" xfId="0" applyFont="1" applyBorder="1" applyAlignment="1">
      <alignment wrapText="1"/>
    </xf>
    <xf numFmtId="0" fontId="55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1" fillId="0" borderId="0" xfId="0" applyFont="1" applyAlignment="1">
      <alignment horizontal="left"/>
    </xf>
    <xf numFmtId="0" fontId="21" fillId="0" borderId="0" xfId="5" applyAlignment="1">
      <alignment horizontal="left"/>
    </xf>
    <xf numFmtId="0" fontId="56" fillId="0" borderId="6" xfId="0" applyFont="1" applyBorder="1" applyAlignment="1">
      <alignment wrapText="1"/>
    </xf>
    <xf numFmtId="0" fontId="56" fillId="0" borderId="7" xfId="0" applyFont="1" applyBorder="1" applyAlignment="1">
      <alignment wrapText="1"/>
    </xf>
    <xf numFmtId="0" fontId="56" fillId="0" borderId="8" xfId="0" applyFont="1" applyBorder="1" applyAlignment="1">
      <alignment wrapText="1"/>
    </xf>
    <xf numFmtId="49" fontId="56" fillId="0" borderId="7" xfId="0" applyNumberFormat="1" applyFont="1" applyBorder="1" applyAlignment="1">
      <alignment wrapText="1"/>
    </xf>
    <xf numFmtId="0" fontId="56" fillId="0" borderId="2" xfId="0" applyFont="1" applyBorder="1" applyAlignment="1">
      <alignment wrapText="1"/>
    </xf>
    <xf numFmtId="0" fontId="56" fillId="0" borderId="1" xfId="0" applyFont="1" applyBorder="1" applyAlignment="1">
      <alignment wrapText="1"/>
    </xf>
    <xf numFmtId="9" fontId="56" fillId="0" borderId="6" xfId="0" applyNumberFormat="1" applyFont="1" applyBorder="1" applyAlignment="1">
      <alignment wrapText="1"/>
    </xf>
    <xf numFmtId="0" fontId="56" fillId="0" borderId="6" xfId="4" applyFont="1" applyBorder="1" applyAlignment="1">
      <alignment wrapText="1"/>
    </xf>
    <xf numFmtId="0" fontId="56" fillId="0" borderId="7" xfId="4" applyFont="1" applyBorder="1" applyAlignment="1">
      <alignment wrapText="1"/>
    </xf>
    <xf numFmtId="0" fontId="56" fillId="0" borderId="7" xfId="17" applyFont="1" applyFill="1" applyBorder="1" applyAlignment="1">
      <alignment wrapText="1"/>
    </xf>
    <xf numFmtId="49" fontId="56" fillId="0" borderId="7" xfId="4" applyNumberFormat="1" applyFont="1" applyBorder="1" applyAlignment="1">
      <alignment wrapText="1"/>
    </xf>
    <xf numFmtId="0" fontId="56" fillId="0" borderId="2" xfId="4" applyFont="1" applyBorder="1" applyAlignment="1">
      <alignment wrapText="1"/>
    </xf>
    <xf numFmtId="0" fontId="56" fillId="0" borderId="1" xfId="4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9" fontId="56" fillId="0" borderId="1" xfId="0" applyNumberFormat="1" applyFont="1" applyBorder="1" applyAlignment="1">
      <alignment wrapText="1"/>
    </xf>
    <xf numFmtId="9" fontId="55" fillId="0" borderId="1" xfId="0" applyNumberFormat="1" applyFont="1" applyBorder="1" applyAlignment="1">
      <alignment wrapText="1"/>
    </xf>
    <xf numFmtId="9" fontId="20" fillId="0" borderId="1" xfId="0" applyNumberFormat="1" applyFont="1" applyBorder="1" applyAlignment="1">
      <alignment wrapText="1"/>
    </xf>
    <xf numFmtId="0" fontId="56" fillId="0" borderId="0" xfId="0" applyFont="1" applyAlignment="1">
      <alignment wrapText="1"/>
    </xf>
    <xf numFmtId="49" fontId="0" fillId="0" borderId="5" xfId="0" applyNumberFormat="1" applyBorder="1" applyAlignment="1">
      <alignment wrapText="1"/>
    </xf>
    <xf numFmtId="49" fontId="56" fillId="0" borderId="1" xfId="0" applyNumberFormat="1" applyFont="1" applyBorder="1" applyAlignment="1">
      <alignment wrapText="1"/>
    </xf>
    <xf numFmtId="49" fontId="55" fillId="0" borderId="1" xfId="0" applyNumberFormat="1" applyFont="1" applyBorder="1" applyAlignment="1">
      <alignment wrapText="1"/>
    </xf>
    <xf numFmtId="9" fontId="56" fillId="0" borderId="6" xfId="4" applyNumberFormat="1" applyFont="1" applyBorder="1" applyAlignment="1">
      <alignment wrapText="1"/>
    </xf>
    <xf numFmtId="165" fontId="56" fillId="0" borderId="0" xfId="1" applyFont="1"/>
    <xf numFmtId="0" fontId="56" fillId="0" borderId="8" xfId="4" applyFont="1" applyBorder="1" applyAlignment="1">
      <alignment wrapText="1"/>
    </xf>
    <xf numFmtId="0" fontId="56" fillId="0" borderId="2" xfId="16" applyFont="1" applyBorder="1" applyAlignment="1">
      <alignment wrapText="1"/>
    </xf>
    <xf numFmtId="0" fontId="20" fillId="0" borderId="7" xfId="0" applyFont="1" applyBorder="1" applyAlignment="1">
      <alignment wrapText="1"/>
    </xf>
    <xf numFmtId="49" fontId="20" fillId="0" borderId="7" xfId="0" applyNumberFormat="1" applyFont="1" applyBorder="1" applyAlignment="1">
      <alignment wrapText="1"/>
    </xf>
    <xf numFmtId="0" fontId="20" fillId="0" borderId="2" xfId="0" applyFont="1" applyBorder="1" applyAlignment="1">
      <alignment wrapText="1"/>
    </xf>
    <xf numFmtId="9" fontId="20" fillId="0" borderId="6" xfId="0" applyNumberFormat="1" applyFont="1" applyBorder="1" applyAlignment="1">
      <alignment wrapText="1"/>
    </xf>
    <xf numFmtId="0" fontId="20" fillId="0" borderId="1" xfId="4" applyFont="1" applyBorder="1" applyAlignment="1">
      <alignment wrapText="1"/>
    </xf>
    <xf numFmtId="0" fontId="56" fillId="39" borderId="2" xfId="0" applyFont="1" applyFill="1" applyBorder="1" applyAlignment="1">
      <alignment wrapText="1"/>
    </xf>
    <xf numFmtId="0" fontId="56" fillId="39" borderId="1" xfId="0" applyFont="1" applyFill="1" applyBorder="1" applyAlignment="1">
      <alignment wrapText="1"/>
    </xf>
    <xf numFmtId="9" fontId="24" fillId="0" borderId="6" xfId="0" applyNumberFormat="1" applyFont="1" applyBorder="1" applyAlignment="1">
      <alignment wrapText="1"/>
    </xf>
    <xf numFmtId="0" fontId="24" fillId="0" borderId="6" xfId="0" applyFont="1" applyBorder="1" applyAlignment="1">
      <alignment wrapText="1"/>
    </xf>
    <xf numFmtId="9" fontId="56" fillId="0" borderId="1" xfId="4" applyNumberFormat="1" applyFont="1" applyBorder="1" applyAlignment="1">
      <alignment wrapText="1"/>
    </xf>
    <xf numFmtId="49" fontId="56" fillId="0" borderId="0" xfId="0" applyNumberFormat="1" applyFont="1" applyAlignment="1">
      <alignment wrapText="1"/>
    </xf>
    <xf numFmtId="0" fontId="21" fillId="0" borderId="0" xfId="5" applyAlignment="1">
      <alignment wrapText="1"/>
    </xf>
    <xf numFmtId="49" fontId="0" fillId="0" borderId="7" xfId="2" applyNumberFormat="1" applyFont="1" applyFill="1" applyBorder="1" applyAlignment="1">
      <alignment wrapText="1"/>
    </xf>
    <xf numFmtId="0" fontId="61" fillId="0" borderId="6" xfId="0" applyFont="1" applyBorder="1" applyAlignment="1">
      <alignment wrapText="1"/>
    </xf>
    <xf numFmtId="0" fontId="61" fillId="0" borderId="7" xfId="0" applyFont="1" applyBorder="1" applyAlignment="1">
      <alignment wrapText="1"/>
    </xf>
    <xf numFmtId="0" fontId="61" fillId="0" borderId="8" xfId="0" applyFont="1" applyBorder="1" applyAlignment="1">
      <alignment wrapText="1"/>
    </xf>
    <xf numFmtId="49" fontId="61" fillId="0" borderId="7" xfId="0" applyNumberFormat="1" applyFont="1" applyBorder="1" applyAlignment="1">
      <alignment wrapText="1"/>
    </xf>
    <xf numFmtId="0" fontId="61" fillId="0" borderId="2" xfId="0" applyFont="1" applyBorder="1" applyAlignment="1">
      <alignment wrapText="1"/>
    </xf>
    <xf numFmtId="0" fontId="61" fillId="0" borderId="1" xfId="0" applyFont="1" applyBorder="1" applyAlignment="1">
      <alignment wrapText="1"/>
    </xf>
    <xf numFmtId="0" fontId="62" fillId="0" borderId="6" xfId="4" applyFont="1" applyBorder="1" applyAlignment="1">
      <alignment wrapText="1"/>
    </xf>
    <xf numFmtId="0" fontId="62" fillId="0" borderId="7" xfId="4" applyFont="1" applyBorder="1" applyAlignment="1">
      <alignment wrapText="1"/>
    </xf>
    <xf numFmtId="0" fontId="62" fillId="0" borderId="7" xfId="17" applyFont="1" applyFill="1" applyBorder="1" applyAlignment="1">
      <alignment wrapText="1"/>
    </xf>
    <xf numFmtId="49" fontId="62" fillId="0" borderId="7" xfId="4" applyNumberFormat="1" applyFont="1" applyBorder="1" applyAlignment="1">
      <alignment wrapText="1"/>
    </xf>
    <xf numFmtId="0" fontId="62" fillId="0" borderId="2" xfId="4" applyFont="1" applyBorder="1" applyAlignment="1">
      <alignment wrapText="1"/>
    </xf>
    <xf numFmtId="0" fontId="62" fillId="0" borderId="1" xfId="4" applyFont="1" applyBorder="1" applyAlignment="1">
      <alignment wrapText="1"/>
    </xf>
    <xf numFmtId="0" fontId="62" fillId="0" borderId="6" xfId="0" applyFont="1" applyBorder="1" applyAlignment="1">
      <alignment wrapText="1"/>
    </xf>
    <xf numFmtId="0" fontId="62" fillId="0" borderId="7" xfId="0" applyFont="1" applyBorder="1" applyAlignment="1">
      <alignment wrapText="1"/>
    </xf>
    <xf numFmtId="0" fontId="62" fillId="0" borderId="8" xfId="0" applyFont="1" applyBorder="1" applyAlignment="1">
      <alignment wrapText="1"/>
    </xf>
    <xf numFmtId="49" fontId="62" fillId="0" borderId="7" xfId="0" applyNumberFormat="1" applyFont="1" applyBorder="1" applyAlignment="1">
      <alignment wrapText="1"/>
    </xf>
    <xf numFmtId="0" fontId="62" fillId="0" borderId="2" xfId="0" applyFont="1" applyBorder="1" applyAlignment="1">
      <alignment wrapText="1"/>
    </xf>
    <xf numFmtId="0" fontId="62" fillId="0" borderId="1" xfId="0" applyFont="1" applyBorder="1" applyAlignment="1">
      <alignment wrapText="1"/>
    </xf>
    <xf numFmtId="0" fontId="63" fillId="0" borderId="6" xfId="0" applyFont="1" applyBorder="1" applyAlignment="1">
      <alignment wrapText="1"/>
    </xf>
    <xf numFmtId="0" fontId="63" fillId="0" borderId="7" xfId="0" applyFont="1" applyBorder="1" applyAlignment="1">
      <alignment wrapText="1"/>
    </xf>
    <xf numFmtId="0" fontId="63" fillId="0" borderId="8" xfId="0" applyFont="1" applyBorder="1" applyAlignment="1">
      <alignment wrapText="1"/>
    </xf>
    <xf numFmtId="49" fontId="63" fillId="0" borderId="7" xfId="0" applyNumberFormat="1" applyFont="1" applyBorder="1" applyAlignment="1">
      <alignment wrapText="1"/>
    </xf>
    <xf numFmtId="0" fontId="63" fillId="0" borderId="2" xfId="0" applyFont="1" applyBorder="1" applyAlignment="1">
      <alignment wrapText="1"/>
    </xf>
    <xf numFmtId="0" fontId="63" fillId="0" borderId="1" xfId="0" applyFont="1" applyBorder="1" applyAlignment="1">
      <alignment wrapText="1"/>
    </xf>
    <xf numFmtId="165" fontId="63" fillId="0" borderId="0" xfId="0" applyNumberFormat="1" applyFont="1"/>
    <xf numFmtId="0" fontId="58" fillId="0" borderId="7" xfId="16" applyFont="1" applyBorder="1"/>
    <xf numFmtId="0" fontId="27" fillId="0" borderId="7" xfId="17" applyBorder="1" applyAlignment="1">
      <alignment vertical="center" wrapText="1"/>
    </xf>
    <xf numFmtId="49" fontId="20" fillId="0" borderId="1" xfId="0" applyNumberFormat="1" applyFont="1" applyBorder="1" applyAlignment="1">
      <alignment wrapText="1"/>
    </xf>
    <xf numFmtId="0" fontId="0" fillId="0" borderId="0" xfId="4" applyFont="1" applyAlignment="1">
      <alignment wrapText="1"/>
    </xf>
    <xf numFmtId="0" fontId="0" fillId="0" borderId="1" xfId="17" applyFont="1" applyFill="1" applyBorder="1" applyAlignment="1">
      <alignment wrapText="1"/>
    </xf>
    <xf numFmtId="0" fontId="63" fillId="0" borderId="7" xfId="4" applyFont="1" applyBorder="1" applyAlignment="1">
      <alignment wrapText="1"/>
    </xf>
    <xf numFmtId="0" fontId="63" fillId="0" borderId="3" xfId="0" applyFont="1" applyBorder="1" applyAlignment="1">
      <alignment wrapText="1"/>
    </xf>
    <xf numFmtId="9" fontId="50" fillId="0" borderId="0" xfId="0" applyNumberFormat="1" applyFont="1" applyAlignment="1">
      <alignment wrapText="1"/>
    </xf>
    <xf numFmtId="49" fontId="50" fillId="0" borderId="0" xfId="0" applyNumberFormat="1" applyFont="1" applyAlignment="1">
      <alignment wrapText="1"/>
    </xf>
    <xf numFmtId="49" fontId="63" fillId="0" borderId="7" xfId="4" applyNumberFormat="1" applyFont="1" applyBorder="1" applyAlignment="1">
      <alignment wrapText="1"/>
    </xf>
    <xf numFmtId="9" fontId="21" fillId="0" borderId="6" xfId="4" applyNumberFormat="1" applyBorder="1" applyAlignment="1">
      <alignment wrapText="1"/>
    </xf>
    <xf numFmtId="9" fontId="63" fillId="0" borderId="1" xfId="0" applyNumberFormat="1" applyFont="1" applyBorder="1" applyAlignment="1">
      <alignment wrapText="1"/>
    </xf>
    <xf numFmtId="0" fontId="27" fillId="0" borderId="1" xfId="17" applyBorder="1"/>
    <xf numFmtId="0" fontId="63" fillId="0" borderId="1" xfId="4" applyFont="1" applyBorder="1" applyAlignment="1">
      <alignment wrapText="1"/>
    </xf>
    <xf numFmtId="9" fontId="0" fillId="0" borderId="0" xfId="3" applyFont="1" applyFill="1" applyBorder="1" applyAlignment="1">
      <alignment wrapText="1"/>
    </xf>
    <xf numFmtId="0" fontId="30" fillId="0" borderId="1" xfId="16" applyFont="1" applyBorder="1"/>
    <xf numFmtId="0" fontId="27" fillId="0" borderId="7" xfId="17" applyFill="1" applyBorder="1" applyAlignment="1">
      <alignment wrapText="1"/>
    </xf>
    <xf numFmtId="0" fontId="63" fillId="0" borderId="6" xfId="4" applyFont="1" applyBorder="1" applyAlignment="1">
      <alignment wrapText="1"/>
    </xf>
    <xf numFmtId="9" fontId="21" fillId="0" borderId="1" xfId="4" applyNumberFormat="1" applyBorder="1" applyAlignment="1">
      <alignment wrapText="1"/>
    </xf>
    <xf numFmtId="0" fontId="63" fillId="0" borderId="7" xfId="17" applyFont="1" applyFill="1" applyBorder="1" applyAlignment="1">
      <alignment wrapText="1"/>
    </xf>
    <xf numFmtId="0" fontId="60" fillId="0" borderId="8" xfId="16" applyFont="1" applyBorder="1"/>
    <xf numFmtId="0" fontId="63" fillId="0" borderId="2" xfId="4" applyFont="1" applyBorder="1" applyAlignment="1">
      <alignment wrapText="1"/>
    </xf>
    <xf numFmtId="0" fontId="32" fillId="0" borderId="3" xfId="4" applyFont="1" applyBorder="1" applyAlignment="1">
      <alignment wrapText="1"/>
    </xf>
    <xf numFmtId="0" fontId="32" fillId="0" borderId="0" xfId="4" applyFont="1" applyAlignment="1">
      <alignment wrapText="1"/>
    </xf>
    <xf numFmtId="0" fontId="20" fillId="0" borderId="1" xfId="0" applyFont="1" applyBorder="1" applyAlignment="1">
      <alignment wrapText="1"/>
    </xf>
    <xf numFmtId="0" fontId="50" fillId="0" borderId="0" xfId="4" applyFont="1" applyAlignment="1">
      <alignment wrapText="1"/>
    </xf>
    <xf numFmtId="49" fontId="63" fillId="0" borderId="1" xfId="0" applyNumberFormat="1" applyFont="1" applyBorder="1" applyAlignment="1">
      <alignment wrapText="1"/>
    </xf>
    <xf numFmtId="0" fontId="21" fillId="0" borderId="2" xfId="4" applyBorder="1" applyAlignment="1">
      <alignment wrapText="1"/>
    </xf>
    <xf numFmtId="0" fontId="21" fillId="0" borderId="1" xfId="4" applyBorder="1" applyAlignment="1">
      <alignment wrapText="1"/>
    </xf>
    <xf numFmtId="0" fontId="21" fillId="0" borderId="6" xfId="4" applyBorder="1" applyAlignment="1">
      <alignment wrapText="1"/>
    </xf>
    <xf numFmtId="0" fontId="21" fillId="0" borderId="7" xfId="4" applyBorder="1" applyAlignment="1">
      <alignment wrapText="1"/>
    </xf>
    <xf numFmtId="0" fontId="27" fillId="0" borderId="7" xfId="17" applyBorder="1"/>
    <xf numFmtId="0" fontId="24" fillId="0" borderId="2" xfId="4" applyFont="1" applyBorder="1" applyAlignment="1">
      <alignment wrapText="1"/>
    </xf>
    <xf numFmtId="49" fontId="62" fillId="0" borderId="1" xfId="0" applyNumberFormat="1" applyFont="1" applyBorder="1" applyAlignment="1">
      <alignment wrapText="1"/>
    </xf>
    <xf numFmtId="49" fontId="50" fillId="0" borderId="0" xfId="4" applyNumberFormat="1" applyFont="1" applyAlignment="1">
      <alignment wrapText="1"/>
    </xf>
    <xf numFmtId="0" fontId="60" fillId="0" borderId="7" xfId="16" applyFont="1" applyBorder="1"/>
    <xf numFmtId="0" fontId="24" fillId="0" borderId="1" xfId="4" applyFont="1" applyBorder="1" applyAlignment="1">
      <alignment wrapText="1"/>
    </xf>
    <xf numFmtId="165" fontId="0" fillId="0" borderId="0" xfId="6" applyFont="1" applyFill="1"/>
    <xf numFmtId="9" fontId="63" fillId="0" borderId="6" xfId="0" applyNumberFormat="1" applyFont="1" applyBorder="1" applyAlignment="1">
      <alignment wrapText="1"/>
    </xf>
    <xf numFmtId="0" fontId="63" fillId="0" borderId="0" xfId="0" applyFont="1"/>
    <xf numFmtId="0" fontId="19" fillId="0" borderId="0" xfId="0" applyFont="1" applyAlignment="1">
      <alignment horizontal="left"/>
    </xf>
    <xf numFmtId="0" fontId="30" fillId="0" borderId="0" xfId="0" applyFont="1"/>
    <xf numFmtId="0" fontId="19" fillId="0" borderId="7" xfId="0" applyFont="1" applyBorder="1" applyAlignment="1">
      <alignment wrapText="1"/>
    </xf>
    <xf numFmtId="49" fontId="19" fillId="0" borderId="7" xfId="0" applyNumberFormat="1" applyFont="1" applyBorder="1" applyAlignment="1">
      <alignment wrapText="1"/>
    </xf>
    <xf numFmtId="0" fontId="19" fillId="0" borderId="2" xfId="0" applyFont="1" applyBorder="1" applyAlignment="1">
      <alignment wrapText="1"/>
    </xf>
    <xf numFmtId="165" fontId="0" fillId="0" borderId="0" xfId="5" applyNumberFormat="1" applyFont="1" applyAlignment="1">
      <alignment wrapText="1"/>
    </xf>
    <xf numFmtId="165" fontId="21" fillId="0" borderId="0" xfId="5" applyNumberFormat="1"/>
    <xf numFmtId="0" fontId="17" fillId="0" borderId="7" xfId="0" applyFont="1" applyBorder="1" applyAlignment="1">
      <alignment wrapText="1"/>
    </xf>
    <xf numFmtId="0" fontId="63" fillId="40" borderId="2" xfId="0" applyFont="1" applyFill="1" applyBorder="1" applyAlignment="1">
      <alignment wrapText="1"/>
    </xf>
    <xf numFmtId="0" fontId="19" fillId="40" borderId="1" xfId="0" applyFont="1" applyFill="1" applyBorder="1" applyAlignment="1">
      <alignment wrapText="1"/>
    </xf>
    <xf numFmtId="9" fontId="63" fillId="41" borderId="6" xfId="0" applyNumberFormat="1" applyFont="1" applyFill="1" applyBorder="1" applyAlignment="1">
      <alignment wrapText="1"/>
    </xf>
    <xf numFmtId="0" fontId="0" fillId="42" borderId="2" xfId="0" applyFill="1" applyBorder="1" applyAlignment="1">
      <alignment wrapText="1"/>
    </xf>
    <xf numFmtId="0" fontId="0" fillId="42" borderId="1" xfId="0" applyFill="1" applyBorder="1" applyAlignment="1">
      <alignment wrapText="1"/>
    </xf>
    <xf numFmtId="0" fontId="63" fillId="42" borderId="2" xfId="0" applyFont="1" applyFill="1" applyBorder="1" applyAlignment="1">
      <alignment wrapText="1"/>
    </xf>
    <xf numFmtId="0" fontId="17" fillId="42" borderId="1" xfId="0" applyFont="1" applyFill="1" applyBorder="1" applyAlignment="1">
      <alignment wrapText="1"/>
    </xf>
    <xf numFmtId="0" fontId="17" fillId="40" borderId="1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49" fontId="17" fillId="0" borderId="7" xfId="0" applyNumberFormat="1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0" fillId="42" borderId="2" xfId="4" applyFont="1" applyFill="1" applyBorder="1" applyAlignment="1">
      <alignment wrapText="1"/>
    </xf>
    <xf numFmtId="0" fontId="0" fillId="42" borderId="1" xfId="4" applyFont="1" applyFill="1" applyBorder="1" applyAlignment="1">
      <alignment wrapText="1"/>
    </xf>
    <xf numFmtId="0" fontId="63" fillId="40" borderId="2" xfId="4" applyFont="1" applyFill="1" applyBorder="1" applyAlignment="1">
      <alignment wrapText="1"/>
    </xf>
    <xf numFmtId="0" fontId="63" fillId="40" borderId="1" xfId="4" applyFont="1" applyFill="1" applyBorder="1" applyAlignment="1">
      <alignment wrapText="1"/>
    </xf>
    <xf numFmtId="0" fontId="63" fillId="46" borderId="6" xfId="0" applyFont="1" applyFill="1" applyBorder="1" applyAlignment="1">
      <alignment wrapText="1"/>
    </xf>
    <xf numFmtId="0" fontId="63" fillId="42" borderId="2" xfId="4" applyFont="1" applyFill="1" applyBorder="1" applyAlignment="1">
      <alignment wrapText="1"/>
    </xf>
    <xf numFmtId="0" fontId="63" fillId="42" borderId="1" xfId="4" applyFont="1" applyFill="1" applyBorder="1" applyAlignment="1">
      <alignment wrapText="1"/>
    </xf>
    <xf numFmtId="0" fontId="0" fillId="40" borderId="2" xfId="4" applyFont="1" applyFill="1" applyBorder="1" applyAlignment="1">
      <alignment wrapText="1"/>
    </xf>
    <xf numFmtId="0" fontId="0" fillId="40" borderId="1" xfId="4" applyFont="1" applyFill="1" applyBorder="1" applyAlignment="1">
      <alignment wrapText="1"/>
    </xf>
    <xf numFmtId="0" fontId="0" fillId="47" borderId="6" xfId="0" applyFill="1" applyBorder="1" applyAlignment="1">
      <alignment wrapText="1"/>
    </xf>
    <xf numFmtId="0" fontId="15" fillId="0" borderId="7" xfId="0" applyFont="1" applyBorder="1" applyAlignment="1">
      <alignment wrapText="1"/>
    </xf>
    <xf numFmtId="0" fontId="15" fillId="0" borderId="8" xfId="0" applyFont="1" applyBorder="1" applyAlignment="1">
      <alignment wrapText="1"/>
    </xf>
    <xf numFmtId="49" fontId="15" fillId="0" borderId="7" xfId="0" applyNumberFormat="1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63" fillId="36" borderId="6" xfId="0" applyFont="1" applyFill="1" applyBorder="1" applyAlignment="1">
      <alignment wrapText="1"/>
    </xf>
    <xf numFmtId="0" fontId="18" fillId="36" borderId="7" xfId="0" applyFont="1" applyFill="1" applyBorder="1" applyAlignment="1">
      <alignment wrapText="1"/>
    </xf>
    <xf numFmtId="0" fontId="63" fillId="36" borderId="7" xfId="0" applyFont="1" applyFill="1" applyBorder="1" applyAlignment="1">
      <alignment wrapText="1"/>
    </xf>
    <xf numFmtId="0" fontId="63" fillId="36" borderId="8" xfId="0" applyFont="1" applyFill="1" applyBorder="1" applyAlignment="1">
      <alignment wrapText="1"/>
    </xf>
    <xf numFmtId="49" fontId="63" fillId="36" borderId="7" xfId="0" applyNumberFormat="1" applyFont="1" applyFill="1" applyBorder="1" applyAlignment="1">
      <alignment wrapText="1"/>
    </xf>
    <xf numFmtId="0" fontId="63" fillId="36" borderId="2" xfId="0" applyFont="1" applyFill="1" applyBorder="1" applyAlignment="1">
      <alignment wrapText="1"/>
    </xf>
    <xf numFmtId="0" fontId="14" fillId="36" borderId="7" xfId="0" applyFont="1" applyFill="1" applyBorder="1" applyAlignment="1">
      <alignment wrapText="1"/>
    </xf>
    <xf numFmtId="0" fontId="21" fillId="0" borderId="7" xfId="0" applyFont="1" applyBorder="1" applyAlignment="1">
      <alignment wrapText="1"/>
    </xf>
    <xf numFmtId="0" fontId="0" fillId="0" borderId="7" xfId="17" applyFont="1" applyFill="1" applyBorder="1" applyAlignment="1">
      <alignment wrapText="1"/>
    </xf>
    <xf numFmtId="0" fontId="0" fillId="40" borderId="2" xfId="0" applyFill="1" applyBorder="1" applyAlignment="1">
      <alignment wrapText="1"/>
    </xf>
    <xf numFmtId="0" fontId="0" fillId="40" borderId="1" xfId="0" applyFill="1" applyBorder="1" applyAlignment="1">
      <alignment wrapText="1"/>
    </xf>
    <xf numFmtId="0" fontId="0" fillId="46" borderId="6" xfId="0" applyFill="1" applyBorder="1" applyAlignment="1">
      <alignment wrapText="1"/>
    </xf>
    <xf numFmtId="0" fontId="0" fillId="40" borderId="0" xfId="0" applyFill="1" applyAlignment="1">
      <alignment wrapText="1"/>
    </xf>
    <xf numFmtId="0" fontId="21" fillId="0" borderId="0" xfId="4" applyAlignment="1">
      <alignment wrapText="1"/>
    </xf>
    <xf numFmtId="0" fontId="63" fillId="37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62" fillId="39" borderId="2" xfId="0" applyFont="1" applyFill="1" applyBorder="1" applyAlignment="1">
      <alignment wrapText="1"/>
    </xf>
    <xf numFmtId="0" fontId="31" fillId="0" borderId="0" xfId="0" applyFont="1" applyAlignment="1">
      <alignment wrapText="1"/>
    </xf>
    <xf numFmtId="0" fontId="0" fillId="40" borderId="3" xfId="0" applyFill="1" applyBorder="1" applyAlignment="1">
      <alignment wrapText="1"/>
    </xf>
    <xf numFmtId="0" fontId="58" fillId="0" borderId="3" xfId="16" applyFont="1" applyBorder="1"/>
    <xf numFmtId="0" fontId="64" fillId="0" borderId="1" xfId="0" applyFont="1" applyBorder="1" applyAlignment="1">
      <alignment wrapText="1"/>
    </xf>
    <xf numFmtId="0" fontId="18" fillId="37" borderId="3" xfId="0" applyFont="1" applyFill="1" applyBorder="1" applyAlignment="1">
      <alignment wrapText="1"/>
    </xf>
    <xf numFmtId="0" fontId="20" fillId="0" borderId="3" xfId="0" applyFont="1" applyBorder="1" applyAlignment="1">
      <alignment wrapText="1"/>
    </xf>
    <xf numFmtId="0" fontId="56" fillId="0" borderId="3" xfId="4" applyFont="1" applyBorder="1" applyAlignment="1">
      <alignment wrapText="1"/>
    </xf>
    <xf numFmtId="0" fontId="62" fillId="39" borderId="1" xfId="0" applyFont="1" applyFill="1" applyBorder="1" applyAlignment="1">
      <alignment wrapText="1"/>
    </xf>
    <xf numFmtId="0" fontId="53" fillId="0" borderId="3" xfId="0" applyFont="1" applyBorder="1" applyAlignment="1">
      <alignment wrapText="1"/>
    </xf>
    <xf numFmtId="9" fontId="0" fillId="43" borderId="1" xfId="0" applyNumberFormat="1" applyFill="1" applyBorder="1" applyAlignment="1">
      <alignment wrapText="1"/>
    </xf>
    <xf numFmtId="9" fontId="0" fillId="41" borderId="1" xfId="0" applyNumberFormat="1" applyFill="1" applyBorder="1" applyAlignment="1">
      <alignment wrapText="1"/>
    </xf>
    <xf numFmtId="9" fontId="63" fillId="41" borderId="1" xfId="0" applyNumberFormat="1" applyFont="1" applyFill="1" applyBorder="1" applyAlignment="1">
      <alignment wrapText="1"/>
    </xf>
    <xf numFmtId="9" fontId="56" fillId="0" borderId="0" xfId="0" applyNumberFormat="1" applyFont="1" applyAlignment="1">
      <alignment wrapText="1"/>
    </xf>
    <xf numFmtId="9" fontId="63" fillId="43" borderId="1" xfId="0" applyNumberFormat="1" applyFont="1" applyFill="1" applyBorder="1" applyAlignment="1">
      <alignment wrapText="1"/>
    </xf>
    <xf numFmtId="9" fontId="63" fillId="38" borderId="1" xfId="0" applyNumberFormat="1" applyFont="1" applyFill="1" applyBorder="1" applyAlignment="1">
      <alignment wrapText="1"/>
    </xf>
    <xf numFmtId="9" fontId="55" fillId="0" borderId="6" xfId="0" applyNumberFormat="1" applyFont="1" applyBorder="1" applyAlignment="1">
      <alignment wrapText="1"/>
    </xf>
    <xf numFmtId="0" fontId="0" fillId="46" borderId="1" xfId="0" applyFill="1" applyBorder="1" applyAlignment="1">
      <alignment wrapText="1"/>
    </xf>
    <xf numFmtId="0" fontId="0" fillId="47" borderId="1" xfId="0" applyFill="1" applyBorder="1" applyAlignment="1">
      <alignment wrapText="1"/>
    </xf>
    <xf numFmtId="0" fontId="55" fillId="0" borderId="6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0" fillId="36" borderId="0" xfId="0" applyFill="1" applyAlignment="1">
      <alignment wrapText="1"/>
    </xf>
    <xf numFmtId="0" fontId="55" fillId="0" borderId="7" xfId="0" applyFont="1" applyBorder="1" applyAlignment="1">
      <alignment wrapText="1"/>
    </xf>
    <xf numFmtId="0" fontId="32" fillId="0" borderId="0" xfId="0" applyFont="1" applyAlignment="1">
      <alignment wrapText="1"/>
    </xf>
    <xf numFmtId="0" fontId="22" fillId="0" borderId="0" xfId="2" applyFill="1" applyBorder="1" applyAlignment="1">
      <alignment wrapText="1"/>
    </xf>
    <xf numFmtId="0" fontId="21" fillId="0" borderId="8" xfId="4" applyBorder="1" applyAlignment="1">
      <alignment wrapText="1"/>
    </xf>
    <xf numFmtId="0" fontId="55" fillId="0" borderId="8" xfId="0" applyFont="1" applyBorder="1" applyAlignment="1">
      <alignment wrapText="1"/>
    </xf>
    <xf numFmtId="0" fontId="21" fillId="0" borderId="1" xfId="0" applyFont="1" applyBorder="1" applyAlignment="1">
      <alignment wrapText="1"/>
    </xf>
    <xf numFmtId="49" fontId="20" fillId="0" borderId="0" xfId="0" applyNumberFormat="1" applyFont="1" applyAlignment="1">
      <alignment wrapText="1"/>
    </xf>
    <xf numFmtId="49" fontId="0" fillId="36" borderId="0" xfId="0" applyNumberFormat="1" applyFill="1" applyAlignment="1">
      <alignment wrapText="1"/>
    </xf>
    <xf numFmtId="49" fontId="32" fillId="0" borderId="0" xfId="0" applyNumberFormat="1" applyFont="1" applyAlignment="1">
      <alignment wrapText="1"/>
    </xf>
    <xf numFmtId="49" fontId="61" fillId="0" borderId="0" xfId="0" applyNumberFormat="1" applyFont="1" applyAlignment="1">
      <alignment wrapText="1"/>
    </xf>
    <xf numFmtId="49" fontId="55" fillId="0" borderId="7" xfId="0" applyNumberFormat="1" applyFont="1" applyBorder="1" applyAlignment="1">
      <alignment wrapText="1"/>
    </xf>
    <xf numFmtId="49" fontId="31" fillId="0" borderId="0" xfId="0" applyNumberFormat="1" applyFont="1" applyAlignment="1">
      <alignment wrapText="1"/>
    </xf>
    <xf numFmtId="0" fontId="13" fillId="0" borderId="1" xfId="0" applyFont="1" applyBorder="1" applyAlignment="1">
      <alignment wrapText="1"/>
    </xf>
    <xf numFmtId="49" fontId="13" fillId="0" borderId="7" xfId="0" applyNumberFormat="1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49" fontId="11" fillId="0" borderId="7" xfId="0" applyNumberFormat="1" applyFont="1" applyBorder="1" applyAlignment="1">
      <alignment wrapText="1"/>
    </xf>
    <xf numFmtId="0" fontId="11" fillId="0" borderId="2" xfId="0" applyFont="1" applyBorder="1" applyAlignment="1">
      <alignment wrapText="1"/>
    </xf>
    <xf numFmtId="9" fontId="63" fillId="43" borderId="6" xfId="0" applyNumberFormat="1" applyFont="1" applyFill="1" applyBorder="1" applyAlignment="1">
      <alignment wrapText="1"/>
    </xf>
    <xf numFmtId="0" fontId="10" fillId="47" borderId="6" xfId="0" applyFont="1" applyFill="1" applyBorder="1" applyAlignment="1">
      <alignment wrapText="1"/>
    </xf>
    <xf numFmtId="0" fontId="10" fillId="0" borderId="7" xfId="0" applyFont="1" applyBorder="1" applyAlignment="1">
      <alignment wrapText="1"/>
    </xf>
    <xf numFmtId="9" fontId="63" fillId="41" borderId="6" xfId="9" applyFont="1" applyFill="1" applyBorder="1" applyAlignment="1">
      <alignment wrapText="1"/>
    </xf>
    <xf numFmtId="0" fontId="63" fillId="46" borderId="7" xfId="4" applyFont="1" applyFill="1" applyBorder="1" applyAlignment="1">
      <alignment wrapText="1"/>
    </xf>
    <xf numFmtId="49" fontId="63" fillId="0" borderId="7" xfId="17" applyNumberFormat="1" applyFont="1" applyFill="1" applyBorder="1" applyAlignment="1">
      <alignment wrapText="1"/>
    </xf>
    <xf numFmtId="0" fontId="63" fillId="42" borderId="1" xfId="0" applyFont="1" applyFill="1" applyBorder="1" applyAlignment="1">
      <alignment wrapText="1"/>
    </xf>
    <xf numFmtId="0" fontId="63" fillId="47" borderId="6" xfId="0" applyFont="1" applyFill="1" applyBorder="1" applyAlignment="1">
      <alignment wrapText="1"/>
    </xf>
    <xf numFmtId="0" fontId="63" fillId="40" borderId="1" xfId="0" applyFont="1" applyFill="1" applyBorder="1" applyAlignment="1">
      <alignment wrapText="1"/>
    </xf>
    <xf numFmtId="0" fontId="9" fillId="0" borderId="7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3" fillId="0" borderId="0" xfId="0" applyFont="1" applyAlignment="1">
      <alignment horizontal="left"/>
    </xf>
    <xf numFmtId="0" fontId="7" fillId="0" borderId="7" xfId="0" applyFont="1" applyBorder="1" applyAlignment="1">
      <alignment wrapText="1"/>
    </xf>
    <xf numFmtId="168" fontId="63" fillId="0" borderId="0" xfId="0" applyNumberFormat="1" applyFont="1"/>
    <xf numFmtId="0" fontId="6" fillId="0" borderId="7" xfId="0" applyFont="1" applyBorder="1" applyAlignment="1">
      <alignment wrapText="1"/>
    </xf>
    <xf numFmtId="49" fontId="6" fillId="0" borderId="7" xfId="0" applyNumberFormat="1" applyFont="1" applyBorder="1" applyAlignment="1">
      <alignment wrapText="1"/>
    </xf>
    <xf numFmtId="0" fontId="6" fillId="0" borderId="2" xfId="0" applyFont="1" applyBorder="1" applyAlignment="1">
      <alignment wrapText="1"/>
    </xf>
    <xf numFmtId="9" fontId="63" fillId="0" borderId="6" xfId="9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7" fillId="0" borderId="6" xfId="4" applyFont="1" applyBorder="1" applyAlignment="1">
      <alignment wrapText="1"/>
    </xf>
    <xf numFmtId="0" fontId="67" fillId="0" borderId="7" xfId="4" applyFont="1" applyBorder="1" applyAlignment="1">
      <alignment wrapText="1"/>
    </xf>
    <xf numFmtId="49" fontId="67" fillId="0" borderId="7" xfId="4" applyNumberFormat="1" applyFont="1" applyBorder="1" applyAlignment="1">
      <alignment wrapText="1"/>
    </xf>
    <xf numFmtId="0" fontId="67" fillId="0" borderId="2" xfId="4" applyFont="1" applyBorder="1" applyAlignment="1">
      <alignment wrapText="1"/>
    </xf>
    <xf numFmtId="0" fontId="67" fillId="0" borderId="1" xfId="4" applyFont="1" applyBorder="1" applyAlignment="1">
      <alignment wrapText="1"/>
    </xf>
    <xf numFmtId="9" fontId="63" fillId="47" borderId="6" xfId="9" applyFont="1" applyFill="1" applyBorder="1" applyAlignment="1">
      <alignment wrapText="1"/>
    </xf>
    <xf numFmtId="0" fontId="22" fillId="0" borderId="0" xfId="2"/>
    <xf numFmtId="0" fontId="67" fillId="0" borderId="8" xfId="4" applyFont="1" applyBorder="1" applyAlignment="1">
      <alignment wrapText="1"/>
    </xf>
    <xf numFmtId="0" fontId="4" fillId="0" borderId="2" xfId="4" applyFont="1" applyBorder="1" applyAlignment="1">
      <alignment wrapText="1"/>
    </xf>
    <xf numFmtId="0" fontId="68" fillId="0" borderId="6" xfId="0" applyFont="1" applyBorder="1" applyAlignment="1">
      <alignment wrapText="1"/>
    </xf>
    <xf numFmtId="0" fontId="68" fillId="0" borderId="7" xfId="0" applyFont="1" applyBorder="1" applyAlignment="1">
      <alignment wrapText="1"/>
    </xf>
    <xf numFmtId="0" fontId="68" fillId="0" borderId="8" xfId="0" applyFont="1" applyBorder="1" applyAlignment="1">
      <alignment wrapText="1"/>
    </xf>
    <xf numFmtId="49" fontId="68" fillId="0" borderId="7" xfId="0" applyNumberFormat="1" applyFont="1" applyBorder="1" applyAlignment="1">
      <alignment wrapText="1"/>
    </xf>
    <xf numFmtId="0" fontId="68" fillId="0" borderId="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8" fillId="47" borderId="6" xfId="0" applyFont="1" applyFill="1" applyBorder="1" applyAlignment="1">
      <alignment wrapText="1"/>
    </xf>
    <xf numFmtId="0" fontId="2" fillId="42" borderId="2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69" fillId="0" borderId="7" xfId="0" applyFont="1" applyBorder="1" applyAlignment="1">
      <alignment wrapText="1"/>
    </xf>
    <xf numFmtId="0" fontId="69" fillId="0" borderId="8" xfId="0" applyFont="1" applyBorder="1" applyAlignment="1">
      <alignment wrapText="1"/>
    </xf>
    <xf numFmtId="49" fontId="69" fillId="0" borderId="7" xfId="0" applyNumberFormat="1" applyFont="1" applyBorder="1" applyAlignment="1">
      <alignment wrapText="1"/>
    </xf>
    <xf numFmtId="0" fontId="69" fillId="0" borderId="21" xfId="0" applyFont="1" applyBorder="1" applyAlignment="1">
      <alignment wrapText="1"/>
    </xf>
    <xf numFmtId="0" fontId="69" fillId="0" borderId="20" xfId="4" applyFont="1" applyBorder="1" applyAlignment="1">
      <alignment wrapText="1"/>
    </xf>
    <xf numFmtId="9" fontId="69" fillId="0" borderId="21" xfId="0" applyNumberFormat="1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69" fillId="0" borderId="6" xfId="0" applyFont="1" applyBorder="1" applyAlignment="1">
      <alignment wrapText="1"/>
    </xf>
    <xf numFmtId="0" fontId="69" fillId="0" borderId="2" xfId="0" applyFont="1" applyBorder="1" applyAlignment="1">
      <alignment wrapText="1"/>
    </xf>
    <xf numFmtId="0" fontId="69" fillId="0" borderId="1" xfId="0" applyFont="1" applyBorder="1" applyAlignment="1">
      <alignment wrapText="1"/>
    </xf>
    <xf numFmtId="0" fontId="21" fillId="0" borderId="22" xfId="5" applyBorder="1"/>
    <xf numFmtId="14" fontId="0" fillId="0" borderId="0" xfId="6" applyNumberFormat="1" applyFont="1" applyBorder="1"/>
    <xf numFmtId="0" fontId="1" fillId="39" borderId="2" xfId="0" applyFont="1" applyFill="1" applyBorder="1" applyAlignment="1">
      <alignment wrapText="1"/>
    </xf>
    <xf numFmtId="0" fontId="1" fillId="39" borderId="1" xfId="0" applyFont="1" applyFill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0" fontId="70" fillId="39" borderId="2" xfId="0" applyFont="1" applyFill="1" applyBorder="1" applyAlignment="1">
      <alignment wrapText="1"/>
    </xf>
    <xf numFmtId="0" fontId="70" fillId="0" borderId="6" xfId="0" applyFont="1" applyBorder="1" applyAlignment="1">
      <alignment wrapText="1"/>
    </xf>
    <xf numFmtId="0" fontId="70" fillId="0" borderId="7" xfId="0" applyFont="1" applyBorder="1" applyAlignment="1">
      <alignment wrapText="1"/>
    </xf>
    <xf numFmtId="0" fontId="70" fillId="0" borderId="8" xfId="0" applyFont="1" applyBorder="1" applyAlignment="1">
      <alignment wrapText="1"/>
    </xf>
    <xf numFmtId="49" fontId="70" fillId="0" borderId="7" xfId="0" applyNumberFormat="1" applyFont="1" applyBorder="1" applyAlignment="1">
      <alignment wrapText="1"/>
    </xf>
    <xf numFmtId="0" fontId="70" fillId="0" borderId="2" xfId="0" applyFont="1" applyBorder="1" applyAlignment="1">
      <alignment wrapText="1"/>
    </xf>
    <xf numFmtId="0" fontId="70" fillId="0" borderId="0" xfId="0" applyFont="1"/>
    <xf numFmtId="165" fontId="70" fillId="0" borderId="0" xfId="0" applyNumberFormat="1" applyFont="1"/>
    <xf numFmtId="0" fontId="1" fillId="0" borderId="0" xfId="0" applyFont="1" applyAlignment="1">
      <alignment horizontal="left"/>
    </xf>
    <xf numFmtId="165" fontId="70" fillId="0" borderId="0" xfId="1" applyFont="1"/>
    <xf numFmtId="9" fontId="70" fillId="48" borderId="6" xfId="0" applyNumberFormat="1" applyFont="1" applyFill="1" applyBorder="1" applyAlignment="1">
      <alignment wrapText="1"/>
    </xf>
    <xf numFmtId="165" fontId="21" fillId="0" borderId="0" xfId="6" applyFont="1"/>
    <xf numFmtId="165" fontId="21" fillId="0" borderId="0" xfId="6" applyFont="1" applyFill="1"/>
    <xf numFmtId="14" fontId="54" fillId="0" borderId="0" xfId="5" applyNumberFormat="1" applyFont="1" applyAlignment="1">
      <alignment wrapText="1"/>
    </xf>
    <xf numFmtId="14" fontId="21" fillId="0" borderId="18" xfId="5" applyNumberFormat="1" applyBorder="1" applyAlignment="1">
      <alignment wrapText="1"/>
    </xf>
    <xf numFmtId="165" fontId="21" fillId="0" borderId="0" xfId="6" applyFont="1" applyBorder="1"/>
    <xf numFmtId="165" fontId="21" fillId="0" borderId="0" xfId="6" applyFont="1" applyFill="1" applyBorder="1"/>
    <xf numFmtId="0" fontId="0" fillId="0" borderId="0" xfId="5" applyFont="1" applyAlignment="1">
      <alignment horizontal="left"/>
    </xf>
    <xf numFmtId="14" fontId="21" fillId="0" borderId="0" xfId="6" applyNumberFormat="1" applyFont="1" applyAlignment="1">
      <alignment wrapText="1"/>
    </xf>
    <xf numFmtId="165" fontId="21" fillId="0" borderId="0" xfId="6" applyFont="1" applyAlignment="1">
      <alignment wrapText="1"/>
    </xf>
    <xf numFmtId="165" fontId="21" fillId="0" borderId="0" xfId="6" applyFont="1" applyFill="1" applyAlignment="1">
      <alignment wrapText="1"/>
    </xf>
    <xf numFmtId="0" fontId="65" fillId="44" borderId="0" xfId="0" applyFont="1" applyFill="1" applyAlignment="1">
      <alignment wrapText="1"/>
    </xf>
    <xf numFmtId="14" fontId="21" fillId="0" borderId="0" xfId="6" applyNumberFormat="1" applyFont="1" applyBorder="1" applyAlignment="1">
      <alignment wrapText="1"/>
    </xf>
    <xf numFmtId="0" fontId="65" fillId="45" borderId="0" xfId="0" applyFont="1" applyFill="1" applyAlignment="1">
      <alignment wrapText="1"/>
    </xf>
    <xf numFmtId="0" fontId="66" fillId="45" borderId="0" xfId="0" applyFont="1" applyFill="1" applyAlignment="1">
      <alignment wrapText="1"/>
    </xf>
    <xf numFmtId="0" fontId="54" fillId="0" borderId="0" xfId="0" applyFont="1" applyAlignment="1">
      <alignment wrapText="1"/>
    </xf>
    <xf numFmtId="0" fontId="21" fillId="0" borderId="0" xfId="18" applyAlignment="1">
      <alignment vertical="top" wrapText="1"/>
    </xf>
    <xf numFmtId="0" fontId="24" fillId="0" borderId="0" xfId="0" applyFont="1" applyAlignment="1">
      <alignment wrapText="1"/>
    </xf>
    <xf numFmtId="0" fontId="70" fillId="0" borderId="0" xfId="5" applyFont="1"/>
    <xf numFmtId="0" fontId="0" fillId="39" borderId="2" xfId="0" applyFill="1" applyBorder="1" applyAlignment="1">
      <alignment wrapText="1"/>
    </xf>
    <xf numFmtId="0" fontId="0" fillId="39" borderId="1" xfId="0" applyFill="1" applyBorder="1" applyAlignment="1">
      <alignment wrapText="1"/>
    </xf>
    <xf numFmtId="9" fontId="0" fillId="48" borderId="6" xfId="0" applyNumberFormat="1" applyFill="1" applyBorder="1" applyAlignment="1">
      <alignment wrapText="1"/>
    </xf>
    <xf numFmtId="9" fontId="71" fillId="48" borderId="6" xfId="0" applyNumberFormat="1" applyFont="1" applyFill="1" applyBorder="1" applyAlignment="1">
      <alignment wrapText="1"/>
    </xf>
    <xf numFmtId="0" fontId="71" fillId="0" borderId="6" xfId="0" applyFont="1" applyBorder="1" applyAlignment="1">
      <alignment wrapText="1"/>
    </xf>
    <xf numFmtId="0" fontId="71" fillId="0" borderId="7" xfId="0" applyFont="1" applyBorder="1" applyAlignment="1">
      <alignment wrapText="1"/>
    </xf>
    <xf numFmtId="0" fontId="71" fillId="0" borderId="8" xfId="0" applyFont="1" applyBorder="1" applyAlignment="1">
      <alignment wrapText="1"/>
    </xf>
    <xf numFmtId="49" fontId="71" fillId="0" borderId="7" xfId="0" applyNumberFormat="1" applyFont="1" applyBorder="1" applyAlignment="1">
      <alignment wrapText="1"/>
    </xf>
    <xf numFmtId="0" fontId="71" fillId="0" borderId="2" xfId="0" applyFont="1" applyBorder="1" applyAlignment="1">
      <alignment wrapText="1"/>
    </xf>
    <xf numFmtId="165" fontId="71" fillId="0" borderId="0" xfId="0" applyNumberFormat="1" applyFont="1"/>
    <xf numFmtId="0" fontId="1" fillId="0" borderId="1" xfId="0" applyFont="1" applyBorder="1" applyAlignment="1">
      <alignment wrapText="1"/>
    </xf>
    <xf numFmtId="9" fontId="0" fillId="49" borderId="6" xfId="0" applyNumberFormat="1" applyFill="1" applyBorder="1" applyAlignment="1">
      <alignment wrapText="1"/>
    </xf>
    <xf numFmtId="9" fontId="63" fillId="49" borderId="6" xfId="0" applyNumberFormat="1" applyFont="1" applyFill="1" applyBorder="1" applyAlignment="1">
      <alignment wrapText="1"/>
    </xf>
    <xf numFmtId="9" fontId="63" fillId="2" borderId="6" xfId="0" applyNumberFormat="1" applyFont="1" applyFill="1" applyBorder="1" applyAlignment="1">
      <alignment wrapText="1"/>
    </xf>
    <xf numFmtId="165" fontId="73" fillId="0" borderId="0" xfId="0" applyNumberFormat="1" applyFont="1"/>
    <xf numFmtId="0" fontId="73" fillId="0" borderId="6" xfId="0" applyFont="1" applyBorder="1" applyAlignment="1">
      <alignment wrapText="1"/>
    </xf>
    <xf numFmtId="0" fontId="73" fillId="0" borderId="7" xfId="0" applyFont="1" applyBorder="1" applyAlignment="1">
      <alignment wrapText="1"/>
    </xf>
    <xf numFmtId="0" fontId="73" fillId="0" borderId="8" xfId="0" applyFont="1" applyBorder="1" applyAlignment="1">
      <alignment wrapText="1"/>
    </xf>
    <xf numFmtId="49" fontId="73" fillId="0" borderId="7" xfId="0" applyNumberFormat="1" applyFont="1" applyBorder="1" applyAlignment="1">
      <alignment wrapText="1"/>
    </xf>
    <xf numFmtId="0" fontId="73" fillId="0" borderId="0" xfId="0" applyFont="1" applyAlignment="1">
      <alignment horizontal="left"/>
    </xf>
    <xf numFmtId="0" fontId="73" fillId="0" borderId="0" xfId="0" applyFont="1"/>
    <xf numFmtId="0" fontId="73" fillId="39" borderId="2" xfId="0" applyFont="1" applyFill="1" applyBorder="1" applyAlignment="1">
      <alignment wrapText="1"/>
    </xf>
    <xf numFmtId="0" fontId="73" fillId="39" borderId="1" xfId="0" applyFont="1" applyFill="1" applyBorder="1" applyAlignment="1">
      <alignment wrapText="1"/>
    </xf>
    <xf numFmtId="0" fontId="73" fillId="0" borderId="2" xfId="0" applyFont="1" applyBorder="1" applyAlignment="1">
      <alignment wrapText="1"/>
    </xf>
    <xf numFmtId="9" fontId="0" fillId="2" borderId="6" xfId="0" applyNumberFormat="1" applyFill="1" applyBorder="1" applyAlignment="1">
      <alignment wrapText="1"/>
    </xf>
    <xf numFmtId="165" fontId="74" fillId="0" borderId="0" xfId="6" applyFont="1"/>
    <xf numFmtId="14" fontId="74" fillId="0" borderId="0" xfId="5" applyNumberFormat="1" applyFont="1"/>
    <xf numFmtId="0" fontId="75" fillId="39" borderId="2" xfId="0" applyFont="1" applyFill="1" applyBorder="1" applyAlignment="1">
      <alignment wrapText="1"/>
    </xf>
    <xf numFmtId="0" fontId="75" fillId="39" borderId="1" xfId="0" applyFont="1" applyFill="1" applyBorder="1" applyAlignment="1">
      <alignment wrapText="1"/>
    </xf>
    <xf numFmtId="0" fontId="75" fillId="0" borderId="6" xfId="0" applyFont="1" applyBorder="1" applyAlignment="1">
      <alignment wrapText="1"/>
    </xf>
    <xf numFmtId="0" fontId="75" fillId="0" borderId="7" xfId="0" applyFont="1" applyBorder="1" applyAlignment="1">
      <alignment wrapText="1"/>
    </xf>
    <xf numFmtId="49" fontId="75" fillId="0" borderId="7" xfId="0" applyNumberFormat="1" applyFont="1" applyBorder="1" applyAlignment="1">
      <alignment wrapText="1"/>
    </xf>
    <xf numFmtId="0" fontId="1" fillId="0" borderId="7" xfId="0" quotePrefix="1" applyFont="1" applyBorder="1" applyAlignment="1">
      <alignment wrapText="1"/>
    </xf>
    <xf numFmtId="165" fontId="75" fillId="0" borderId="0" xfId="6" applyFont="1"/>
    <xf numFmtId="14" fontId="75" fillId="0" borderId="0" xfId="5" applyNumberFormat="1" applyFont="1"/>
    <xf numFmtId="14" fontId="76" fillId="0" borderId="0" xfId="5" applyNumberFormat="1" applyFont="1"/>
    <xf numFmtId="16" fontId="21" fillId="0" borderId="0" xfId="5" applyNumberFormat="1"/>
    <xf numFmtId="0" fontId="0" fillId="0" borderId="0" xfId="4" applyFont="1"/>
    <xf numFmtId="0" fontId="77" fillId="0" borderId="6" xfId="0" applyFont="1" applyBorder="1" applyAlignment="1">
      <alignment wrapText="1"/>
    </xf>
    <xf numFmtId="0" fontId="77" fillId="0" borderId="7" xfId="0" applyFont="1" applyBorder="1" applyAlignment="1">
      <alignment wrapText="1"/>
    </xf>
    <xf numFmtId="0" fontId="77" fillId="0" borderId="8" xfId="0" applyFont="1" applyBorder="1" applyAlignment="1">
      <alignment wrapText="1"/>
    </xf>
    <xf numFmtId="165" fontId="77" fillId="0" borderId="0" xfId="0" applyNumberFormat="1" applyFont="1"/>
    <xf numFmtId="0" fontId="77" fillId="0" borderId="0" xfId="0" applyFont="1"/>
    <xf numFmtId="0" fontId="77" fillId="39" borderId="2" xfId="0" applyFont="1" applyFill="1" applyBorder="1" applyAlignment="1">
      <alignment wrapText="1"/>
    </xf>
    <xf numFmtId="49" fontId="77" fillId="0" borderId="7" xfId="0" applyNumberFormat="1" applyFont="1" applyBorder="1" applyAlignment="1">
      <alignment wrapText="1"/>
    </xf>
    <xf numFmtId="0" fontId="77" fillId="0" borderId="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7" xfId="0" quotePrefix="1" applyBorder="1" applyAlignment="1">
      <alignment wrapText="1"/>
    </xf>
    <xf numFmtId="0" fontId="77" fillId="39" borderId="1" xfId="0" applyFont="1" applyFill="1" applyBorder="1" applyAlignment="1">
      <alignment wrapText="1"/>
    </xf>
    <xf numFmtId="9" fontId="77" fillId="48" borderId="6" xfId="0" applyNumberFormat="1" applyFont="1" applyFill="1" applyBorder="1" applyAlignment="1">
      <alignment wrapText="1"/>
    </xf>
    <xf numFmtId="0" fontId="77" fillId="0" borderId="0" xfId="0" applyFont="1" applyAlignment="1">
      <alignment horizontal="left"/>
    </xf>
    <xf numFmtId="9" fontId="21" fillId="48" borderId="6" xfId="0" applyNumberFormat="1" applyFont="1" applyFill="1" applyBorder="1" applyAlignment="1">
      <alignment wrapText="1"/>
    </xf>
    <xf numFmtId="0" fontId="22" fillId="0" borderId="2" xfId="2" applyFill="1" applyBorder="1" applyAlignment="1">
      <alignment wrapText="1"/>
    </xf>
    <xf numFmtId="171" fontId="0" fillId="0" borderId="7" xfId="0" applyNumberFormat="1" applyBorder="1" applyAlignment="1">
      <alignment wrapText="1"/>
    </xf>
    <xf numFmtId="0" fontId="0" fillId="39" borderId="2" xfId="304" applyFont="1" applyFill="1" applyBorder="1" applyAlignment="1">
      <alignment wrapText="1"/>
    </xf>
    <xf numFmtId="0" fontId="0" fillId="0" borderId="7" xfId="304" applyFont="1" applyBorder="1" applyAlignment="1">
      <alignment wrapText="1"/>
    </xf>
    <xf numFmtId="0" fontId="0" fillId="0" borderId="8" xfId="304" applyFont="1" applyBorder="1" applyAlignment="1">
      <alignment wrapText="1"/>
    </xf>
    <xf numFmtId="0" fontId="77" fillId="0" borderId="7" xfId="304" applyFont="1" applyBorder="1" applyAlignment="1">
      <alignment wrapText="1"/>
    </xf>
    <xf numFmtId="49" fontId="21" fillId="0" borderId="7" xfId="304" applyNumberFormat="1" applyBorder="1" applyAlignment="1">
      <alignment wrapText="1"/>
    </xf>
    <xf numFmtId="0" fontId="0" fillId="0" borderId="2" xfId="304" applyFont="1" applyBorder="1" applyAlignment="1">
      <alignment wrapText="1"/>
    </xf>
    <xf numFmtId="49" fontId="21" fillId="0" borderId="7" xfId="0" applyNumberFormat="1" applyFont="1" applyBorder="1" applyAlignment="1">
      <alignment wrapText="1"/>
    </xf>
    <xf numFmtId="0" fontId="77" fillId="39" borderId="2" xfId="304" applyFont="1" applyFill="1" applyBorder="1" applyAlignment="1">
      <alignment wrapText="1"/>
    </xf>
    <xf numFmtId="9" fontId="1" fillId="48" borderId="6" xfId="0" applyNumberFormat="1" applyFont="1" applyFill="1" applyBorder="1" applyAlignment="1">
      <alignment wrapText="1"/>
    </xf>
    <xf numFmtId="0" fontId="22" fillId="0" borderId="7" xfId="2" applyFill="1" applyBorder="1" applyAlignment="1">
      <alignment vertical="center" wrapText="1"/>
    </xf>
    <xf numFmtId="165" fontId="79" fillId="0" borderId="0" xfId="6" applyFont="1"/>
    <xf numFmtId="14" fontId="79" fillId="0" borderId="0" xfId="5" applyNumberFormat="1" applyFont="1"/>
    <xf numFmtId="172" fontId="21" fillId="0" borderId="0" xfId="6" applyNumberFormat="1" applyFont="1" applyBorder="1"/>
    <xf numFmtId="172" fontId="21" fillId="0" borderId="0" xfId="6" applyNumberFormat="1" applyFont="1" applyFill="1" applyBorder="1"/>
    <xf numFmtId="172" fontId="0" fillId="0" borderId="0" xfId="302" applyNumberFormat="1" applyFont="1" applyBorder="1"/>
    <xf numFmtId="172" fontId="21" fillId="0" borderId="0" xfId="5" applyNumberFormat="1"/>
    <xf numFmtId="172" fontId="0" fillId="0" borderId="0" xfId="0" applyNumberFormat="1"/>
    <xf numFmtId="172" fontId="0" fillId="0" borderId="0" xfId="6" applyNumberFormat="1" applyFont="1" applyFill="1" applyAlignment="1">
      <alignment wrapText="1"/>
    </xf>
    <xf numFmtId="172" fontId="0" fillId="0" borderId="0" xfId="6" applyNumberFormat="1" applyFont="1" applyAlignment="1">
      <alignment wrapText="1"/>
    </xf>
    <xf numFmtId="172" fontId="0" fillId="0" borderId="0" xfId="302" applyNumberFormat="1" applyFont="1"/>
    <xf numFmtId="172" fontId="21" fillId="0" borderId="0" xfId="1" applyNumberFormat="1"/>
    <xf numFmtId="172" fontId="0" fillId="0" borderId="0" xfId="302" applyNumberFormat="1" applyFont="1" applyFill="1"/>
    <xf numFmtId="165" fontId="79" fillId="0" borderId="0" xfId="0" applyNumberFormat="1" applyFont="1"/>
    <xf numFmtId="0" fontId="80" fillId="0" borderId="0" xfId="5" applyFont="1" applyAlignment="1">
      <alignment wrapText="1"/>
    </xf>
    <xf numFmtId="0" fontId="0" fillId="3" borderId="0" xfId="0" applyFill="1"/>
    <xf numFmtId="0" fontId="0" fillId="51" borderId="0" xfId="5" applyFont="1" applyFill="1" applyAlignment="1">
      <alignment wrapText="1"/>
    </xf>
    <xf numFmtId="0" fontId="21" fillId="0" borderId="23" xfId="5" applyBorder="1"/>
    <xf numFmtId="0" fontId="21" fillId="0" borderId="7" xfId="5" applyBorder="1"/>
    <xf numFmtId="0" fontId="0" fillId="0" borderId="6" xfId="5" applyFont="1" applyBorder="1" applyAlignment="1">
      <alignment wrapText="1"/>
    </xf>
    <xf numFmtId="165" fontId="0" fillId="50" borderId="0" xfId="6" applyFont="1" applyFill="1" applyBorder="1" applyAlignment="1"/>
    <xf numFmtId="165" fontId="21" fillId="0" borderId="6" xfId="6" applyFont="1" applyBorder="1"/>
    <xf numFmtId="0" fontId="0" fillId="0" borderId="23" xfId="5" applyFont="1" applyBorder="1" applyAlignment="1">
      <alignment wrapText="1"/>
    </xf>
    <xf numFmtId="165" fontId="79" fillId="0" borderId="0" xfId="6" applyFont="1" applyBorder="1"/>
    <xf numFmtId="0" fontId="0" fillId="0" borderId="7" xfId="5" applyFont="1" applyBorder="1" applyAlignment="1">
      <alignment wrapText="1"/>
    </xf>
    <xf numFmtId="165" fontId="81" fillId="0" borderId="0" xfId="6" applyFont="1" applyBorder="1"/>
    <xf numFmtId="14" fontId="81" fillId="0" borderId="0" xfId="5" applyNumberFormat="1" applyFont="1"/>
    <xf numFmtId="0" fontId="82" fillId="0" borderId="6" xfId="0" applyFont="1" applyBorder="1" applyAlignment="1">
      <alignment wrapText="1"/>
    </xf>
    <xf numFmtId="0" fontId="82" fillId="0" borderId="7" xfId="0" applyFont="1" applyBorder="1" applyAlignment="1">
      <alignment wrapText="1"/>
    </xf>
    <xf numFmtId="0" fontId="82" fillId="0" borderId="8" xfId="0" applyFont="1" applyBorder="1" applyAlignment="1">
      <alignment wrapText="1"/>
    </xf>
    <xf numFmtId="49" fontId="82" fillId="0" borderId="7" xfId="0" applyNumberFormat="1" applyFont="1" applyBorder="1" applyAlignment="1">
      <alignment wrapText="1"/>
    </xf>
    <xf numFmtId="0" fontId="82" fillId="0" borderId="2" xfId="0" applyFont="1" applyBorder="1" applyAlignment="1">
      <alignment wrapText="1"/>
    </xf>
    <xf numFmtId="165" fontId="83" fillId="0" borderId="0" xfId="0" applyNumberFormat="1" applyFont="1"/>
    <xf numFmtId="0" fontId="83" fillId="0" borderId="6" xfId="0" applyFont="1" applyFill="1" applyBorder="1" applyAlignment="1">
      <alignment wrapText="1"/>
    </xf>
    <xf numFmtId="0" fontId="83" fillId="0" borderId="7" xfId="0" applyFont="1" applyFill="1" applyBorder="1" applyAlignment="1">
      <alignment wrapText="1"/>
    </xf>
    <xf numFmtId="0" fontId="83" fillId="0" borderId="8" xfId="0" applyFont="1" applyFill="1" applyBorder="1" applyAlignment="1">
      <alignment wrapText="1"/>
    </xf>
    <xf numFmtId="49" fontId="83" fillId="0" borderId="7" xfId="0" applyNumberFormat="1" applyFont="1" applyFill="1" applyBorder="1" applyAlignment="1">
      <alignment wrapText="1"/>
    </xf>
    <xf numFmtId="0" fontId="83" fillId="0" borderId="2" xfId="0" applyFont="1" applyFill="1" applyBorder="1" applyAlignment="1">
      <alignment wrapText="1"/>
    </xf>
    <xf numFmtId="0" fontId="1" fillId="0" borderId="7" xfId="0" applyFont="1" applyFill="1" applyBorder="1" applyAlignment="1">
      <alignment wrapText="1"/>
    </xf>
    <xf numFmtId="0" fontId="83" fillId="0" borderId="0" xfId="0" applyFont="1" applyFill="1"/>
    <xf numFmtId="0" fontId="83" fillId="0" borderId="0" xfId="0" applyNumberFormat="1" applyFont="1" applyFill="1"/>
    <xf numFmtId="165" fontId="83" fillId="0" borderId="0" xfId="0" applyNumberFormat="1" applyFont="1" applyFill="1"/>
    <xf numFmtId="0" fontId="21" fillId="0" borderId="0" xfId="5" applyNumberFormat="1"/>
    <xf numFmtId="0" fontId="1" fillId="0" borderId="0" xfId="0" applyFont="1" applyFill="1" applyAlignment="1">
      <alignment horizontal="left"/>
    </xf>
    <xf numFmtId="0" fontId="0" fillId="39" borderId="2" xfId="0" applyFont="1" applyFill="1" applyBorder="1" applyAlignment="1">
      <alignment wrapText="1"/>
    </xf>
    <xf numFmtId="0" fontId="0" fillId="0" borderId="7" xfId="0" applyFont="1" applyFill="1" applyBorder="1" applyAlignment="1">
      <alignment wrapText="1"/>
    </xf>
    <xf numFmtId="0" fontId="0" fillId="0" borderId="8" xfId="0" applyFont="1" applyFill="1" applyBorder="1" applyAlignment="1">
      <alignment wrapText="1"/>
    </xf>
    <xf numFmtId="49" fontId="0" fillId="0" borderId="7" xfId="0" applyNumberFormat="1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0" fontId="21" fillId="0" borderId="0" xfId="5" applyBorder="1"/>
    <xf numFmtId="0" fontId="21" fillId="0" borderId="0" xfId="5" applyBorder="1" applyAlignment="1">
      <alignment wrapText="1"/>
    </xf>
    <xf numFmtId="14" fontId="21" fillId="0" borderId="0" xfId="5" applyNumberFormat="1" applyBorder="1" applyAlignment="1">
      <alignment wrapText="1"/>
    </xf>
    <xf numFmtId="14" fontId="21" fillId="0" borderId="0" xfId="5" applyNumberFormat="1" applyBorder="1"/>
    <xf numFmtId="0" fontId="84" fillId="39" borderId="2" xfId="0" applyFont="1" applyFill="1" applyBorder="1" applyAlignment="1">
      <alignment wrapText="1"/>
    </xf>
    <xf numFmtId="0" fontId="84" fillId="0" borderId="6" xfId="0" applyFont="1" applyFill="1" applyBorder="1" applyAlignment="1">
      <alignment wrapText="1"/>
    </xf>
    <xf numFmtId="0" fontId="84" fillId="0" borderId="7" xfId="0" applyFont="1" applyFill="1" applyBorder="1" applyAlignment="1">
      <alignment wrapText="1"/>
    </xf>
    <xf numFmtId="0" fontId="84" fillId="0" borderId="8" xfId="0" applyFont="1" applyFill="1" applyBorder="1" applyAlignment="1">
      <alignment wrapText="1"/>
    </xf>
    <xf numFmtId="0" fontId="84" fillId="0" borderId="2" xfId="0" applyFont="1" applyFill="1" applyBorder="1" applyAlignment="1">
      <alignment wrapText="1"/>
    </xf>
    <xf numFmtId="0" fontId="0" fillId="39" borderId="1" xfId="0" applyFont="1" applyFill="1" applyBorder="1" applyAlignment="1">
      <alignment wrapText="1"/>
    </xf>
    <xf numFmtId="9" fontId="0" fillId="48" borderId="6" xfId="0" applyNumberFormat="1" applyFont="1" applyFill="1" applyBorder="1" applyAlignment="1">
      <alignment wrapText="1"/>
    </xf>
    <xf numFmtId="0" fontId="0" fillId="0" borderId="6" xfId="0" applyFont="1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49" fontId="84" fillId="0" borderId="7" xfId="0" applyNumberFormat="1" applyFont="1" applyFill="1" applyBorder="1" applyAlignment="1">
      <alignment wrapText="1"/>
    </xf>
    <xf numFmtId="0" fontId="21" fillId="0" borderId="0" xfId="5" applyFill="1" applyBorder="1" applyAlignment="1">
      <alignment wrapText="1"/>
    </xf>
    <xf numFmtId="0" fontId="21" fillId="0" borderId="0" xfId="5" applyBorder="1" applyAlignment="1">
      <alignment horizontal="left"/>
    </xf>
    <xf numFmtId="172" fontId="21" fillId="0" borderId="0" xfId="5" applyNumberFormat="1" applyBorder="1"/>
    <xf numFmtId="0" fontId="0" fillId="0" borderId="0" xfId="0" applyBorder="1"/>
    <xf numFmtId="0" fontId="0" fillId="0" borderId="0" xfId="5" applyFont="1" applyBorder="1" applyAlignment="1">
      <alignment wrapText="1"/>
    </xf>
    <xf numFmtId="14" fontId="21" fillId="36" borderId="0" xfId="5" applyNumberFormat="1" applyFill="1" applyBorder="1"/>
    <xf numFmtId="0" fontId="21" fillId="0" borderId="0" xfId="5" applyFill="1" applyBorder="1"/>
    <xf numFmtId="0" fontId="0" fillId="0" borderId="0" xfId="5" applyFont="1" applyFill="1" applyAlignment="1">
      <alignment wrapText="1"/>
    </xf>
    <xf numFmtId="14" fontId="0" fillId="0" borderId="0" xfId="0" applyNumberFormat="1" applyFill="1" applyAlignment="1">
      <alignment wrapText="1"/>
    </xf>
    <xf numFmtId="172" fontId="0" fillId="0" borderId="0" xfId="0" applyNumberFormat="1" applyFill="1"/>
    <xf numFmtId="0" fontId="0" fillId="47" borderId="2" xfId="0" applyFill="1" applyBorder="1" applyAlignment="1">
      <alignment wrapText="1"/>
    </xf>
    <xf numFmtId="0" fontId="0" fillId="46" borderId="2" xfId="0" applyFill="1" applyBorder="1" applyAlignment="1">
      <alignment wrapText="1"/>
    </xf>
    <xf numFmtId="9" fontId="0" fillId="0" borderId="3" xfId="0" applyNumberFormat="1" applyBorder="1" applyAlignment="1">
      <alignment wrapText="1"/>
    </xf>
    <xf numFmtId="9" fontId="53" fillId="0" borderId="0" xfId="0" applyNumberFormat="1" applyFont="1" applyFill="1" applyBorder="1" applyAlignment="1">
      <alignment wrapText="1"/>
    </xf>
    <xf numFmtId="9" fontId="0" fillId="0" borderId="1" xfId="0" applyNumberFormat="1" applyFill="1" applyBorder="1" applyAlignment="1">
      <alignment wrapText="1"/>
    </xf>
    <xf numFmtId="9" fontId="50" fillId="0" borderId="1" xfId="0" applyNumberFormat="1" applyFont="1" applyFill="1" applyBorder="1" applyAlignment="1">
      <alignment wrapText="1"/>
    </xf>
    <xf numFmtId="9" fontId="56" fillId="0" borderId="1" xfId="0" applyNumberFormat="1" applyFont="1" applyFill="1" applyBorder="1" applyAlignment="1">
      <alignment wrapText="1"/>
    </xf>
    <xf numFmtId="9" fontId="50" fillId="0" borderId="1" xfId="4" applyNumberFormat="1" applyFont="1" applyFill="1" applyBorder="1" applyAlignment="1">
      <alignment wrapText="1"/>
    </xf>
    <xf numFmtId="9" fontId="53" fillId="0" borderId="1" xfId="0" applyNumberFormat="1" applyFont="1" applyFill="1" applyBorder="1" applyAlignment="1">
      <alignment wrapText="1"/>
    </xf>
    <xf numFmtId="9" fontId="56" fillId="0" borderId="1" xfId="4" applyNumberFormat="1" applyFont="1" applyFill="1" applyBorder="1" applyAlignment="1">
      <alignment wrapText="1"/>
    </xf>
    <xf numFmtId="9" fontId="84" fillId="48" borderId="6" xfId="0" applyNumberFormat="1" applyFont="1" applyFill="1" applyBorder="1" applyAlignment="1">
      <alignment wrapText="1"/>
    </xf>
    <xf numFmtId="14" fontId="21" fillId="0" borderId="24" xfId="5" applyNumberFormat="1" applyBorder="1"/>
    <xf numFmtId="0" fontId="21" fillId="0" borderId="22" xfId="5" applyBorder="1" applyAlignment="1">
      <alignment wrapText="1"/>
    </xf>
    <xf numFmtId="14" fontId="0" fillId="0" borderId="24" xfId="5" applyNumberFormat="1" applyFont="1" applyBorder="1"/>
    <xf numFmtId="14" fontId="21" fillId="0" borderId="26" xfId="5" applyNumberFormat="1" applyBorder="1" applyAlignment="1">
      <alignment wrapText="1"/>
    </xf>
    <xf numFmtId="0" fontId="21" fillId="0" borderId="26" xfId="5" applyBorder="1"/>
    <xf numFmtId="14" fontId="21" fillId="0" borderId="26" xfId="5" applyNumberFormat="1" applyBorder="1"/>
    <xf numFmtId="172" fontId="0" fillId="0" borderId="26" xfId="302" applyNumberFormat="1" applyFont="1" applyBorder="1"/>
    <xf numFmtId="0" fontId="84" fillId="0" borderId="0" xfId="0" applyFont="1" applyFill="1" applyAlignment="1">
      <alignment horizontal="left"/>
    </xf>
    <xf numFmtId="0" fontId="84" fillId="0" borderId="0" xfId="0" applyFont="1" applyFill="1"/>
    <xf numFmtId="0" fontId="84" fillId="0" borderId="0" xfId="0" applyNumberFormat="1" applyFont="1" applyFill="1"/>
    <xf numFmtId="165" fontId="84" fillId="0" borderId="0" xfId="0" applyNumberFormat="1" applyFont="1" applyFill="1"/>
    <xf numFmtId="165" fontId="84" fillId="0" borderId="0" xfId="0" applyNumberFormat="1" applyFont="1"/>
    <xf numFmtId="0" fontId="0" fillId="0" borderId="2" xfId="0" applyFont="1" applyBorder="1" applyAlignment="1">
      <alignment wrapText="1"/>
    </xf>
    <xf numFmtId="0" fontId="84" fillId="39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9" fontId="84" fillId="0" borderId="6" xfId="0" applyNumberFormat="1" applyFont="1" applyFill="1" applyBorder="1" applyAlignment="1">
      <alignment wrapText="1"/>
    </xf>
    <xf numFmtId="49" fontId="1" fillId="0" borderId="7" xfId="0" applyNumberFormat="1" applyFont="1" applyFill="1" applyBorder="1" applyAlignment="1">
      <alignment wrapText="1"/>
    </xf>
    <xf numFmtId="0" fontId="22" fillId="0" borderId="7" xfId="2" applyBorder="1" applyAlignment="1">
      <alignment wrapText="1"/>
    </xf>
    <xf numFmtId="14" fontId="0" fillId="0" borderId="0" xfId="5" applyNumberFormat="1" applyFont="1" applyBorder="1"/>
    <xf numFmtId="0" fontId="64" fillId="0" borderId="0" xfId="0" applyFont="1" applyBorder="1" applyAlignment="1">
      <alignment wrapText="1"/>
    </xf>
    <xf numFmtId="14" fontId="0" fillId="0" borderId="0" xfId="5" applyNumberFormat="1" applyFont="1" applyBorder="1" applyAlignment="1">
      <alignment wrapText="1"/>
    </xf>
    <xf numFmtId="14" fontId="0" fillId="0" borderId="0" xfId="0" applyNumberFormat="1" applyBorder="1"/>
    <xf numFmtId="0" fontId="1" fillId="0" borderId="2" xfId="0" applyFont="1" applyFill="1" applyBorder="1" applyAlignment="1">
      <alignment wrapText="1"/>
    </xf>
    <xf numFmtId="0" fontId="0" fillId="0" borderId="7" xfId="0" applyFont="1" applyBorder="1" applyAlignment="1">
      <alignment wrapText="1"/>
    </xf>
    <xf numFmtId="44" fontId="0" fillId="0" borderId="0" xfId="0" applyNumberFormat="1"/>
    <xf numFmtId="0" fontId="24" fillId="0" borderId="0" xfId="2" applyFont="1"/>
    <xf numFmtId="14" fontId="0" fillId="0" borderId="0" xfId="5" applyNumberFormat="1" applyFont="1" applyAlignment="1">
      <alignment horizontal="right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0" fillId="0" borderId="0" xfId="5" applyFont="1" applyAlignment="1"/>
    <xf numFmtId="0" fontId="0" fillId="0" borderId="19" xfId="4" applyFont="1" applyBorder="1" applyAlignment="1">
      <alignment wrapText="1"/>
    </xf>
    <xf numFmtId="0" fontId="0" fillId="40" borderId="2" xfId="0" applyFont="1" applyFill="1" applyBorder="1" applyAlignment="1">
      <alignment wrapText="1"/>
    </xf>
    <xf numFmtId="0" fontId="0" fillId="42" borderId="2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0" fillId="0" borderId="2" xfId="0" applyFont="1" applyBorder="1" applyAlignment="1">
      <alignment vertical="center" wrapText="1"/>
    </xf>
    <xf numFmtId="0" fontId="1" fillId="40" borderId="2" xfId="0" applyFont="1" applyFill="1" applyBorder="1" applyAlignment="1">
      <alignment wrapText="1"/>
    </xf>
    <xf numFmtId="0" fontId="1" fillId="0" borderId="2" xfId="4" applyFont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0" fillId="0" borderId="0" xfId="0" applyNumberFormat="1"/>
    <xf numFmtId="14" fontId="21" fillId="0" borderId="0" xfId="6" applyNumberFormat="1" applyFont="1" applyBorder="1"/>
    <xf numFmtId="14" fontId="21" fillId="0" borderId="0" xfId="6" applyNumberFormat="1" applyFont="1"/>
    <xf numFmtId="14" fontId="74" fillId="0" borderId="0" xfId="6" applyNumberFormat="1" applyFont="1"/>
    <xf numFmtId="14" fontId="75" fillId="0" borderId="0" xfId="6" applyNumberFormat="1" applyFont="1"/>
    <xf numFmtId="14" fontId="79" fillId="0" borderId="0" xfId="6" applyNumberFormat="1" applyFont="1"/>
    <xf numFmtId="14" fontId="0" fillId="50" borderId="0" xfId="6" applyNumberFormat="1" applyFont="1" applyFill="1" applyBorder="1" applyAlignment="1"/>
    <xf numFmtId="14" fontId="79" fillId="0" borderId="0" xfId="6" applyNumberFormat="1" applyFont="1" applyBorder="1"/>
    <xf numFmtId="14" fontId="81" fillId="0" borderId="0" xfId="6" applyNumberFormat="1" applyFont="1" applyBorder="1"/>
    <xf numFmtId="0" fontId="21" fillId="0" borderId="0" xfId="5" applyFill="1"/>
    <xf numFmtId="0" fontId="21" fillId="0" borderId="0" xfId="5" applyFill="1" applyAlignment="1">
      <alignment wrapText="1"/>
    </xf>
    <xf numFmtId="165" fontId="84" fillId="0" borderId="0" xfId="6" applyFont="1"/>
    <xf numFmtId="14" fontId="84" fillId="0" borderId="0" xfId="5" applyNumberFormat="1" applyFont="1" applyBorder="1"/>
    <xf numFmtId="0" fontId="21" fillId="0" borderId="0" xfId="5" applyFill="1" applyAlignment="1">
      <alignment horizontal="left"/>
    </xf>
    <xf numFmtId="14" fontId="84" fillId="0" borderId="0" xfId="5" applyNumberFormat="1" applyFont="1"/>
    <xf numFmtId="0" fontId="0" fillId="0" borderId="26" xfId="0" applyBorder="1"/>
    <xf numFmtId="0" fontId="0" fillId="0" borderId="26" xfId="5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172" fontId="0" fillId="0" borderId="0" xfId="0" applyNumberFormat="1" applyBorder="1"/>
    <xf numFmtId="0" fontId="21" fillId="2" borderId="22" xfId="5" applyFill="1" applyBorder="1" applyAlignment="1">
      <alignment wrapText="1"/>
    </xf>
    <xf numFmtId="0" fontId="24" fillId="0" borderId="0" xfId="0" applyFont="1" applyFill="1" applyBorder="1" applyAlignment="1">
      <alignment wrapText="1"/>
    </xf>
    <xf numFmtId="165" fontId="84" fillId="0" borderId="0" xfId="6" applyFont="1" applyBorder="1"/>
    <xf numFmtId="165" fontId="84" fillId="0" borderId="0" xfId="6" applyFont="1" applyFill="1" applyBorder="1"/>
    <xf numFmtId="165" fontId="84" fillId="0" borderId="0" xfId="6" applyFont="1" applyFill="1"/>
    <xf numFmtId="14" fontId="84" fillId="0" borderId="0" xfId="6" applyNumberFormat="1" applyFont="1" applyBorder="1"/>
    <xf numFmtId="14" fontId="0" fillId="0" borderId="0" xfId="6" applyNumberFormat="1" applyFont="1" applyBorder="1" applyAlignment="1">
      <alignment wrapText="1"/>
    </xf>
    <xf numFmtId="14" fontId="84" fillId="0" borderId="24" xfId="5" applyNumberFormat="1" applyFont="1" applyBorder="1"/>
    <xf numFmtId="14" fontId="84" fillId="0" borderId="0" xfId="6" applyNumberFormat="1" applyFont="1" applyFill="1" applyBorder="1"/>
    <xf numFmtId="14" fontId="84" fillId="0" borderId="0" xfId="6" applyNumberFormat="1" applyFont="1"/>
    <xf numFmtId="14" fontId="84" fillId="0" borderId="0" xfId="6" applyNumberFormat="1" applyFont="1" applyAlignment="1">
      <alignment horizontal="right"/>
    </xf>
    <xf numFmtId="14" fontId="84" fillId="0" borderId="0" xfId="6" applyNumberFormat="1" applyFont="1" applyFill="1"/>
    <xf numFmtId="0" fontId="85" fillId="39" borderId="2" xfId="0" applyFont="1" applyFill="1" applyBorder="1" applyAlignment="1">
      <alignment wrapText="1"/>
    </xf>
    <xf numFmtId="0" fontId="85" fillId="39" borderId="1" xfId="0" applyFont="1" applyFill="1" applyBorder="1" applyAlignment="1">
      <alignment wrapText="1"/>
    </xf>
    <xf numFmtId="9" fontId="85" fillId="48" borderId="6" xfId="0" applyNumberFormat="1" applyFont="1" applyFill="1" applyBorder="1" applyAlignment="1">
      <alignment wrapText="1"/>
    </xf>
    <xf numFmtId="0" fontId="85" fillId="0" borderId="6" xfId="0" applyFont="1" applyFill="1" applyBorder="1" applyAlignment="1">
      <alignment wrapText="1"/>
    </xf>
    <xf numFmtId="0" fontId="85" fillId="0" borderId="7" xfId="0" applyFont="1" applyFill="1" applyBorder="1" applyAlignment="1">
      <alignment wrapText="1"/>
    </xf>
    <xf numFmtId="0" fontId="85" fillId="0" borderId="8" xfId="0" applyFont="1" applyFill="1" applyBorder="1" applyAlignment="1">
      <alignment wrapText="1"/>
    </xf>
    <xf numFmtId="49" fontId="85" fillId="0" borderId="7" xfId="0" applyNumberFormat="1" applyFont="1" applyFill="1" applyBorder="1" applyAlignment="1">
      <alignment wrapText="1"/>
    </xf>
    <xf numFmtId="0" fontId="85" fillId="0" borderId="2" xfId="0" applyFont="1" applyFill="1" applyBorder="1" applyAlignment="1">
      <alignment wrapText="1"/>
    </xf>
    <xf numFmtId="165" fontId="0" fillId="0" borderId="0" xfId="6" applyFont="1" applyFill="1" applyBorder="1"/>
    <xf numFmtId="14" fontId="0" fillId="0" borderId="26" xfId="5" applyNumberFormat="1" applyFont="1" applyBorder="1" applyAlignment="1">
      <alignment wrapText="1"/>
    </xf>
    <xf numFmtId="0" fontId="21" fillId="0" borderId="26" xfId="5" applyBorder="1" applyAlignment="1">
      <alignment wrapText="1"/>
    </xf>
    <xf numFmtId="0" fontId="86" fillId="39" borderId="2" xfId="0" applyFont="1" applyFill="1" applyBorder="1" applyAlignment="1">
      <alignment wrapText="1"/>
    </xf>
    <xf numFmtId="0" fontId="86" fillId="39" borderId="1" xfId="0" applyFont="1" applyFill="1" applyBorder="1" applyAlignment="1">
      <alignment wrapText="1"/>
    </xf>
    <xf numFmtId="9" fontId="86" fillId="48" borderId="6" xfId="0" applyNumberFormat="1" applyFont="1" applyFill="1" applyBorder="1" applyAlignment="1">
      <alignment wrapText="1"/>
    </xf>
    <xf numFmtId="0" fontId="86" fillId="0" borderId="6" xfId="0" applyFont="1" applyFill="1" applyBorder="1" applyAlignment="1">
      <alignment wrapText="1"/>
    </xf>
    <xf numFmtId="0" fontId="86" fillId="0" borderId="7" xfId="0" applyFont="1" applyFill="1" applyBorder="1" applyAlignment="1">
      <alignment wrapText="1"/>
    </xf>
    <xf numFmtId="0" fontId="86" fillId="0" borderId="8" xfId="0" applyFont="1" applyFill="1" applyBorder="1" applyAlignment="1">
      <alignment wrapText="1"/>
    </xf>
    <xf numFmtId="49" fontId="86" fillId="0" borderId="7" xfId="0" applyNumberFormat="1" applyFont="1" applyFill="1" applyBorder="1" applyAlignment="1">
      <alignment wrapText="1"/>
    </xf>
    <xf numFmtId="0" fontId="86" fillId="0" borderId="2" xfId="0" applyFont="1" applyFill="1" applyBorder="1" applyAlignment="1">
      <alignment wrapText="1"/>
    </xf>
    <xf numFmtId="14" fontId="21" fillId="0" borderId="0" xfId="5" applyNumberFormat="1" applyFill="1" applyAlignment="1">
      <alignment wrapText="1"/>
    </xf>
    <xf numFmtId="165" fontId="86" fillId="0" borderId="0" xfId="6" applyFont="1" applyBorder="1"/>
    <xf numFmtId="14" fontId="86" fillId="0" borderId="24" xfId="5" applyNumberFormat="1" applyFont="1" applyBorder="1"/>
    <xf numFmtId="0" fontId="87" fillId="39" borderId="1" xfId="0" applyFont="1" applyFill="1" applyBorder="1" applyAlignment="1">
      <alignment wrapText="1"/>
    </xf>
    <xf numFmtId="9" fontId="87" fillId="48" borderId="6" xfId="0" applyNumberFormat="1" applyFont="1" applyFill="1" applyBorder="1" applyAlignment="1">
      <alignment wrapText="1"/>
    </xf>
    <xf numFmtId="0" fontId="87" fillId="0" borderId="6" xfId="0" applyFont="1" applyFill="1" applyBorder="1" applyAlignment="1">
      <alignment wrapText="1"/>
    </xf>
    <xf numFmtId="0" fontId="87" fillId="0" borderId="7" xfId="0" applyFont="1" applyFill="1" applyBorder="1" applyAlignment="1">
      <alignment wrapText="1"/>
    </xf>
    <xf numFmtId="0" fontId="87" fillId="0" borderId="8" xfId="0" applyFont="1" applyFill="1" applyBorder="1" applyAlignment="1">
      <alignment wrapText="1"/>
    </xf>
    <xf numFmtId="49" fontId="87" fillId="0" borderId="7" xfId="0" applyNumberFormat="1" applyFont="1" applyFill="1" applyBorder="1" applyAlignment="1">
      <alignment wrapText="1"/>
    </xf>
    <xf numFmtId="0" fontId="87" fillId="0" borderId="2" xfId="0" applyFont="1" applyFill="1" applyBorder="1" applyAlignment="1">
      <alignment wrapText="1"/>
    </xf>
    <xf numFmtId="0" fontId="87" fillId="39" borderId="2" xfId="0" applyFont="1" applyFill="1" applyBorder="1" applyAlignment="1">
      <alignment wrapText="1"/>
    </xf>
    <xf numFmtId="165" fontId="87" fillId="0" borderId="0" xfId="6" applyFont="1"/>
    <xf numFmtId="14" fontId="87" fillId="0" borderId="0" xfId="5" applyNumberFormat="1" applyFont="1"/>
    <xf numFmtId="0" fontId="0" fillId="0" borderId="8" xfId="0" quotePrefix="1" applyFont="1" applyBorder="1" applyAlignment="1">
      <alignment wrapText="1"/>
    </xf>
    <xf numFmtId="0" fontId="1" fillId="0" borderId="8" xfId="0" quotePrefix="1" applyFont="1" applyFill="1" applyBorder="1" applyAlignment="1">
      <alignment wrapText="1"/>
    </xf>
    <xf numFmtId="14" fontId="87" fillId="0" borderId="0" xfId="6" applyNumberFormat="1" applyFont="1" applyBorder="1"/>
    <xf numFmtId="165" fontId="0" fillId="0" borderId="0" xfId="0" applyNumberFormat="1" applyFont="1"/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NumberFormat="1" applyFont="1" applyFill="1"/>
    <xf numFmtId="165" fontId="0" fillId="0" borderId="0" xfId="0" applyNumberFormat="1" applyFont="1" applyFill="1"/>
    <xf numFmtId="0" fontId="0" fillId="0" borderId="1" xfId="0" applyFont="1" applyBorder="1" applyAlignment="1">
      <alignment wrapText="1"/>
    </xf>
    <xf numFmtId="165" fontId="87" fillId="0" borderId="0" xfId="6" applyFont="1" applyBorder="1"/>
    <xf numFmtId="14" fontId="87" fillId="0" borderId="0" xfId="5" applyNumberFormat="1" applyFont="1" applyBorder="1"/>
    <xf numFmtId="165" fontId="87" fillId="0" borderId="0" xfId="0" applyNumberFormat="1" applyFont="1"/>
    <xf numFmtId="0" fontId="0" fillId="0" borderId="0" xfId="5" applyFont="1" applyFill="1" applyBorder="1" applyAlignment="1">
      <alignment wrapText="1"/>
    </xf>
    <xf numFmtId="165" fontId="87" fillId="0" borderId="0" xfId="6" applyFont="1" applyFill="1" applyBorder="1"/>
    <xf numFmtId="14" fontId="87" fillId="0" borderId="24" xfId="5" applyNumberFormat="1" applyFont="1" applyBorder="1"/>
    <xf numFmtId="165" fontId="1" fillId="0" borderId="0" xfId="6" applyFont="1" applyBorder="1" applyAlignment="1">
      <alignment wrapText="1"/>
    </xf>
    <xf numFmtId="165" fontId="87" fillId="0" borderId="0" xfId="6" applyFont="1" applyBorder="1" applyAlignment="1">
      <alignment wrapText="1"/>
    </xf>
    <xf numFmtId="165" fontId="1" fillId="0" borderId="0" xfId="6" applyFont="1" applyFill="1" applyBorder="1" applyAlignment="1">
      <alignment wrapText="1"/>
    </xf>
    <xf numFmtId="14" fontId="87" fillId="0" borderId="0" xfId="6" applyNumberFormat="1" applyFont="1" applyFill="1" applyBorder="1"/>
    <xf numFmtId="0" fontId="21" fillId="0" borderId="0" xfId="5" applyFont="1" applyBorder="1" applyAlignment="1">
      <alignment wrapText="1"/>
    </xf>
    <xf numFmtId="0" fontId="21" fillId="0" borderId="0" xfId="5" applyFont="1"/>
    <xf numFmtId="14" fontId="21" fillId="0" borderId="0" xfId="5" applyNumberFormat="1" applyFont="1"/>
    <xf numFmtId="0" fontId="21" fillId="0" borderId="0" xfId="5" applyFont="1" applyAlignment="1">
      <alignment wrapText="1"/>
    </xf>
    <xf numFmtId="0" fontId="21" fillId="0" borderId="0" xfId="5" applyFont="1" applyFill="1" applyAlignment="1">
      <alignment wrapText="1"/>
    </xf>
    <xf numFmtId="0" fontId="21" fillId="0" borderId="0" xfId="5" applyFont="1" applyFill="1"/>
    <xf numFmtId="0" fontId="21" fillId="0" borderId="0" xfId="5" applyFont="1" applyFill="1" applyAlignment="1">
      <alignment horizontal="left"/>
    </xf>
    <xf numFmtId="172" fontId="0" fillId="0" borderId="0" xfId="0" applyNumberFormat="1" applyFont="1"/>
    <xf numFmtId="0" fontId="87" fillId="0" borderId="0" xfId="0" applyFont="1" applyFill="1"/>
    <xf numFmtId="0" fontId="87" fillId="0" borderId="0" xfId="0" applyNumberFormat="1" applyFont="1" applyFill="1"/>
    <xf numFmtId="165" fontId="87" fillId="0" borderId="0" xfId="0" applyNumberFormat="1" applyFont="1" applyFill="1"/>
    <xf numFmtId="14" fontId="86" fillId="0" borderId="0" xfId="6" applyNumberFormat="1" applyFont="1" applyBorder="1"/>
    <xf numFmtId="14" fontId="87" fillId="0" borderId="0" xfId="6" applyNumberFormat="1" applyFont="1"/>
    <xf numFmtId="0" fontId="87" fillId="0" borderId="0" xfId="0" applyFont="1" applyFill="1" applyAlignment="1">
      <alignment horizontal="left"/>
    </xf>
    <xf numFmtId="0" fontId="21" fillId="0" borderId="25" xfId="5" applyBorder="1" applyAlignment="1">
      <alignment wrapText="1"/>
    </xf>
    <xf numFmtId="0" fontId="21" fillId="0" borderId="26" xfId="5" applyBorder="1" applyAlignment="1">
      <alignment horizontal="left"/>
    </xf>
    <xf numFmtId="165" fontId="21" fillId="0" borderId="26" xfId="6" applyFont="1" applyBorder="1"/>
    <xf numFmtId="14" fontId="0" fillId="0" borderId="26" xfId="6" applyNumberFormat="1" applyFont="1" applyBorder="1"/>
    <xf numFmtId="14" fontId="21" fillId="0" borderId="26" xfId="6" applyNumberFormat="1" applyFont="1" applyBorder="1"/>
    <xf numFmtId="14" fontId="0" fillId="0" borderId="27" xfId="5" applyNumberFormat="1" applyFont="1" applyBorder="1"/>
    <xf numFmtId="173" fontId="1" fillId="0" borderId="0" xfId="6" applyNumberFormat="1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88" fillId="0" borderId="0" xfId="0" applyFont="1" applyFill="1"/>
    <xf numFmtId="0" fontId="88" fillId="0" borderId="0" xfId="0" applyNumberFormat="1" applyFont="1" applyFill="1"/>
    <xf numFmtId="165" fontId="88" fillId="0" borderId="0" xfId="0" applyNumberFormat="1" applyFont="1" applyFill="1"/>
    <xf numFmtId="165" fontId="88" fillId="0" borderId="0" xfId="0" applyNumberFormat="1" applyFont="1"/>
    <xf numFmtId="0" fontId="88" fillId="39" borderId="2" xfId="0" applyFont="1" applyFill="1" applyBorder="1" applyAlignment="1">
      <alignment wrapText="1"/>
    </xf>
    <xf numFmtId="0" fontId="88" fillId="39" borderId="1" xfId="0" applyFont="1" applyFill="1" applyBorder="1" applyAlignment="1">
      <alignment wrapText="1"/>
    </xf>
    <xf numFmtId="9" fontId="88" fillId="48" borderId="6" xfId="0" applyNumberFormat="1" applyFont="1" applyFill="1" applyBorder="1" applyAlignment="1">
      <alignment wrapText="1"/>
    </xf>
    <xf numFmtId="0" fontId="88" fillId="0" borderId="6" xfId="0" applyFont="1" applyFill="1" applyBorder="1" applyAlignment="1">
      <alignment wrapText="1"/>
    </xf>
    <xf numFmtId="0" fontId="88" fillId="0" borderId="7" xfId="0" applyFont="1" applyFill="1" applyBorder="1" applyAlignment="1">
      <alignment wrapText="1"/>
    </xf>
    <xf numFmtId="0" fontId="88" fillId="0" borderId="8" xfId="0" applyFont="1" applyFill="1" applyBorder="1" applyAlignment="1">
      <alignment wrapText="1"/>
    </xf>
    <xf numFmtId="49" fontId="88" fillId="0" borderId="7" xfId="0" applyNumberFormat="1" applyFont="1" applyFill="1" applyBorder="1" applyAlignment="1">
      <alignment wrapText="1"/>
    </xf>
    <xf numFmtId="0" fontId="88" fillId="0" borderId="2" xfId="0" applyFont="1" applyFill="1" applyBorder="1" applyAlignment="1">
      <alignment wrapText="1"/>
    </xf>
    <xf numFmtId="0" fontId="0" fillId="0" borderId="0" xfId="0" applyNumberFormat="1" applyFill="1"/>
    <xf numFmtId="165" fontId="0" fillId="0" borderId="0" xfId="1" applyNumberFormat="1" applyFont="1" applyFill="1"/>
    <xf numFmtId="165" fontId="88" fillId="0" borderId="0" xfId="1" applyFont="1"/>
    <xf numFmtId="165" fontId="88" fillId="0" borderId="0" xfId="6" applyFont="1" applyFill="1" applyBorder="1"/>
    <xf numFmtId="165" fontId="88" fillId="0" borderId="0" xfId="6" applyFont="1" applyBorder="1"/>
    <xf numFmtId="14" fontId="88" fillId="0" borderId="24" xfId="5" applyNumberFormat="1" applyFont="1" applyBorder="1"/>
    <xf numFmtId="2" fontId="21" fillId="0" borderId="0" xfId="5" applyNumberFormat="1"/>
    <xf numFmtId="165" fontId="88" fillId="0" borderId="0" xfId="6" applyFont="1"/>
    <xf numFmtId="14" fontId="88" fillId="0" borderId="0" xfId="5" applyNumberFormat="1" applyFont="1"/>
    <xf numFmtId="0" fontId="21" fillId="52" borderId="0" xfId="5" applyFill="1" applyAlignment="1">
      <alignment wrapText="1"/>
    </xf>
    <xf numFmtId="14" fontId="21" fillId="52" borderId="0" xfId="5" applyNumberFormat="1" applyFill="1" applyAlignment="1">
      <alignment wrapText="1"/>
    </xf>
    <xf numFmtId="0" fontId="21" fillId="52" borderId="0" xfId="5" applyFill="1"/>
    <xf numFmtId="0" fontId="21" fillId="52" borderId="0" xfId="5" applyFill="1" applyAlignment="1">
      <alignment horizontal="left"/>
    </xf>
    <xf numFmtId="172" fontId="21" fillId="52" borderId="0" xfId="5" applyNumberFormat="1" applyFill="1"/>
    <xf numFmtId="165" fontId="88" fillId="52" borderId="0" xfId="6" applyFont="1" applyFill="1"/>
    <xf numFmtId="14" fontId="0" fillId="52" borderId="0" xfId="6" applyNumberFormat="1" applyFont="1" applyFill="1"/>
    <xf numFmtId="14" fontId="88" fillId="52" borderId="0" xfId="5" applyNumberFormat="1" applyFont="1" applyFill="1"/>
    <xf numFmtId="14" fontId="88" fillId="52" borderId="0" xfId="6" applyNumberFormat="1" applyFont="1" applyFill="1"/>
    <xf numFmtId="14" fontId="88" fillId="0" borderId="0" xfId="6" applyNumberFormat="1" applyFont="1" applyBorder="1"/>
    <xf numFmtId="14" fontId="88" fillId="0" borderId="7" xfId="0" applyNumberFormat="1" applyFont="1" applyFill="1" applyBorder="1" applyAlignment="1">
      <alignment wrapText="1"/>
    </xf>
    <xf numFmtId="0" fontId="88" fillId="39" borderId="2" xfId="307" applyFont="1" applyFill="1" applyBorder="1" applyAlignment="1">
      <alignment wrapText="1"/>
    </xf>
    <xf numFmtId="9" fontId="88" fillId="48" borderId="6" xfId="307" applyNumberFormat="1" applyFont="1" applyFill="1" applyBorder="1" applyAlignment="1">
      <alignment wrapText="1"/>
    </xf>
    <xf numFmtId="0" fontId="88" fillId="39" borderId="1" xfId="307" applyFont="1" applyFill="1" applyBorder="1" applyAlignment="1">
      <alignment wrapText="1"/>
    </xf>
    <xf numFmtId="14" fontId="0" fillId="0" borderId="0" xfId="6" applyNumberFormat="1" applyFont="1" applyFill="1" applyBorder="1"/>
    <xf numFmtId="0" fontId="91" fillId="39" borderId="2" xfId="0" applyFont="1" applyFill="1" applyBorder="1" applyAlignment="1">
      <alignment wrapText="1"/>
    </xf>
    <xf numFmtId="0" fontId="91" fillId="39" borderId="1" xfId="0" applyFont="1" applyFill="1" applyBorder="1" applyAlignment="1">
      <alignment wrapText="1"/>
    </xf>
    <xf numFmtId="9" fontId="91" fillId="48" borderId="6" xfId="0" applyNumberFormat="1" applyFont="1" applyFill="1" applyBorder="1" applyAlignment="1">
      <alignment wrapText="1"/>
    </xf>
    <xf numFmtId="0" fontId="91" fillId="0" borderId="6" xfId="0" applyFont="1" applyFill="1" applyBorder="1" applyAlignment="1">
      <alignment wrapText="1"/>
    </xf>
    <xf numFmtId="0" fontId="91" fillId="0" borderId="7" xfId="0" applyFont="1" applyFill="1" applyBorder="1" applyAlignment="1">
      <alignment wrapText="1"/>
    </xf>
    <xf numFmtId="0" fontId="91" fillId="0" borderId="8" xfId="0" applyFont="1" applyFill="1" applyBorder="1" applyAlignment="1">
      <alignment wrapText="1"/>
    </xf>
    <xf numFmtId="49" fontId="91" fillId="0" borderId="7" xfId="0" applyNumberFormat="1" applyFont="1" applyFill="1" applyBorder="1" applyAlignment="1">
      <alignment wrapText="1"/>
    </xf>
    <xf numFmtId="0" fontId="91" fillId="0" borderId="2" xfId="0" applyFont="1" applyFill="1" applyBorder="1" applyAlignment="1">
      <alignment wrapText="1"/>
    </xf>
    <xf numFmtId="172" fontId="84" fillId="0" borderId="0" xfId="6" applyNumberFormat="1" applyFont="1" applyFill="1" applyBorder="1"/>
    <xf numFmtId="165" fontId="91" fillId="0" borderId="0" xfId="6" applyFont="1" applyFill="1" applyBorder="1"/>
    <xf numFmtId="165" fontId="91" fillId="0" borderId="0" xfId="6" applyFont="1" applyBorder="1"/>
    <xf numFmtId="14" fontId="91" fillId="0" borderId="24" xfId="5" applyNumberFormat="1" applyFont="1" applyBorder="1"/>
  </cellXfs>
  <cellStyles count="3728">
    <cellStyle name="20% - Accent1" xfId="39" builtinId="30" customBuiltin="1"/>
    <cellStyle name="20% - Accent1 2" xfId="780" xr:uid="{FF80DE18-D20C-48F4-86D6-49157E053355}"/>
    <cellStyle name="20% - Accent1 2 2" xfId="1831" xr:uid="{9792943B-8B12-4356-831A-623F5F2E7FBA}"/>
    <cellStyle name="20% - Accent1 2 3" xfId="3353" xr:uid="{4B2582A4-E17F-42E5-BEC2-86A7EBE30FD0}"/>
    <cellStyle name="20% - Accent1 3" xfId="1161" xr:uid="{A7C279D3-B93D-446D-AE5E-7F9EEF11BFB1}"/>
    <cellStyle name="20% - Accent2" xfId="43" builtinId="34" customBuiltin="1"/>
    <cellStyle name="20% - Accent2 2" xfId="782" xr:uid="{357B09F6-1D40-4B8A-B607-24717E32A079}"/>
    <cellStyle name="20% - Accent2 2 2" xfId="1833" xr:uid="{1E5E4F65-04E7-4391-9FAD-3E1BE2C81E7D}"/>
    <cellStyle name="20% - Accent2 2 3" xfId="3355" xr:uid="{EAF8088B-431B-40A5-926A-16F78F28E45E}"/>
    <cellStyle name="20% - Accent2 3" xfId="1163" xr:uid="{8AFE0B06-1ACC-4A55-990F-A49B265002ED}"/>
    <cellStyle name="20% - Accent3" xfId="47" builtinId="38" customBuiltin="1"/>
    <cellStyle name="20% - Accent3 2" xfId="784" xr:uid="{0FEC494F-8D0A-4FB4-B350-A6499538FB83}"/>
    <cellStyle name="20% - Accent3 2 2" xfId="1835" xr:uid="{08A7C4A0-10E9-490C-A3F8-4490FBE391FD}"/>
    <cellStyle name="20% - Accent3 2 3" xfId="3357" xr:uid="{54C46857-5B48-4B65-9370-E91A3911044F}"/>
    <cellStyle name="20% - Accent3 3" xfId="1165" xr:uid="{FA2639F3-B776-494E-9600-8463BDEA565B}"/>
    <cellStyle name="20% - Accent4" xfId="51" builtinId="42" customBuiltin="1"/>
    <cellStyle name="20% - Accent4 2" xfId="786" xr:uid="{88A7151F-58B8-41F1-83E4-9CB223260402}"/>
    <cellStyle name="20% - Accent4 2 2" xfId="1837" xr:uid="{E9635690-7949-42F8-9258-3E0F00FD6A5D}"/>
    <cellStyle name="20% - Accent4 2 3" xfId="3359" xr:uid="{36180C5F-0A1E-4DC7-8F25-8C89D4C4C02B}"/>
    <cellStyle name="20% - Accent4 3" xfId="1167" xr:uid="{2038880A-E9C1-4389-9B8B-2AC76B2A6F21}"/>
    <cellStyle name="20% - Accent5" xfId="55" builtinId="46" customBuiltin="1"/>
    <cellStyle name="20% - Accent5 2" xfId="788" xr:uid="{12907FEA-D962-4CF0-97F5-B0A03F1DBF0A}"/>
    <cellStyle name="20% - Accent5 2 2" xfId="1839" xr:uid="{11C95AC4-A20C-4355-BA00-F39308DE59BF}"/>
    <cellStyle name="20% - Accent5 2 3" xfId="3361" xr:uid="{F67D99A2-CF1C-45FB-850B-3A02507810BE}"/>
    <cellStyle name="20% - Accent5 3" xfId="1169" xr:uid="{9474F471-EBFE-4556-8525-5E53F5B4D341}"/>
    <cellStyle name="20% - Accent6" xfId="59" builtinId="50" customBuiltin="1"/>
    <cellStyle name="20% - Accent6 2" xfId="790" xr:uid="{DB40A568-A391-415C-A82F-6A10A24313DF}"/>
    <cellStyle name="20% - Accent6 2 2" xfId="1841" xr:uid="{4E4708D2-38F0-481B-BAEC-DD1E2CDC265C}"/>
    <cellStyle name="20% - Accent6 2 3" xfId="3363" xr:uid="{96E84872-126D-45AA-83F0-1E4922F7FD3A}"/>
    <cellStyle name="20% - Accent6 3" xfId="1171" xr:uid="{82E7A13B-6B6E-4A15-A7B4-4BCF0399C809}"/>
    <cellStyle name="20% — акцент1 2" xfId="2858" xr:uid="{C184989C-4768-42DE-ADF4-75151C23512C}"/>
    <cellStyle name="20% — акцент2 2" xfId="2860" xr:uid="{8C22E0E1-17C0-49B8-9824-9100289BAECA}"/>
    <cellStyle name="20% — акцент3 2" xfId="2862" xr:uid="{FB725B08-0136-422D-AB3F-1018E8DF15C7}"/>
    <cellStyle name="20% — акцент4 2" xfId="2864" xr:uid="{DB240C56-C11F-4803-9CD2-FA0FC75D216E}"/>
    <cellStyle name="20% — акцент5 2" xfId="2866" xr:uid="{4F31D2D8-C7E6-4DCB-B57F-00EB596A0E08}"/>
    <cellStyle name="20% — акцент6 2" xfId="2868" xr:uid="{80C3C735-44BE-4947-BE46-24838AEB34D3}"/>
    <cellStyle name="40% - Accent1" xfId="40" builtinId="31" customBuiltin="1"/>
    <cellStyle name="40% - Accent1 2" xfId="781" xr:uid="{4C4E2B29-39D8-4BFB-9174-6F1055E7946E}"/>
    <cellStyle name="40% - Accent1 2 2" xfId="1832" xr:uid="{36092BC3-D58D-4104-89EE-036244D023DF}"/>
    <cellStyle name="40% - Accent1 2 3" xfId="3354" xr:uid="{235973C0-3C35-4510-A7EC-D0DE462DF816}"/>
    <cellStyle name="40% - Accent1 3" xfId="1162" xr:uid="{E6050DB0-1EDB-441B-8412-023261DEBCE3}"/>
    <cellStyle name="40% - Accent2" xfId="44" builtinId="35" customBuiltin="1"/>
    <cellStyle name="40% - Accent2 2" xfId="783" xr:uid="{60C24D1C-0230-4BAB-840E-7CA2072E8579}"/>
    <cellStyle name="40% - Accent2 2 2" xfId="1834" xr:uid="{A4CE285D-545A-4BDA-9F42-331DBA087CB0}"/>
    <cellStyle name="40% - Accent2 2 3" xfId="3356" xr:uid="{919265BB-6610-49FC-AA91-DBD2D355FBB9}"/>
    <cellStyle name="40% - Accent2 3" xfId="1164" xr:uid="{F40F1A13-D3F2-401D-85F5-8454B40CD987}"/>
    <cellStyle name="40% - Accent3" xfId="48" builtinId="39" customBuiltin="1"/>
    <cellStyle name="40% - Accent3 2" xfId="785" xr:uid="{974AB14C-E648-415A-9A07-BEAD9CCB98D0}"/>
    <cellStyle name="40% - Accent3 2 2" xfId="1836" xr:uid="{C397C6DD-0CB1-45DB-B9DE-32DD3C2E4F5E}"/>
    <cellStyle name="40% - Accent3 2 3" xfId="3358" xr:uid="{DDDDE4FB-3293-4A7D-B0DF-2939839A3414}"/>
    <cellStyle name="40% - Accent3 3" xfId="1166" xr:uid="{11DD9758-10A9-4109-86A6-31D3D86BC5FF}"/>
    <cellStyle name="40% - Accent4" xfId="52" builtinId="43" customBuiltin="1"/>
    <cellStyle name="40% - Accent4 2" xfId="787" xr:uid="{352F0821-BD49-4397-BFC3-116C572373AA}"/>
    <cellStyle name="40% - Accent4 2 2" xfId="1838" xr:uid="{6D05F795-8015-4728-A0F9-AE81C4D4E494}"/>
    <cellStyle name="40% - Accent4 2 3" xfId="3360" xr:uid="{B699A079-6AA9-4EC9-9319-D8D3ECBEC9AC}"/>
    <cellStyle name="40% - Accent4 3" xfId="1168" xr:uid="{D2A4341B-79BD-41A4-AD44-59A6599A4714}"/>
    <cellStyle name="40% - Accent5" xfId="56" builtinId="47" customBuiltin="1"/>
    <cellStyle name="40% - Accent5 2" xfId="789" xr:uid="{ABBE3BCD-9E06-4F67-A772-AEEC71A90140}"/>
    <cellStyle name="40% - Accent5 2 2" xfId="1840" xr:uid="{256DA1C0-ACCB-4654-857A-E73B08F78243}"/>
    <cellStyle name="40% - Accent5 2 3" xfId="3362" xr:uid="{326B4125-7372-4ED2-B1BA-E440D591DC7B}"/>
    <cellStyle name="40% - Accent5 3" xfId="1170" xr:uid="{DDD95B9E-870C-4D27-A2E5-FDDB0325D7E2}"/>
    <cellStyle name="40% - Accent6" xfId="60" builtinId="51" customBuiltin="1"/>
    <cellStyle name="40% - Accent6 2" xfId="791" xr:uid="{710B48CD-88D5-4386-81E5-D3EFEA4C031B}"/>
    <cellStyle name="40% - Accent6 2 2" xfId="1842" xr:uid="{861EDA19-BFAF-454D-AB8B-EE2C436027E4}"/>
    <cellStyle name="40% - Accent6 2 3" xfId="3364" xr:uid="{6F61A061-1D3F-4ED9-BFE3-6EEAE8D33BD7}"/>
    <cellStyle name="40% - Accent6 3" xfId="1172" xr:uid="{37A8C147-AF58-4D06-A934-14154E0F7B14}"/>
    <cellStyle name="40% — акцент1 2" xfId="2859" xr:uid="{5313D666-4BCB-42A5-87A9-BED07C5043B7}"/>
    <cellStyle name="40% — акцент2 2" xfId="2861" xr:uid="{67571046-2FC1-45D1-A7BA-73182EC31D4E}"/>
    <cellStyle name="40% — акцент3 2" xfId="2863" xr:uid="{CA1F67F3-3B6B-4198-AEC3-056F2D6BB4EB}"/>
    <cellStyle name="40% — акцент4 2" xfId="2865" xr:uid="{62CCA7E3-E50E-45ED-A853-0E299099DDAE}"/>
    <cellStyle name="40% — акцент5 2" xfId="2867" xr:uid="{2931045E-D0D5-40B1-8C58-9AC50006A055}"/>
    <cellStyle name="40% — акцент6 2" xfId="2869" xr:uid="{55703908-622A-470B-8022-D7B0A3F937CD}"/>
    <cellStyle name="60% - Accent1" xfId="41" builtinId="32" customBuiltin="1"/>
    <cellStyle name="60% - Accent1 2" xfId="268" xr:uid="{685504A4-00E2-45FF-A70A-6816A16C496A}"/>
    <cellStyle name="60% - Accent1 3" xfId="161" xr:uid="{50F71FF4-D778-4736-8615-1C869A43996B}"/>
    <cellStyle name="60% - Accent1 4" xfId="638" xr:uid="{AADC9B45-E2BA-4ED9-8E54-34F901D7545B}"/>
    <cellStyle name="60% - Accent1 5" xfId="428" xr:uid="{4416EF44-D6C4-45C9-8D1B-6EC22AFD286C}"/>
    <cellStyle name="60% - Accent1 6" xfId="2202" xr:uid="{3D55E2F3-26D8-454B-89CE-653ED69B7AEA}"/>
    <cellStyle name="60% - Accent2" xfId="45" builtinId="36" customBuiltin="1"/>
    <cellStyle name="60% - Accent2 2" xfId="269" xr:uid="{205E857C-F41D-4C32-9B0D-A56B2B7DA050}"/>
    <cellStyle name="60% - Accent2 3" xfId="162" xr:uid="{052A03A8-FBED-47B9-A71B-E655F6227BCD}"/>
    <cellStyle name="60% - Accent2 4" xfId="639" xr:uid="{795FBC9B-193B-4104-B4A5-F6218E60D994}"/>
    <cellStyle name="60% - Accent2 5" xfId="429" xr:uid="{43D7923D-0F4E-4DEC-9816-A62B5225976A}"/>
    <cellStyle name="60% - Accent2 6" xfId="2203" xr:uid="{5F7C1FD0-7B20-4A05-9EDA-20A6EDBD0098}"/>
    <cellStyle name="60% - Accent3" xfId="49" builtinId="40" customBuiltin="1"/>
    <cellStyle name="60% - Accent3 2" xfId="270" xr:uid="{F6603BA9-9C91-4C73-99B4-695E534DEF2B}"/>
    <cellStyle name="60% - Accent3 3" xfId="163" xr:uid="{93B08F56-07B3-4110-8170-216CA4861CEF}"/>
    <cellStyle name="60% - Accent3 4" xfId="640" xr:uid="{13C39A89-A3DB-426A-B0B1-458ED6E8B369}"/>
    <cellStyle name="60% - Accent3 5" xfId="430" xr:uid="{D6878817-2EEA-4781-93CE-24EE7C5A77B1}"/>
    <cellStyle name="60% - Accent3 6" xfId="2204" xr:uid="{C267C0F0-12F2-497D-801D-418084C0C9D3}"/>
    <cellStyle name="60% - Accent4" xfId="53" builtinId="44" customBuiltin="1"/>
    <cellStyle name="60% - Accent4 2" xfId="271" xr:uid="{57F68B8E-4324-4A9C-B02A-03D9FFDB22AE}"/>
    <cellStyle name="60% - Accent4 3" xfId="164" xr:uid="{7E4C1B0F-CE78-425F-8AEE-9733B25E79D7}"/>
    <cellStyle name="60% - Accent4 4" xfId="641" xr:uid="{CE92B0FF-5BB2-444E-B8F6-7FC303E0242E}"/>
    <cellStyle name="60% - Accent4 5" xfId="431" xr:uid="{2E98E51B-0B15-4C93-B208-FF4B740810E7}"/>
    <cellStyle name="60% - Accent4 6" xfId="2205" xr:uid="{EF85BFA7-451C-42CB-BB43-AB2B328E9304}"/>
    <cellStyle name="60% - Accent5" xfId="57" builtinId="48" customBuiltin="1"/>
    <cellStyle name="60% - Accent5 2" xfId="272" xr:uid="{BFC9DFDA-B042-4EF0-99CC-FF8605532E0D}"/>
    <cellStyle name="60% - Accent5 3" xfId="165" xr:uid="{6D53C67A-F855-4643-AEB9-BE336EDB0521}"/>
    <cellStyle name="60% - Accent5 4" xfId="642" xr:uid="{D9BA675F-12F9-4AC5-ABA8-0E9B84C153AD}"/>
    <cellStyle name="60% - Accent5 5" xfId="432" xr:uid="{6014CD91-58D8-4B5B-A6B6-4CAA94B07219}"/>
    <cellStyle name="60% - Accent5 6" xfId="2206" xr:uid="{BB8BB8DF-8EA8-432A-98EB-2294EEAB9917}"/>
    <cellStyle name="60% - Accent6" xfId="61" builtinId="52" customBuiltin="1"/>
    <cellStyle name="60% - Accent6 2" xfId="273" xr:uid="{DC58D7CF-2558-4387-A9A0-F3247F86DFCE}"/>
    <cellStyle name="60% - Accent6 3" xfId="166" xr:uid="{DD3F7FA6-9952-49B4-8C40-2F7D63212E8D}"/>
    <cellStyle name="60% - Accent6 4" xfId="643" xr:uid="{9CF969EE-ADA1-4E38-8F15-D4B5BDEF6B63}"/>
    <cellStyle name="60% - Accent6 5" xfId="433" xr:uid="{7ED979DD-42FA-4A80-B8C1-1CAD17A6B1D9}"/>
    <cellStyle name="60% - Accent6 6" xfId="2207" xr:uid="{AC756D87-3CCD-49E6-80F7-0C4FF14D1110}"/>
    <cellStyle name="Accent1" xfId="38" builtinId="29" customBuiltin="1"/>
    <cellStyle name="Accent2" xfId="42" builtinId="33" customBuiltin="1"/>
    <cellStyle name="Accent3" xfId="46" builtinId="37" customBuiltin="1"/>
    <cellStyle name="Accent4" xfId="50" builtinId="41" customBuiltin="1"/>
    <cellStyle name="Accent5" xfId="54" builtinId="45" customBuiltin="1"/>
    <cellStyle name="Accent6" xfId="58" builtinId="49" customBuiltin="1"/>
    <cellStyle name="Bad" xfId="27" builtinId="27" customBuiltin="1"/>
    <cellStyle name="Calculation" xfId="31" builtinId="22" customBuiltin="1"/>
    <cellStyle name="Check Cell" xfId="33" builtinId="23" customBuiltin="1"/>
    <cellStyle name="Comma 2" xfId="62" xr:uid="{00000000-0005-0000-0000-00001B000000}"/>
    <cellStyle name="Comma 2 2" xfId="793" xr:uid="{36BDAA95-5C6C-4C87-B3EE-AA61A0A90271}"/>
    <cellStyle name="Comma 2 2 2" xfId="1844" xr:uid="{96B4B4B9-29A2-4B96-A414-B32DDF05117A}"/>
    <cellStyle name="Comma 2 2 3" xfId="3366" xr:uid="{BE0DBFB9-A0CD-448B-8685-DF624863ECEE}"/>
    <cellStyle name="Comma 2 3" xfId="1174" xr:uid="{CF44861D-8A4A-4251-9C92-E60C6EC97FE1}"/>
    <cellStyle name="Comma 2 4" xfId="2985" xr:uid="{B9A421F5-CAEE-4AB1-ADE6-DA67428144AB}"/>
    <cellStyle name="Currency" xfId="1" builtinId="4"/>
    <cellStyle name="Currency 10" xfId="280" xr:uid="{AD7D806D-C4AB-4D05-83E5-9212A4F2E166}"/>
    <cellStyle name="Currency 10 10" xfId="3078" xr:uid="{99E3AA4C-E8CC-40B3-8321-A967595908FE}"/>
    <cellStyle name="Currency 10 11" xfId="535" xr:uid="{42877EC5-B171-401D-A010-8B2D03E2AD01}"/>
    <cellStyle name="Currency 10 2" xfId="297" xr:uid="{94C434F3-4AE3-4DC6-B8D6-891315456C96}"/>
    <cellStyle name="Currency 10 2 2" xfId="743" xr:uid="{9D88E37C-2A22-4748-8CBD-1039207E945C}"/>
    <cellStyle name="Currency 10 2 2 2" xfId="1123" xr:uid="{2ACBA9AE-6F89-47CC-8B34-508B6D79279E}"/>
    <cellStyle name="Currency 10 2 2 2 2" xfId="2735" xr:uid="{11A67262-35CC-4728-90A3-583EFCC564B6}"/>
    <cellStyle name="Currency 10 2 2 2 3" xfId="2174" xr:uid="{12EDBE07-1AC1-40C9-AF9A-EE1F72E0DB5D}"/>
    <cellStyle name="Currency 10 2 2 2 4" xfId="3696" xr:uid="{1D9FD466-1F24-48D6-96AE-1DCB91EDA360}"/>
    <cellStyle name="Currency 10 2 2 3" xfId="1793" xr:uid="{5058DA51-976C-4D5E-A135-5397B9340CAA}"/>
    <cellStyle name="Currency 10 2 2 3 2" xfId="2551" xr:uid="{CFC6D4C3-3392-4656-ACBE-9763674588C3}"/>
    <cellStyle name="Currency 10 2 2 4" xfId="2367" xr:uid="{700AE73D-B273-46D7-9DAC-CEF376C84799}"/>
    <cellStyle name="Currency 10 2 2 5" xfId="1504" xr:uid="{51866FE7-2C6E-47AB-B835-16FB5B4C5ABA}"/>
    <cellStyle name="Currency 10 2 2 6" xfId="3315" xr:uid="{C7F65FA4-B6C8-4474-AA35-3A4FF573535B}"/>
    <cellStyle name="Currency 10 2 3" xfId="683" xr:uid="{E220C7DD-92D9-484A-9E8E-DE519F162499}"/>
    <cellStyle name="Currency 10 2 3 2" xfId="1063" xr:uid="{66A12381-15F5-499F-BC45-395B87938CB4}"/>
    <cellStyle name="Currency 10 2 3 2 2" xfId="2675" xr:uid="{7E1BF006-C01A-4240-98CA-CB424883F73F}"/>
    <cellStyle name="Currency 10 2 3 2 3" xfId="2114" xr:uid="{1FBBF514-0D60-46E9-A1D5-14006AA65B8B}"/>
    <cellStyle name="Currency 10 2 3 2 4" xfId="3636" xr:uid="{337421EC-20AD-4B28-8D28-2871873F1DC5}"/>
    <cellStyle name="Currency 10 2 3 3" xfId="1733" xr:uid="{0708A42C-4D8B-40FF-BDFB-0DE9E5B1961B}"/>
    <cellStyle name="Currency 10 2 3 3 2" xfId="2491" xr:uid="{49CC2515-51B9-41BF-8FAF-69DFBF6A01A9}"/>
    <cellStyle name="Currency 10 2 3 4" xfId="2307" xr:uid="{1C871037-A6F3-48AA-BFAB-8E53A64616F4}"/>
    <cellStyle name="Currency 10 2 3 5" xfId="1444" xr:uid="{3ED1B0F5-29BD-4831-9D1D-CCB2DB58E40E}"/>
    <cellStyle name="Currency 10 2 3 6" xfId="3255" xr:uid="{32945C60-7A96-46A8-9DDC-816D46E58E8C}"/>
    <cellStyle name="Currency 10 2 4" xfId="992" xr:uid="{710A8F37-1782-475C-8C43-52E54F6989DA}"/>
    <cellStyle name="Currency 10 2 4 2" xfId="2611" xr:uid="{D782A623-4AE1-4F08-ACAB-52BC00C02421}"/>
    <cellStyle name="Currency 10 2 4 3" xfId="2043" xr:uid="{F957FA12-5163-4903-87D7-7ED4C3AFB5FA}"/>
    <cellStyle name="Currency 10 2 4 4" xfId="3565" xr:uid="{DBD9433C-3400-4952-8C8A-1B222D9B80AA}"/>
    <cellStyle name="Currency 10 2 5" xfId="1666" xr:uid="{4E07BF29-DC3C-4C9B-9374-D780ED9BC527}"/>
    <cellStyle name="Currency 10 2 5 2" xfId="2427" xr:uid="{C27B346F-8B16-4CF6-B017-5DA9D7695AF1}"/>
    <cellStyle name="Currency 10 2 6" xfId="2243" xr:uid="{6B8DF0D5-CDC3-4954-BF4F-5B0F127C8015}"/>
    <cellStyle name="Currency 10 2 7" xfId="1373" xr:uid="{5E72525E-BDDD-4ACE-99C9-3F1242DF3682}"/>
    <cellStyle name="Currency 10 2 8" xfId="3184" xr:uid="{17E3113D-7F7B-4885-95A0-8F9A3BCEABB4}"/>
    <cellStyle name="Currency 10 2 9" xfId="588" xr:uid="{5993C44E-3ED1-4185-BC40-5B38FDBC1DA0}"/>
    <cellStyle name="Currency 10 3" xfId="607" xr:uid="{4FE5A220-7527-4A63-9F61-C3D677CEF002}"/>
    <cellStyle name="Currency 10 3 2" xfId="762" xr:uid="{40311CA7-8A53-46ED-AD80-AB91727E7A6D}"/>
    <cellStyle name="Currency 10 3 2 2" xfId="1142" xr:uid="{D560A0FF-9D43-4D33-B730-204A201452AB}"/>
    <cellStyle name="Currency 10 3 2 2 2" xfId="2754" xr:uid="{652415F4-4EE7-4264-AF29-C83C35D08CA9}"/>
    <cellStyle name="Currency 10 3 2 2 3" xfId="2193" xr:uid="{A3CE99F5-F07A-45AC-B6B2-AB2E1AB1E974}"/>
    <cellStyle name="Currency 10 3 2 2 4" xfId="3715" xr:uid="{928CDE2D-A7AB-43EB-89CA-AE7BE5A8BE8C}"/>
    <cellStyle name="Currency 10 3 2 3" xfId="1812" xr:uid="{5BAD3988-62B2-4558-B2BF-0AA1D764ED86}"/>
    <cellStyle name="Currency 10 3 2 3 2" xfId="2570" xr:uid="{0CFAA8FB-1BC5-4692-A1D1-2BC76EF34E97}"/>
    <cellStyle name="Currency 10 3 2 4" xfId="2386" xr:uid="{15750D34-CA96-49CC-A6FB-69798D228908}"/>
    <cellStyle name="Currency 10 3 2 5" xfId="1523" xr:uid="{2723B2B0-78B4-4EFB-83FE-21E971B4C53B}"/>
    <cellStyle name="Currency 10 3 2 6" xfId="3334" xr:uid="{78D1CAD7-2AA0-4B6D-A036-0FBA49CAC550}"/>
    <cellStyle name="Currency 10 3 3" xfId="702" xr:uid="{EDE05AF2-C55A-42F0-AFB9-BD83F0BC6063}"/>
    <cellStyle name="Currency 10 3 3 2" xfId="1082" xr:uid="{A8B0A911-826C-40BB-8178-A08B2B998DC3}"/>
    <cellStyle name="Currency 10 3 3 2 2" xfId="2694" xr:uid="{F05CBFBE-C291-47B0-ACFF-C05C0CE2F930}"/>
    <cellStyle name="Currency 10 3 3 2 3" xfId="2133" xr:uid="{C4A516F5-09B1-45D2-A4DD-3495F5270DFB}"/>
    <cellStyle name="Currency 10 3 3 2 4" xfId="3655" xr:uid="{FD3C73BF-F702-40F3-90D0-204BE8EA5051}"/>
    <cellStyle name="Currency 10 3 3 3" xfId="1752" xr:uid="{C929D049-32F5-45C3-9B43-DC9D5744A1C6}"/>
    <cellStyle name="Currency 10 3 3 3 2" xfId="2510" xr:uid="{20242D60-E5F3-497C-894F-97197A9B8775}"/>
    <cellStyle name="Currency 10 3 3 4" xfId="2326" xr:uid="{866AEFA3-FF94-4525-A8C0-7AE4801F4D34}"/>
    <cellStyle name="Currency 10 3 3 5" xfId="1463" xr:uid="{640B5E35-7E40-438C-A4CA-FBBB241E81D3}"/>
    <cellStyle name="Currency 10 3 3 6" xfId="3274" xr:uid="{535B6AC3-CAB6-4B16-8B2F-DFD0FC9177AF}"/>
    <cellStyle name="Currency 10 3 4" xfId="1011" xr:uid="{518C4F0F-4E7E-4A33-A2F6-15284EE33D3A}"/>
    <cellStyle name="Currency 10 3 4 2" xfId="2630" xr:uid="{83430CF7-9C74-45FA-86B4-5EC329E49DB1}"/>
    <cellStyle name="Currency 10 3 4 3" xfId="2062" xr:uid="{F6FAF057-F99F-4C2A-801E-9E5E2DF7244C}"/>
    <cellStyle name="Currency 10 3 4 4" xfId="3584" xr:uid="{ED6CDC33-09DB-4ADF-8A7B-71503D642A40}"/>
    <cellStyle name="Currency 10 3 5" xfId="1685" xr:uid="{01D4BDE9-AFC0-49AE-891A-FDA4E802FADF}"/>
    <cellStyle name="Currency 10 3 5 2" xfId="2446" xr:uid="{EA694714-6FFC-4EEC-8DB5-335298AD21FF}"/>
    <cellStyle name="Currency 10 3 6" xfId="2262" xr:uid="{66CA2E63-B6E4-4113-93CE-FD6455A922E4}"/>
    <cellStyle name="Currency 10 3 7" xfId="1392" xr:uid="{9346F2AA-74D9-4571-8905-A4D2C94DB500}"/>
    <cellStyle name="Currency 10 3 8" xfId="3203" xr:uid="{424307BC-D9CC-487A-B568-268371D1763B}"/>
    <cellStyle name="Currency 10 4" xfId="719" xr:uid="{DA757703-A1B8-4D8D-BC9C-153031552333}"/>
    <cellStyle name="Currency 10 4 2" xfId="1099" xr:uid="{DDC4F84D-885F-40C1-A643-1DB457D4DF96}"/>
    <cellStyle name="Currency 10 4 2 2" xfId="2711" xr:uid="{3E68208F-49E8-4115-814C-EA9A70E0BBB8}"/>
    <cellStyle name="Currency 10 4 2 3" xfId="2150" xr:uid="{C80602A0-14E1-4A91-8025-50EC8C20CA22}"/>
    <cellStyle name="Currency 10 4 2 4" xfId="3672" xr:uid="{DF1EB7EC-FC21-46C0-A0A5-B2BD072A5C03}"/>
    <cellStyle name="Currency 10 4 3" xfId="1769" xr:uid="{ADD6CD06-0F19-4BA2-886D-6C9A04581E96}"/>
    <cellStyle name="Currency 10 4 3 2" xfId="2527" xr:uid="{28C0575E-659A-419A-9894-C200DE153D9F}"/>
    <cellStyle name="Currency 10 4 4" xfId="2343" xr:uid="{82EC2EE6-945E-4C41-8CC7-943FA3DFFBC6}"/>
    <cellStyle name="Currency 10 4 5" xfId="1480" xr:uid="{3EDF3A4E-AE3F-43F8-BCFD-5432CC9FE848}"/>
    <cellStyle name="Currency 10 4 6" xfId="3291" xr:uid="{CB18E344-541F-460E-B1B3-A1F2F2D17524}"/>
    <cellStyle name="Currency 10 5" xfId="657" xr:uid="{3C099224-4C61-417B-B82F-46DA2973C31D}"/>
    <cellStyle name="Currency 10 5 2" xfId="1039" xr:uid="{B705C93F-DB1E-470D-A08D-497CB53B452A}"/>
    <cellStyle name="Currency 10 5 2 2" xfId="2651" xr:uid="{6B3E959D-F722-4323-A5BB-F9868839F01D}"/>
    <cellStyle name="Currency 10 5 2 3" xfId="2090" xr:uid="{BFBE34DE-F61F-498C-B99D-14B2D6122CE6}"/>
    <cellStyle name="Currency 10 5 2 4" xfId="3612" xr:uid="{BC896EFA-D239-4A05-B8F1-808640308A70}"/>
    <cellStyle name="Currency 10 5 3" xfId="1709" xr:uid="{832B92EB-FDE2-4885-A1B6-AA3FFB564544}"/>
    <cellStyle name="Currency 10 5 3 2" xfId="2467" xr:uid="{545BD60B-B90C-422C-B822-554498480A10}"/>
    <cellStyle name="Currency 10 5 4" xfId="2283" xr:uid="{5E7D46FE-EF63-4383-8315-19F349FF6A5D}"/>
    <cellStyle name="Currency 10 5 5" xfId="1420" xr:uid="{901D99B1-3AE4-401A-AC80-EA3A9C205FB0}"/>
    <cellStyle name="Currency 10 5 6" xfId="3231" xr:uid="{3B915BA6-1027-4B49-9750-2B4F56A45371}"/>
    <cellStyle name="Currency 10 6" xfId="886" xr:uid="{9ED7F65A-935C-4DB9-9D2E-FB781C784A9B}"/>
    <cellStyle name="Currency 10 6 2" xfId="2587" xr:uid="{A14F8F42-CDDE-42C0-A125-B8BE153225F4}"/>
    <cellStyle name="Currency 10 6 3" xfId="1937" xr:uid="{77EA4EA6-80A4-4528-9DBB-345A7F26E280}"/>
    <cellStyle name="Currency 10 6 4" xfId="3459" xr:uid="{4388FFE9-A58F-463A-9A51-2FA142C073EA}"/>
    <cellStyle name="Currency 10 7" xfId="1635" xr:uid="{D01DFA24-6A01-4330-B512-BA60727FC1F1}"/>
    <cellStyle name="Currency 10 7 2" xfId="2403" xr:uid="{9D42D976-C34D-4AB8-AE17-A89E0AC50A79}"/>
    <cellStyle name="Currency 10 8" xfId="2219" xr:uid="{9CC43D1D-A4AC-44DD-B455-CC41C932589E}"/>
    <cellStyle name="Currency 10 9" xfId="1267" xr:uid="{E2E29774-DEEA-461C-BB8D-8547496A5FF5}"/>
    <cellStyle name="Currency 11" xfId="138" xr:uid="{6EA9DFAA-09AE-403F-9004-92F06A4893CB}"/>
    <cellStyle name="Currency 11 10" xfId="536" xr:uid="{1130ED67-BBFF-4754-B1A5-730A8B8B9C25}"/>
    <cellStyle name="Currency 11 2" xfId="546" xr:uid="{1ABEC6C2-C45F-4452-A07D-98915B7DA203}"/>
    <cellStyle name="Currency 11 2 2" xfId="895" xr:uid="{110A56B4-2180-4E80-BEC5-25C0833FAA9F}"/>
    <cellStyle name="Currency 11 2 2 2" xfId="1946" xr:uid="{F3EF6A0C-C9B9-4858-94AE-1D5E4281B16C}"/>
    <cellStyle name="Currency 11 2 2 3" xfId="3468" xr:uid="{02AB2309-8022-43EA-955E-10EFA9D6A2C5}"/>
    <cellStyle name="Currency 11 2 3" xfId="1276" xr:uid="{EC1AD3D9-0ACA-4E4A-ACCD-72B9F784027B}"/>
    <cellStyle name="Currency 11 2 4" xfId="3087" xr:uid="{E796CD40-D62D-4379-8895-A1A89FAE3A76}"/>
    <cellStyle name="Currency 11 3" xfId="720" xr:uid="{6E9BAEDA-2498-4DA4-97F5-9885CB230C36}"/>
    <cellStyle name="Currency 11 3 2" xfId="1100" xr:uid="{02121B79-6E0E-4A8B-8243-29D1785B55AD}"/>
    <cellStyle name="Currency 11 3 2 2" xfId="2712" xr:uid="{3173379C-15FA-4E8E-AAE8-393BF33A5002}"/>
    <cellStyle name="Currency 11 3 2 3" xfId="2151" xr:uid="{09E4E6AE-8B97-492F-BC33-43CA4D78F81E}"/>
    <cellStyle name="Currency 11 3 2 4" xfId="3673" xr:uid="{1FEB2701-FE0A-4010-BC5D-41DE8A4D4084}"/>
    <cellStyle name="Currency 11 3 3" xfId="1770" xr:uid="{A4F80B4C-2C04-45A2-A03F-5CFBAB33B0D1}"/>
    <cellStyle name="Currency 11 3 3 2" xfId="2528" xr:uid="{F371352D-8721-4C61-9303-66D24EDAD9AE}"/>
    <cellStyle name="Currency 11 3 4" xfId="2344" xr:uid="{305D8ED9-D04C-4BA4-A2AF-B2B5D3CB8870}"/>
    <cellStyle name="Currency 11 3 5" xfId="1481" xr:uid="{F774FC1D-1529-45D0-B8E7-3584B7781028}"/>
    <cellStyle name="Currency 11 3 6" xfId="3292" xr:uid="{8806CFC2-7ABD-4F59-B8F4-E0C9524F6CC2}"/>
    <cellStyle name="Currency 11 4" xfId="658" xr:uid="{89348994-7AEB-4463-8156-03935FCE5C1E}"/>
    <cellStyle name="Currency 11 4 2" xfId="1040" xr:uid="{920008D5-F7EE-460B-80CF-A704819A8174}"/>
    <cellStyle name="Currency 11 4 2 2" xfId="2652" xr:uid="{487E5F90-D0FE-4039-8E6F-E517354E6879}"/>
    <cellStyle name="Currency 11 4 2 3" xfId="2091" xr:uid="{450B05EE-F7A1-4338-B81E-6ECB698B295A}"/>
    <cellStyle name="Currency 11 4 2 4" xfId="3613" xr:uid="{03FDFAB8-F1D1-4CBA-8D58-6F226770F402}"/>
    <cellStyle name="Currency 11 4 3" xfId="1710" xr:uid="{949F9BDC-50F7-422D-8031-FD4A475E1C7E}"/>
    <cellStyle name="Currency 11 4 3 2" xfId="2468" xr:uid="{C06AD1D2-0D83-40B3-A40F-EF67BEC9537E}"/>
    <cellStyle name="Currency 11 4 4" xfId="2284" xr:uid="{D8C5AEAF-E7BD-4619-A754-D995D3FA5D45}"/>
    <cellStyle name="Currency 11 4 5" xfId="1421" xr:uid="{742034ED-6D72-4F1A-8782-67AD842AFF31}"/>
    <cellStyle name="Currency 11 4 6" xfId="3232" xr:uid="{A845B13C-6799-4F67-B4A9-6249F92E29D6}"/>
    <cellStyle name="Currency 11 5" xfId="888" xr:uid="{9CEFB974-8D32-401E-B7FE-89F747C8D20E}"/>
    <cellStyle name="Currency 11 5 2" xfId="2588" xr:uid="{D77312FB-5DBA-4798-A7F0-FE000F59EFCC}"/>
    <cellStyle name="Currency 11 5 3" xfId="1939" xr:uid="{DA56214E-2ECD-4D1B-B42D-F0A3B447D71D}"/>
    <cellStyle name="Currency 11 5 4" xfId="3461" xr:uid="{CE4711CF-B30A-49E2-8CAD-B7B4D4D14054}"/>
    <cellStyle name="Currency 11 6" xfId="1636" xr:uid="{228BD8A4-24E3-4385-84D3-A4D239D329F6}"/>
    <cellStyle name="Currency 11 6 2" xfId="2404" xr:uid="{DABE6B88-17A2-4DDE-BE1C-6FC5A7A3835A}"/>
    <cellStyle name="Currency 11 7" xfId="2220" xr:uid="{A9AF4DB8-91CD-441B-B84C-F9D4C939C866}"/>
    <cellStyle name="Currency 11 8" xfId="1269" xr:uid="{6C7BB544-6619-4110-9700-905A4ED147D5}"/>
    <cellStyle name="Currency 11 9" xfId="3080" xr:uid="{E9870ED4-4709-4717-9D9D-1E787752AE71}"/>
    <cellStyle name="Currency 12" xfId="303" xr:uid="{DA793CFF-E8D4-46DF-BD67-DC84C6D45207}"/>
    <cellStyle name="Currency 12 2" xfId="721" xr:uid="{2F926C4A-0A2A-4BE7-9D42-7EC48E782D66}"/>
    <cellStyle name="Currency 12 2 2" xfId="1101" xr:uid="{5F08538B-7CBB-4F43-967B-3A6D37EE24F6}"/>
    <cellStyle name="Currency 12 2 2 2" xfId="2713" xr:uid="{93AD3470-A334-4076-99B8-72F350AD3F8D}"/>
    <cellStyle name="Currency 12 2 2 3" xfId="2152" xr:uid="{5F74C021-2369-4394-883A-5E1077208D8A}"/>
    <cellStyle name="Currency 12 2 2 4" xfId="3674" xr:uid="{9FAB181E-94E3-4FC1-812E-3F222CFED944}"/>
    <cellStyle name="Currency 12 2 3" xfId="1771" xr:uid="{2468DAB0-FF6C-4D12-92B9-2901FDCB4A0C}"/>
    <cellStyle name="Currency 12 2 3 2" xfId="2529" xr:uid="{7DF34416-5AB2-44DE-8C8B-716C846C2DFF}"/>
    <cellStyle name="Currency 12 2 4" xfId="2345" xr:uid="{87DA17B7-46CB-415F-B2E9-A7A910C97970}"/>
    <cellStyle name="Currency 12 2 5" xfId="1482" xr:uid="{1D451E48-8781-4D7B-861E-E39AF4D71D38}"/>
    <cellStyle name="Currency 12 2 6" xfId="3293" xr:uid="{7AC059F2-C792-4636-9075-9E5FFB10EAD2}"/>
    <cellStyle name="Currency 12 3" xfId="659" xr:uid="{324FA3F7-2214-4583-8B54-28BAB83BF137}"/>
    <cellStyle name="Currency 12 3 2" xfId="1041" xr:uid="{D10AB66F-3795-4968-9547-F789D967F49C}"/>
    <cellStyle name="Currency 12 3 2 2" xfId="2653" xr:uid="{4A181A2E-CA87-4C87-AD39-FF3D0F2E6CEE}"/>
    <cellStyle name="Currency 12 3 2 3" xfId="2092" xr:uid="{13A3FA87-4926-4065-8B54-B88B84D2E48E}"/>
    <cellStyle name="Currency 12 3 2 4" xfId="3614" xr:uid="{2A754C37-4D50-40D5-A832-4CB6C4933871}"/>
    <cellStyle name="Currency 12 3 3" xfId="1711" xr:uid="{C0C63028-81A9-4CE4-8CAC-8B43B9B761EC}"/>
    <cellStyle name="Currency 12 3 3 2" xfId="2469" xr:uid="{CB3F4E6D-3B5D-4117-9E30-B708B7A14DF6}"/>
    <cellStyle name="Currency 12 3 4" xfId="2285" xr:uid="{3D0EF82F-7547-4C28-931F-EBC73E5CF3BE}"/>
    <cellStyle name="Currency 12 3 5" xfId="1422" xr:uid="{1CFF93EB-FF2A-43F2-BF95-32AE26D5CF36}"/>
    <cellStyle name="Currency 12 3 6" xfId="3233" xr:uid="{E2C64D3F-FA58-4B49-B100-E81392289D5C}"/>
    <cellStyle name="Currency 12 4" xfId="889" xr:uid="{DDC79CB7-C3CC-49FA-AECC-90E8DD33AF09}"/>
    <cellStyle name="Currency 12 4 2" xfId="2589" xr:uid="{3D661015-9CFC-4F1C-8D57-36C378920335}"/>
    <cellStyle name="Currency 12 4 3" xfId="1940" xr:uid="{E7ABED5F-56F2-4DC9-BE8E-8160F324CDFB}"/>
    <cellStyle name="Currency 12 4 4" xfId="3462" xr:uid="{0DF2D768-7BF7-49BE-9428-53C6E745AE8F}"/>
    <cellStyle name="Currency 12 5" xfId="1637" xr:uid="{82D73824-DDFD-4305-940B-F60194710D30}"/>
    <cellStyle name="Currency 12 5 2" xfId="2405" xr:uid="{E47445C2-1884-4D61-B333-86BE8378A34E}"/>
    <cellStyle name="Currency 12 6" xfId="2221" xr:uid="{7747CCF8-63D1-4C40-849D-3F25B99D12E1}"/>
    <cellStyle name="Currency 12 7" xfId="1270" xr:uid="{92905142-ACF5-47AF-A170-1506A61DB0F2}"/>
    <cellStyle name="Currency 12 8" xfId="3081" xr:uid="{BA3D5151-B7E7-4C12-A366-4929539603A1}"/>
    <cellStyle name="Currency 12 9" xfId="537" xr:uid="{84015923-89EC-4305-9B24-1A768E8B4713}"/>
    <cellStyle name="Currency 13" xfId="538" xr:uid="{E529771E-7721-4D63-8FA2-280018FE1539}"/>
    <cellStyle name="Currency 13 2" xfId="722" xr:uid="{637514CD-DBF0-4571-B235-FAD8FF5BCD72}"/>
    <cellStyle name="Currency 13 2 2" xfId="1102" xr:uid="{C16C3AA1-0082-4532-83DC-E4F2DF174862}"/>
    <cellStyle name="Currency 13 2 2 2" xfId="2714" xr:uid="{994AD426-8501-4F69-BDF3-C5F659581061}"/>
    <cellStyle name="Currency 13 2 2 3" xfId="2153" xr:uid="{96BEA14B-3A67-4682-B489-B6FEBDCD343B}"/>
    <cellStyle name="Currency 13 2 2 4" xfId="3675" xr:uid="{8F245832-B6EC-477E-B4B9-65CE8D3D8E8C}"/>
    <cellStyle name="Currency 13 2 3" xfId="1772" xr:uid="{1528671A-34E9-4D33-A12B-DBBB72346ACB}"/>
    <cellStyle name="Currency 13 2 3 2" xfId="2530" xr:uid="{3B24B62A-3D15-4145-BC93-9119AA9EE5ED}"/>
    <cellStyle name="Currency 13 2 4" xfId="2346" xr:uid="{3DE5CD2C-B13D-43A5-A6BC-6F857B6916CF}"/>
    <cellStyle name="Currency 13 2 5" xfId="1483" xr:uid="{224D4FD6-D0D5-4481-9998-746134A4CAD1}"/>
    <cellStyle name="Currency 13 2 6" xfId="3294" xr:uid="{7107B2DD-398A-479C-A665-1E1AE52C8731}"/>
    <cellStyle name="Currency 13 3" xfId="660" xr:uid="{13571F62-8251-414E-9385-DF7C4A0725C5}"/>
    <cellStyle name="Currency 13 3 2" xfId="1042" xr:uid="{CFA40001-E10A-4459-88DF-A6B3D79640C7}"/>
    <cellStyle name="Currency 13 3 2 2" xfId="2654" xr:uid="{C4AB3823-32EA-4C52-9C3C-7F459DA5CB78}"/>
    <cellStyle name="Currency 13 3 2 3" xfId="2093" xr:uid="{91EAA63F-B2B8-4364-A7A4-68536CAD6143}"/>
    <cellStyle name="Currency 13 3 2 4" xfId="3615" xr:uid="{5D65B610-F04B-4AD3-A2E2-4A7B266ED5B7}"/>
    <cellStyle name="Currency 13 3 3" xfId="1712" xr:uid="{AD12CBEC-DD01-4B67-8ADA-4756A78E31E0}"/>
    <cellStyle name="Currency 13 3 3 2" xfId="2470" xr:uid="{C60D3DD3-6D45-4EB5-AC27-C7D1A4B4ADE2}"/>
    <cellStyle name="Currency 13 3 4" xfId="2286" xr:uid="{85C07410-109D-43C8-B14E-68FF44D02130}"/>
    <cellStyle name="Currency 13 3 5" xfId="1423" xr:uid="{8C0EE793-E6AF-4330-96DE-E955CD57564A}"/>
    <cellStyle name="Currency 13 3 6" xfId="3234" xr:uid="{9763AD10-A07F-4C05-970F-997180CF7E11}"/>
    <cellStyle name="Currency 13 4" xfId="890" xr:uid="{3FB84C5E-B9B2-4A6F-BC76-7A31E0DEA671}"/>
    <cellStyle name="Currency 13 4 2" xfId="2590" xr:uid="{498C02F2-F6C6-47F3-886B-FF5E30708895}"/>
    <cellStyle name="Currency 13 4 3" xfId="1941" xr:uid="{EE752716-7CD5-41AD-A352-56BAC37B82EE}"/>
    <cellStyle name="Currency 13 4 4" xfId="3463" xr:uid="{2F35E9DD-5689-4CD3-9F12-F6A520B1D776}"/>
    <cellStyle name="Currency 13 5" xfId="1638" xr:uid="{A62D819F-5595-42E3-A58D-798295CCAE80}"/>
    <cellStyle name="Currency 13 5 2" xfId="2406" xr:uid="{50A996C8-2C95-4907-84B7-670832ACB28F}"/>
    <cellStyle name="Currency 13 6" xfId="2222" xr:uid="{6A997F3C-4EB1-4313-839A-A33316957AE1}"/>
    <cellStyle name="Currency 13 7" xfId="1271" xr:uid="{CE0A43C6-713E-42AF-9218-FA82E580FA5F}"/>
    <cellStyle name="Currency 13 8" xfId="3082" xr:uid="{7877D148-8353-4083-8F65-AAD88DCFB230}"/>
    <cellStyle name="Currency 14" xfId="542" xr:uid="{9D14A819-CFF4-41FF-B5CB-C1257DA20397}"/>
    <cellStyle name="Currency 14 2" xfId="726" xr:uid="{6BBF840D-C9A0-43DE-BB31-BA7303B68763}"/>
    <cellStyle name="Currency 14 2 2" xfId="1106" xr:uid="{5DE8D727-85A4-41D8-99B6-93421D43CE51}"/>
    <cellStyle name="Currency 14 2 2 2" xfId="2718" xr:uid="{63912702-6D1F-454C-9B2A-9E29B41E30B4}"/>
    <cellStyle name="Currency 14 2 2 3" xfId="2157" xr:uid="{1809A01E-38B9-453D-9457-5453D5CA6EFE}"/>
    <cellStyle name="Currency 14 2 2 4" xfId="3679" xr:uid="{F66701D8-57E0-4C02-B389-4225121FB3A3}"/>
    <cellStyle name="Currency 14 2 3" xfId="1776" xr:uid="{F455D140-AC3E-4C30-AFB0-12F80C6766AA}"/>
    <cellStyle name="Currency 14 2 3 2" xfId="2534" xr:uid="{7585B607-08C8-494B-8C6A-0D31EA031FF8}"/>
    <cellStyle name="Currency 14 2 4" xfId="2350" xr:uid="{CFCD1DE8-A0F6-4D73-B8F7-1B575C7BBAD3}"/>
    <cellStyle name="Currency 14 2 5" xfId="1487" xr:uid="{2F49D5D1-F342-4781-A7F5-D68ACD504921}"/>
    <cellStyle name="Currency 14 2 6" xfId="3298" xr:uid="{CFA89B28-E740-4A93-9279-C2037D5C13C4}"/>
    <cellStyle name="Currency 14 3" xfId="664" xr:uid="{EA2E7844-1139-4135-A113-9B307DD24A73}"/>
    <cellStyle name="Currency 14 3 2" xfId="1046" xr:uid="{1120D9DB-E1F0-4B4B-B6E8-5C5A48BCA98E}"/>
    <cellStyle name="Currency 14 3 2 2" xfId="2658" xr:uid="{E4733064-9A5D-4B52-94EE-6706ECA311B0}"/>
    <cellStyle name="Currency 14 3 2 3" xfId="2097" xr:uid="{BC5DE936-00B6-409F-AEB3-0B34E43F78EF}"/>
    <cellStyle name="Currency 14 3 2 4" xfId="3619" xr:uid="{8B768421-B092-4EAF-B4EB-E35F47ADBC03}"/>
    <cellStyle name="Currency 14 3 3" xfId="1716" xr:uid="{01A0FE11-A389-45CC-BBF1-84E047B1C43D}"/>
    <cellStyle name="Currency 14 3 3 2" xfId="2474" xr:uid="{6EBD3DC5-AAC5-4027-A7D9-CAC8632B2F58}"/>
    <cellStyle name="Currency 14 3 4" xfId="2290" xr:uid="{14875D23-1965-4559-902A-E0166961EEBE}"/>
    <cellStyle name="Currency 14 3 5" xfId="1427" xr:uid="{D37C2241-E28F-4763-98AE-296F7045A854}"/>
    <cellStyle name="Currency 14 3 6" xfId="3238" xr:uid="{4A42B4E8-30CE-4BEE-834B-416DFDAFF051}"/>
    <cellStyle name="Currency 14 4" xfId="894" xr:uid="{AEFE4FA2-9050-4556-98BB-5CB845926EDE}"/>
    <cellStyle name="Currency 14 4 2" xfId="2594" xr:uid="{1368E501-771C-4477-96F0-13B08F146292}"/>
    <cellStyle name="Currency 14 4 3" xfId="1945" xr:uid="{F48053C6-E150-4806-9A6D-B28566268641}"/>
    <cellStyle name="Currency 14 4 4" xfId="3467" xr:uid="{30456DAB-1AC6-4E4C-89DC-A1DCC227E17E}"/>
    <cellStyle name="Currency 14 5" xfId="1642" xr:uid="{80BFC56C-7199-42F5-8708-B31CE80DB8C5}"/>
    <cellStyle name="Currency 14 5 2" xfId="2410" xr:uid="{114E58F7-5B19-4C07-B1DD-6F84ED1CD1FA}"/>
    <cellStyle name="Currency 14 6" xfId="2226" xr:uid="{D0A16B11-EBC0-4DE1-A60E-82BA08AF9AE0}"/>
    <cellStyle name="Currency 14 7" xfId="1275" xr:uid="{7A117B4A-4268-47BF-95F0-7A41C74AC766}"/>
    <cellStyle name="Currency 14 8" xfId="3086" xr:uid="{4CEFE3BB-4258-46A0-9FA9-1D7BE3AAD761}"/>
    <cellStyle name="Currency 15" xfId="589" xr:uid="{E797963C-405C-441B-982B-4612D2EB71BC}"/>
    <cellStyle name="Currency 15 2" xfId="744" xr:uid="{CCE5F802-A839-4E12-B70F-0AF42E5EB74F}"/>
    <cellStyle name="Currency 15 2 2" xfId="1124" xr:uid="{CB92E971-5985-4A6B-9277-4C18EB449BB9}"/>
    <cellStyle name="Currency 15 2 2 2" xfId="2736" xr:uid="{55AF3C18-E128-465F-92CD-36A636205ACA}"/>
    <cellStyle name="Currency 15 2 2 3" xfId="2175" xr:uid="{3AA8BF03-CC85-420B-ACD5-47D81C2B3944}"/>
    <cellStyle name="Currency 15 2 2 4" xfId="3697" xr:uid="{8FC57B2F-0D19-4BED-9E8F-07961862EFE6}"/>
    <cellStyle name="Currency 15 2 3" xfId="1794" xr:uid="{23A03DD4-31F8-4388-9FB6-66581172A686}"/>
    <cellStyle name="Currency 15 2 3 2" xfId="2552" xr:uid="{EDD68B5E-A101-4A02-AC5F-E4453523422F}"/>
    <cellStyle name="Currency 15 2 4" xfId="2368" xr:uid="{504FF7AE-B4B2-49DC-951E-B11BDB5EA3B8}"/>
    <cellStyle name="Currency 15 2 5" xfId="1505" xr:uid="{69EA35D4-0E9F-474C-ADE1-60C3A6860363}"/>
    <cellStyle name="Currency 15 2 6" xfId="3316" xr:uid="{5291B5BC-ED0C-4DC2-932E-901CCE009DAC}"/>
    <cellStyle name="Currency 15 3" xfId="684" xr:uid="{88EF7313-33FC-47C2-AC0D-FAA7DFD0A653}"/>
    <cellStyle name="Currency 15 3 2" xfId="1064" xr:uid="{7BDE213E-7056-4C8E-920E-B36DAA91B889}"/>
    <cellStyle name="Currency 15 3 2 2" xfId="2676" xr:uid="{CA935D95-9DDD-4327-A1E4-A3E1D87CDAA1}"/>
    <cellStyle name="Currency 15 3 2 3" xfId="2115" xr:uid="{BE718FFD-2D69-4EA2-82E4-E496B4C5A900}"/>
    <cellStyle name="Currency 15 3 2 4" xfId="3637" xr:uid="{3B1B9663-2E76-4F6B-847C-2247622CB048}"/>
    <cellStyle name="Currency 15 3 3" xfId="1734" xr:uid="{4BE9AF85-FA02-4FE2-B798-A11F3F894C44}"/>
    <cellStyle name="Currency 15 3 3 2" xfId="2492" xr:uid="{949A2DF5-5E93-42D1-B384-4463174CFE1F}"/>
    <cellStyle name="Currency 15 3 4" xfId="2308" xr:uid="{70C1A26F-1E1B-469A-9514-A5463B6C8837}"/>
    <cellStyle name="Currency 15 3 5" xfId="1445" xr:uid="{440C0F0C-80F4-49A7-9BED-AEE001D2CA9E}"/>
    <cellStyle name="Currency 15 3 6" xfId="3256" xr:uid="{89078AA3-23CD-4F17-9204-38FF9C5CD5BD}"/>
    <cellStyle name="Currency 15 4" xfId="993" xr:uid="{FFAAF387-19F0-4210-9616-F4069B1775BC}"/>
    <cellStyle name="Currency 15 4 2" xfId="2612" xr:uid="{06286005-8825-4271-A6C1-019397D21125}"/>
    <cellStyle name="Currency 15 4 3" xfId="2044" xr:uid="{EF58DFCD-2C37-4AAA-BF09-7DABBE97AA92}"/>
    <cellStyle name="Currency 15 4 4" xfId="3566" xr:uid="{0153B888-15B2-4EDC-AE42-0C0F1AAC3FAE}"/>
    <cellStyle name="Currency 15 5" xfId="1667" xr:uid="{1534EF48-8030-43CC-937B-AB462BFB5BCC}"/>
    <cellStyle name="Currency 15 5 2" xfId="2428" xr:uid="{365266C3-058B-4E44-B020-4D03652AB4AE}"/>
    <cellStyle name="Currency 15 6" xfId="2244" xr:uid="{F59A5E77-2E86-48F6-AC61-0197CB64DC1D}"/>
    <cellStyle name="Currency 15 7" xfId="1374" xr:uid="{B97D515D-3A32-4589-AE44-A1450F3C7C55}"/>
    <cellStyle name="Currency 15 8" xfId="3185" xr:uid="{62837676-910B-4BD4-8741-529F46B9A51D}"/>
    <cellStyle name="Currency 16" xfId="590" xr:uid="{118ACF21-1EE6-4256-A534-A5A1922D4866}"/>
    <cellStyle name="Currency 16 2" xfId="745" xr:uid="{4F6795FA-0387-4731-9A6C-6E136E460AE2}"/>
    <cellStyle name="Currency 16 2 2" xfId="1125" xr:uid="{83EFC0F0-A1B0-4B02-B917-97F736677525}"/>
    <cellStyle name="Currency 16 2 2 2" xfId="2737" xr:uid="{34A0A342-5761-4DF4-B716-15210308B24C}"/>
    <cellStyle name="Currency 16 2 2 3" xfId="2176" xr:uid="{32151A61-626F-4ED1-89E3-1E67EEF01708}"/>
    <cellStyle name="Currency 16 2 2 4" xfId="3698" xr:uid="{9D811261-4BC0-41AD-A639-64A522D31D58}"/>
    <cellStyle name="Currency 16 2 3" xfId="1795" xr:uid="{E187AF0B-EA27-4902-B7B9-606A00ED08F7}"/>
    <cellStyle name="Currency 16 2 3 2" xfId="2553" xr:uid="{F0BB124E-1461-4CAC-8292-54C1D8952941}"/>
    <cellStyle name="Currency 16 2 4" xfId="2369" xr:uid="{9E21C838-4033-4B9A-B027-09EB176FF0F7}"/>
    <cellStyle name="Currency 16 2 5" xfId="1506" xr:uid="{EE44E32F-FACA-4A57-8BC0-89CB77489D79}"/>
    <cellStyle name="Currency 16 2 6" xfId="3317" xr:uid="{42F4F58A-F43A-4A1A-8E4B-7DD330B6A2E9}"/>
    <cellStyle name="Currency 16 3" xfId="685" xr:uid="{F0235C69-94B8-4E14-A08C-91811B589C05}"/>
    <cellStyle name="Currency 16 3 2" xfId="1065" xr:uid="{8DC22E18-BEB9-4612-B856-0CF44F11B507}"/>
    <cellStyle name="Currency 16 3 2 2" xfId="2677" xr:uid="{A3C46CC7-7940-4E9E-901E-2045792E0756}"/>
    <cellStyle name="Currency 16 3 2 3" xfId="2116" xr:uid="{1DBDF2F2-65AD-4FB6-8D09-C982A2452F4F}"/>
    <cellStyle name="Currency 16 3 2 4" xfId="3638" xr:uid="{AB3521C9-AB3A-48D1-B30E-F7BA58138AC2}"/>
    <cellStyle name="Currency 16 3 3" xfId="1735" xr:uid="{8072FF42-2FDF-418E-A86D-E2813B949D49}"/>
    <cellStyle name="Currency 16 3 3 2" xfId="2493" xr:uid="{83486914-FF33-4EE3-A360-BDD788836007}"/>
    <cellStyle name="Currency 16 3 4" xfId="2309" xr:uid="{16C820C1-E93F-4EC3-92B4-FC346912E974}"/>
    <cellStyle name="Currency 16 3 5" xfId="1446" xr:uid="{8EC29170-ABC9-4E07-9BE3-8B1662E00EE9}"/>
    <cellStyle name="Currency 16 3 6" xfId="3257" xr:uid="{279747EA-1CB8-4F3B-8E46-9C8ECBF4F2CF}"/>
    <cellStyle name="Currency 16 4" xfId="994" xr:uid="{96E470CD-D9C3-4A7B-A721-84BEA025301C}"/>
    <cellStyle name="Currency 16 4 2" xfId="2613" xr:uid="{557518D5-75C7-4CCD-A384-D197103080FC}"/>
    <cellStyle name="Currency 16 4 3" xfId="2045" xr:uid="{DF19A255-B1B8-4E9A-8A09-58DBC05AE95B}"/>
    <cellStyle name="Currency 16 4 4" xfId="3567" xr:uid="{4387A72A-A5FF-4FAC-9ACC-226CC31E19E5}"/>
    <cellStyle name="Currency 16 5" xfId="1668" xr:uid="{61E4E392-ABC1-485E-A650-BB6CD09DC2CA}"/>
    <cellStyle name="Currency 16 5 2" xfId="2429" xr:uid="{7B179BCD-0509-48E5-90D6-7708CCD52B67}"/>
    <cellStyle name="Currency 16 6" xfId="2245" xr:uid="{77C7DDA5-FB7B-4072-813E-5E00934F9DA8}"/>
    <cellStyle name="Currency 16 7" xfId="1375" xr:uid="{F3C867AC-B2AF-4CB7-9951-6FA3122D1564}"/>
    <cellStyle name="Currency 16 8" xfId="3186" xr:uid="{9A2DA34A-EA81-403B-9BC9-ECDAFC2E3B8F}"/>
    <cellStyle name="Currency 17" xfId="406" xr:uid="{22B95302-CC81-48E7-9FFA-6417C36F3678}"/>
    <cellStyle name="Currency 17 2" xfId="1529" xr:uid="{0D917968-8A28-4EF1-BCE9-5179EC5DAB7A}"/>
    <cellStyle name="Currency 17 3" xfId="2967" xr:uid="{E33AAB23-5C49-4F0A-8609-80D00E481BB1}"/>
    <cellStyle name="Currency 18" xfId="764" xr:uid="{4C93C94C-58AA-4096-99D9-20AFD5A72BA2}"/>
    <cellStyle name="Currency 18 2" xfId="1814" xr:uid="{DEF3808C-0977-42D4-BC49-5C4B604ECADD}"/>
    <cellStyle name="Currency 18 3" xfId="3336" xr:uid="{F1876BCC-2EDB-4DA3-9231-65E5C07ED40A}"/>
    <cellStyle name="Currency 19" xfId="2194" xr:uid="{794047EC-E295-422B-9D3E-6D9C771C4D65}"/>
    <cellStyle name="Currency 2" xfId="156" xr:uid="{50F0B781-02E8-4622-B5CB-C66AFD11AD53}"/>
    <cellStyle name="Currency 2 2" xfId="263" xr:uid="{FBBDCFA2-AE9B-48C0-99C1-1F8FD1127BB0}"/>
    <cellStyle name="Currency 2 2 2" xfId="579" xr:uid="{2A4C836B-7924-4FF0-9E85-7ED8CE4C6514}"/>
    <cellStyle name="Currency 2 2 3" xfId="526" xr:uid="{F6F54A88-5A0A-44D9-8EA7-03EADDA2D98D}"/>
    <cellStyle name="Currency 2 3" xfId="302" xr:uid="{EFBF2DE6-CCEF-40D8-8440-730BF4C975E0}"/>
    <cellStyle name="Currency 2 3 2" xfId="555" xr:uid="{D15A23DD-B346-4AB2-9F00-839F1E0FE76D}"/>
    <cellStyle name="Currency 2 4" xfId="634" xr:uid="{8F7C75A3-B8B9-43F1-867B-17403071E492}"/>
    <cellStyle name="Currency 2 5" xfId="618" xr:uid="{FF66E4E4-5666-4220-AFA1-2E3745C21AC3}"/>
    <cellStyle name="Currency 2 5 2" xfId="1691" xr:uid="{DFBEF948-1D7C-4A0A-98A1-D6022A07F98A}"/>
    <cellStyle name="Currency 2 6" xfId="423" xr:uid="{EE56402D-A0AA-4E68-A197-D77390EA42B2}"/>
    <cellStyle name="Currency 20" xfId="2195" xr:uid="{81453B3C-FD6E-409B-AF35-6ECA12733598}"/>
    <cellStyle name="Currency 21" xfId="2755" xr:uid="{0580A768-98AA-46B7-A689-96CC4AA7EFC9}"/>
    <cellStyle name="Currency 22" xfId="2758" xr:uid="{BDDAE67B-68D0-438B-BA9D-7F66BCABB3C9}"/>
    <cellStyle name="Currency 23" xfId="2761" xr:uid="{97596383-DAF7-4EE9-A0E4-22FCBD2E520C}"/>
    <cellStyle name="Currency 24" xfId="1144" xr:uid="{7B472DA7-A956-4E3C-B256-858506A00602}"/>
    <cellStyle name="Currency 25" xfId="3724" xr:uid="{2F9C9CA3-B1C0-44EF-B411-5BA75924E1AD}"/>
    <cellStyle name="Currency 3" xfId="157" xr:uid="{BD2210FC-E13E-43E2-81C6-84C93F3E04FA}"/>
    <cellStyle name="Currency 3 10" xfId="2199" xr:uid="{569E3D9F-F00C-498E-874F-4F71F84E75EA}"/>
    <cellStyle name="Currency 3 11" xfId="1158" xr:uid="{095BB63C-09EB-4CD5-B253-375D46205D35}"/>
    <cellStyle name="Currency 3 12" xfId="2981" xr:uid="{CB0A68F6-EBE5-4E90-ACEC-8C559136876A}"/>
    <cellStyle name="Currency 3 13" xfId="424" xr:uid="{1D82BACB-E8FD-4075-B7B4-B7982D7DC4B7}"/>
    <cellStyle name="Currency 3 2" xfId="264" xr:uid="{A88BCD27-AD40-4FFC-9BF5-3A377211E96D}"/>
    <cellStyle name="Currency 3 2 10" xfId="3072" xr:uid="{012C1AE7-A155-4D61-AAB9-596ED154B24D}"/>
    <cellStyle name="Currency 3 2 11" xfId="527" xr:uid="{23676801-C3D3-4089-948F-FC94DE9D87CA}"/>
    <cellStyle name="Currency 3 2 2" xfId="292" xr:uid="{2AAE9310-9939-4854-A03F-70593203A2A5}"/>
    <cellStyle name="Currency 3 2 2 2" xfId="738" xr:uid="{82D76279-0489-4D2C-B7C0-61CA8F278112}"/>
    <cellStyle name="Currency 3 2 2 2 2" xfId="1118" xr:uid="{E86BD6BA-B3DC-4F36-98C1-43BD7D089662}"/>
    <cellStyle name="Currency 3 2 2 2 2 2" xfId="2730" xr:uid="{559CFF0B-79FA-4B35-9593-BCED80869CAF}"/>
    <cellStyle name="Currency 3 2 2 2 2 3" xfId="2169" xr:uid="{DD554EE6-C873-417A-8733-1EAE0F156789}"/>
    <cellStyle name="Currency 3 2 2 2 2 4" xfId="3691" xr:uid="{6103CD7D-60CA-403E-897D-FC0F0A72CB7C}"/>
    <cellStyle name="Currency 3 2 2 2 3" xfId="1788" xr:uid="{B294F13A-4D41-4C39-993D-E99E2BEEDB9D}"/>
    <cellStyle name="Currency 3 2 2 2 3 2" xfId="2546" xr:uid="{9BF4C36E-6BE1-4179-92E4-BD8234CB9368}"/>
    <cellStyle name="Currency 3 2 2 2 4" xfId="2362" xr:uid="{2969F191-CB0E-480C-BE89-6D57F82F1BD1}"/>
    <cellStyle name="Currency 3 2 2 2 5" xfId="1499" xr:uid="{82D361C7-7582-41FB-B231-377CB01ECC4C}"/>
    <cellStyle name="Currency 3 2 2 2 6" xfId="3310" xr:uid="{097608A6-004C-4F29-8560-534F46EC7C96}"/>
    <cellStyle name="Currency 3 2 2 3" xfId="678" xr:uid="{A1F58963-6EB0-4FB6-B674-10BB7E2E418D}"/>
    <cellStyle name="Currency 3 2 2 3 2" xfId="1058" xr:uid="{8FEB0129-E2EF-4389-93E4-3C73988447B7}"/>
    <cellStyle name="Currency 3 2 2 3 2 2" xfId="2670" xr:uid="{8D3FE265-25CE-4A81-B30F-9C988B4027B5}"/>
    <cellStyle name="Currency 3 2 2 3 2 3" xfId="2109" xr:uid="{A2BF4138-EB12-4757-BCF2-7425FA86E0E5}"/>
    <cellStyle name="Currency 3 2 2 3 2 4" xfId="3631" xr:uid="{1620BCE2-4105-47BD-B5CD-6C552E06767F}"/>
    <cellStyle name="Currency 3 2 2 3 3" xfId="1728" xr:uid="{47590300-0B1F-484F-B000-FFAB6D29EEFA}"/>
    <cellStyle name="Currency 3 2 2 3 3 2" xfId="2486" xr:uid="{6EF9438C-5964-433F-B7EF-9173686754FA}"/>
    <cellStyle name="Currency 3 2 2 3 4" xfId="2302" xr:uid="{D2422080-A481-4795-9915-7C9CBA669C4E}"/>
    <cellStyle name="Currency 3 2 2 3 5" xfId="1439" xr:uid="{68C6D888-24C8-4477-9B95-62A14A2E746C}"/>
    <cellStyle name="Currency 3 2 2 3 6" xfId="3250" xr:uid="{893C7501-EADC-4014-A834-30E76F728B60}"/>
    <cellStyle name="Currency 3 2 2 4" xfId="987" xr:uid="{4F091251-BE09-4D24-A02A-CBD19AE2E10E}"/>
    <cellStyle name="Currency 3 2 2 4 2" xfId="2606" xr:uid="{2AA7250B-1F0B-49A4-B2F9-9C340FF41F58}"/>
    <cellStyle name="Currency 3 2 2 4 3" xfId="2038" xr:uid="{B8DE254D-EEE4-409C-8F77-4A673916169D}"/>
    <cellStyle name="Currency 3 2 2 4 4" xfId="3560" xr:uid="{3A05AFB0-7CF3-4E3E-BCB5-58311EC7FDAF}"/>
    <cellStyle name="Currency 3 2 2 5" xfId="1661" xr:uid="{1A896833-2C1E-4400-8E1E-326DDACF4035}"/>
    <cellStyle name="Currency 3 2 2 5 2" xfId="2422" xr:uid="{66A02638-5963-4123-8EE0-7DD3A08C0AF9}"/>
    <cellStyle name="Currency 3 2 2 6" xfId="2238" xr:uid="{166FAD0D-4167-4D4C-97B3-88DE83B71549}"/>
    <cellStyle name="Currency 3 2 2 7" xfId="1368" xr:uid="{0A58C7BA-A44D-4C61-B1A1-ADB2039A6596}"/>
    <cellStyle name="Currency 3 2 2 8" xfId="3179" xr:uid="{B45B6868-870F-47ED-AF33-627D5F071FA7}"/>
    <cellStyle name="Currency 3 2 2 9" xfId="580" xr:uid="{E19073EA-D0F0-40F2-8D83-94B81AEBA86C}"/>
    <cellStyle name="Currency 3 2 3" xfId="602" xr:uid="{4968935D-E458-4777-A8B6-DDFE269A6B54}"/>
    <cellStyle name="Currency 3 2 3 2" xfId="757" xr:uid="{9F4B6F0C-2106-40D2-BB06-7B2E35385438}"/>
    <cellStyle name="Currency 3 2 3 2 2" xfId="1137" xr:uid="{8406BD75-5DC8-4579-A046-3F76D1B76DE8}"/>
    <cellStyle name="Currency 3 2 3 2 2 2" xfId="2749" xr:uid="{3E6A20AA-FFCD-440A-AA5B-F64100F3CAB9}"/>
    <cellStyle name="Currency 3 2 3 2 2 3" xfId="2188" xr:uid="{C087B895-A916-4EDF-BD12-96CF54EA8799}"/>
    <cellStyle name="Currency 3 2 3 2 2 4" xfId="3710" xr:uid="{015A0D1E-D526-47C5-8E09-3D51E90C09B4}"/>
    <cellStyle name="Currency 3 2 3 2 3" xfId="1807" xr:uid="{0725CEAF-AD29-4170-87F3-55592380879B}"/>
    <cellStyle name="Currency 3 2 3 2 3 2" xfId="2565" xr:uid="{A962461B-5396-49E2-B37F-BA40B322F63D}"/>
    <cellStyle name="Currency 3 2 3 2 4" xfId="2381" xr:uid="{6A573EF1-EFC2-45DD-8A4F-AFD950FD4109}"/>
    <cellStyle name="Currency 3 2 3 2 5" xfId="1518" xr:uid="{3A7842FF-D248-49D4-8ECE-79978AF7FF09}"/>
    <cellStyle name="Currency 3 2 3 2 6" xfId="3329" xr:uid="{BFD6DD7A-E05E-4CF0-ABE6-0B33CAEC808A}"/>
    <cellStyle name="Currency 3 2 3 3" xfId="697" xr:uid="{B2FEB290-0155-425E-BDF2-F0BE562B4935}"/>
    <cellStyle name="Currency 3 2 3 3 2" xfId="1077" xr:uid="{8B684597-9EEB-4784-BE02-0612CA987DAD}"/>
    <cellStyle name="Currency 3 2 3 3 2 2" xfId="2689" xr:uid="{54D4ED13-2D62-410A-B7DC-5A5CF8FEB538}"/>
    <cellStyle name="Currency 3 2 3 3 2 3" xfId="2128" xr:uid="{691880EA-CF59-473D-93BC-0CE9FFA7E489}"/>
    <cellStyle name="Currency 3 2 3 3 2 4" xfId="3650" xr:uid="{A4F3F9B1-A6EA-40BC-A468-00C7819D20C6}"/>
    <cellStyle name="Currency 3 2 3 3 3" xfId="1747" xr:uid="{776CA865-414B-49C1-A26F-DCE11EF925C6}"/>
    <cellStyle name="Currency 3 2 3 3 3 2" xfId="2505" xr:uid="{F19A51DE-8E16-41A5-9134-B557E1AC9D02}"/>
    <cellStyle name="Currency 3 2 3 3 4" xfId="2321" xr:uid="{3FD63D5F-5BB4-4CB8-9E5B-3EF6753EDDFC}"/>
    <cellStyle name="Currency 3 2 3 3 5" xfId="1458" xr:uid="{8173FB84-9035-42A1-BFA4-643B54204F62}"/>
    <cellStyle name="Currency 3 2 3 3 6" xfId="3269" xr:uid="{D55A05D7-4A75-413C-929B-1B7E0E81CBF7}"/>
    <cellStyle name="Currency 3 2 3 4" xfId="1006" xr:uid="{414AAB73-F519-4E64-B788-FDA030966455}"/>
    <cellStyle name="Currency 3 2 3 4 2" xfId="2625" xr:uid="{0CB4A5EA-ADAF-470F-9961-F060EDA3315A}"/>
    <cellStyle name="Currency 3 2 3 4 3" xfId="2057" xr:uid="{02178C42-639B-4D25-9561-C7ACBB5E9353}"/>
    <cellStyle name="Currency 3 2 3 4 4" xfId="3579" xr:uid="{A25E5881-D434-4084-8B46-C300D58BFD82}"/>
    <cellStyle name="Currency 3 2 3 5" xfId="1680" xr:uid="{8F513FF1-7799-46CE-8EC8-FBE2E33CB892}"/>
    <cellStyle name="Currency 3 2 3 5 2" xfId="2441" xr:uid="{A58C760E-2372-46E2-8ADB-2B85AD6A24D4}"/>
    <cellStyle name="Currency 3 2 3 6" xfId="2257" xr:uid="{98DB1A1E-9DA7-45C3-966F-802341D21FCB}"/>
    <cellStyle name="Currency 3 2 3 7" xfId="1387" xr:uid="{015E69DA-FAB6-4C5D-9BF8-457E589465FD}"/>
    <cellStyle name="Currency 3 2 3 8" xfId="3198" xr:uid="{7FF35550-274B-4EE4-98FE-B07CB39493E2}"/>
    <cellStyle name="Currency 3 2 4" xfId="714" xr:uid="{75030495-8377-42E6-A7CE-3EEFA30FF5FE}"/>
    <cellStyle name="Currency 3 2 4 2" xfId="1094" xr:uid="{06E449BD-6402-455A-94FC-534B2D0635C9}"/>
    <cellStyle name="Currency 3 2 4 2 2" xfId="2706" xr:uid="{C1F0A36A-CF49-465B-8550-3AEF8E799323}"/>
    <cellStyle name="Currency 3 2 4 2 3" xfId="2145" xr:uid="{AABFB9A9-A308-4B9F-BB1D-EC9FC6C439EE}"/>
    <cellStyle name="Currency 3 2 4 2 4" xfId="3667" xr:uid="{BA2ACE40-E307-4CA0-8920-1D56082E0550}"/>
    <cellStyle name="Currency 3 2 4 3" xfId="1764" xr:uid="{2A8B7AFC-247B-44FC-BA29-4482320E3617}"/>
    <cellStyle name="Currency 3 2 4 3 2" xfId="2522" xr:uid="{29ACCDEF-40E5-4D52-956D-120A07D68F0A}"/>
    <cellStyle name="Currency 3 2 4 4" xfId="2338" xr:uid="{4ED65F8E-52BD-4C8D-8C8A-CF1FECFDBA14}"/>
    <cellStyle name="Currency 3 2 4 5" xfId="1475" xr:uid="{9F2403BD-D20D-4D09-AB58-8BE7EF1D5050}"/>
    <cellStyle name="Currency 3 2 4 6" xfId="3286" xr:uid="{59A76C85-9256-4F1D-A7EF-1F55F7112970}"/>
    <cellStyle name="Currency 3 2 5" xfId="652" xr:uid="{95CD186F-F225-433C-993B-F102389C20E2}"/>
    <cellStyle name="Currency 3 2 5 2" xfId="1034" xr:uid="{EE030E4E-D8A9-4093-A382-3120B740481B}"/>
    <cellStyle name="Currency 3 2 5 2 2" xfId="2646" xr:uid="{36775FD2-540A-47EA-8D22-6B361335D5A5}"/>
    <cellStyle name="Currency 3 2 5 2 3" xfId="2085" xr:uid="{8B8D7BEE-CF58-4A7B-84D5-A99472540BF5}"/>
    <cellStyle name="Currency 3 2 5 2 4" xfId="3607" xr:uid="{F8AA0806-1615-4FB8-BDA7-991FA1C86A8A}"/>
    <cellStyle name="Currency 3 2 5 3" xfId="1704" xr:uid="{DCE614F4-49B9-4EB5-9B38-156CED52E7C4}"/>
    <cellStyle name="Currency 3 2 5 3 2" xfId="2462" xr:uid="{8F646FF0-51E3-4906-8331-E47371BF4C83}"/>
    <cellStyle name="Currency 3 2 5 4" xfId="2278" xr:uid="{C97BB64F-DD36-43E4-9827-36F981C6286F}"/>
    <cellStyle name="Currency 3 2 5 5" xfId="1415" xr:uid="{FCC861E0-B6F2-4811-A212-CC0D91BC381E}"/>
    <cellStyle name="Currency 3 2 5 6" xfId="3226" xr:uid="{53242579-C275-488A-8841-AFFAEE892971}"/>
    <cellStyle name="Currency 3 2 6" xfId="880" xr:uid="{E28B1FEE-CD9C-4569-AFBC-2885F71F2640}"/>
    <cellStyle name="Currency 3 2 6 2" xfId="2582" xr:uid="{EA76B6EC-5ED6-4234-9DDD-99BDF62EE505}"/>
    <cellStyle name="Currency 3 2 6 3" xfId="1931" xr:uid="{085F1366-2A26-4D0B-8810-35BAEC0D05D6}"/>
    <cellStyle name="Currency 3 2 6 4" xfId="3453" xr:uid="{4350EFB9-A6C1-4317-BE8D-2D4C2752BB14}"/>
    <cellStyle name="Currency 3 2 7" xfId="1630" xr:uid="{AC772415-296F-4179-97D7-CF301EE5AD24}"/>
    <cellStyle name="Currency 3 2 7 2" xfId="2398" xr:uid="{6F09FDC0-BFC6-46A1-91B6-D805AA93265A}"/>
    <cellStyle name="Currency 3 2 8" xfId="2214" xr:uid="{78F76FFA-BB94-4A3B-A033-4DAAB1DCD1D7}"/>
    <cellStyle name="Currency 3 2 9" xfId="1261" xr:uid="{0C3A8921-2CC7-4D02-A188-705A3D62EE81}"/>
    <cellStyle name="Currency 3 3" xfId="284" xr:uid="{DD41E3F4-44CA-4A0A-A152-EFE198EC931B}"/>
    <cellStyle name="Currency 3 3 2" xfId="730" xr:uid="{4AA1D6A6-EBDC-4CE2-B532-5BC7BFDBAE06}"/>
    <cellStyle name="Currency 3 3 2 2" xfId="1110" xr:uid="{5ED2E9A1-9A29-411F-B0BD-7287CBD4314A}"/>
    <cellStyle name="Currency 3 3 2 2 2" xfId="2722" xr:uid="{1D1F1317-C8FD-4774-9BAD-81F82FD8A3C0}"/>
    <cellStyle name="Currency 3 3 2 2 3" xfId="2161" xr:uid="{362C7D73-FECA-4A3E-98F5-D83C842F2D6E}"/>
    <cellStyle name="Currency 3 3 2 2 4" xfId="3683" xr:uid="{8A048EC4-8AC1-4169-AFC0-AF323C76350B}"/>
    <cellStyle name="Currency 3 3 2 3" xfId="1780" xr:uid="{97F745E1-2596-41B9-A4FD-8B5E94ABD754}"/>
    <cellStyle name="Currency 3 3 2 3 2" xfId="2538" xr:uid="{418B2C67-F826-438C-A620-2FD254D824B7}"/>
    <cellStyle name="Currency 3 3 2 4" xfId="2354" xr:uid="{B366180B-FAA1-41D6-AE45-A7EF7C433727}"/>
    <cellStyle name="Currency 3 3 2 5" xfId="1491" xr:uid="{3B5EF7A6-9353-46CB-81B2-854269C96C3E}"/>
    <cellStyle name="Currency 3 3 2 6" xfId="3302" xr:uid="{B0240754-8432-475C-BF0E-6F8E6D29A9F4}"/>
    <cellStyle name="Currency 3 3 3" xfId="669" xr:uid="{7D73D22F-FDA2-4CE5-AFCF-76F0ABD035FF}"/>
    <cellStyle name="Currency 3 3 3 2" xfId="1050" xr:uid="{3596B80B-5418-47E2-82B5-C928C7E01ACC}"/>
    <cellStyle name="Currency 3 3 3 2 2" xfId="2662" xr:uid="{C925643A-C163-4DDB-B122-9E17B36EF7A6}"/>
    <cellStyle name="Currency 3 3 3 2 3" xfId="2101" xr:uid="{CA0A9FF1-4375-45D8-9D50-7C632D0BE88D}"/>
    <cellStyle name="Currency 3 3 3 2 4" xfId="3623" xr:uid="{A799A50F-887D-41F0-819F-5FF314A47122}"/>
    <cellStyle name="Currency 3 3 3 3" xfId="1720" xr:uid="{124017BA-91C6-495C-B48A-1153CBD98EB9}"/>
    <cellStyle name="Currency 3 3 3 3 2" xfId="2478" xr:uid="{33A8D0E9-7A7B-4B96-888E-C7805AA220F5}"/>
    <cellStyle name="Currency 3 3 3 4" xfId="2294" xr:uid="{DF785276-ADF8-4CBE-B1F8-9A16A2CEA1DA}"/>
    <cellStyle name="Currency 3 3 3 5" xfId="1431" xr:uid="{F51DB643-C146-429F-AD9B-BE7F86AB063D}"/>
    <cellStyle name="Currency 3 3 3 6" xfId="3242" xr:uid="{59376FEF-2026-453B-A295-9F67B94E0C67}"/>
    <cellStyle name="Currency 3 3 4" xfId="909" xr:uid="{CFA55DA8-8AAE-4996-B2FB-509C825F19C0}"/>
    <cellStyle name="Currency 3 3 4 2" xfId="2598" xr:uid="{F21C756A-DBCB-4662-99F5-6EFE00412D6A}"/>
    <cellStyle name="Currency 3 3 4 3" xfId="1960" xr:uid="{1C98D04F-138A-4499-979B-BCE8DA180B51}"/>
    <cellStyle name="Currency 3 3 4 4" xfId="3482" xr:uid="{640B2A19-2FBA-46C9-885F-0B0B3D143941}"/>
    <cellStyle name="Currency 3 3 5" xfId="1647" xr:uid="{B88AAE82-2647-437A-A8E2-12507E017E39}"/>
    <cellStyle name="Currency 3 3 5 2" xfId="2414" xr:uid="{2E249B2E-9018-408F-A58C-AE2662E72500}"/>
    <cellStyle name="Currency 3 3 6" xfId="2230" xr:uid="{3DF8D1D3-14AE-4AD8-A20B-BC3080E4146A}"/>
    <cellStyle name="Currency 3 3 7" xfId="1290" xr:uid="{92B7DAB5-145E-4B0B-954C-2DCDB76F8959}"/>
    <cellStyle name="Currency 3 3 8" xfId="3101" xr:uid="{B952C2CE-8E89-4163-BA92-6FFC9F72BDB4}"/>
    <cellStyle name="Currency 3 3 9" xfId="556" xr:uid="{740A25DD-2BDF-46C9-8C6F-2CEFE81A29B0}"/>
    <cellStyle name="Currency 3 4" xfId="594" xr:uid="{3AA2AC27-2284-481A-9E57-DC02D828C682}"/>
    <cellStyle name="Currency 3 4 2" xfId="749" xr:uid="{D6C822E7-C78C-4516-8C9A-8442DB20133A}"/>
    <cellStyle name="Currency 3 4 2 2" xfId="1129" xr:uid="{E3808C30-9348-4F0E-B0D5-C63801EE0AA7}"/>
    <cellStyle name="Currency 3 4 2 2 2" xfId="2741" xr:uid="{726F5458-C2E0-4CD0-BCCE-2DA15C4E3067}"/>
    <cellStyle name="Currency 3 4 2 2 3" xfId="2180" xr:uid="{5606831F-3F92-470E-96A6-40295E4FFF78}"/>
    <cellStyle name="Currency 3 4 2 2 4" xfId="3702" xr:uid="{70B7D36A-39D3-442C-854A-B57C77991E30}"/>
    <cellStyle name="Currency 3 4 2 3" xfId="1799" xr:uid="{CFB74AA6-F56E-4AE1-B042-A169E39CC0D2}"/>
    <cellStyle name="Currency 3 4 2 3 2" xfId="2557" xr:uid="{4741ECED-8EA3-4D82-9EE7-DC66A28FA842}"/>
    <cellStyle name="Currency 3 4 2 4" xfId="2373" xr:uid="{18787FE7-5573-4611-9D3F-B1FCD373A3C8}"/>
    <cellStyle name="Currency 3 4 2 5" xfId="1510" xr:uid="{7FDF69D3-3651-49B1-BBE8-D775B5B029A2}"/>
    <cellStyle name="Currency 3 4 2 6" xfId="3321" xr:uid="{E15C3582-790A-4895-96D2-BF6FC8E3D6C4}"/>
    <cellStyle name="Currency 3 4 3" xfId="689" xr:uid="{013F2A03-E381-431A-89B3-01010E7CAB46}"/>
    <cellStyle name="Currency 3 4 3 2" xfId="1069" xr:uid="{42F52D2B-B74D-4252-956F-0658096494EF}"/>
    <cellStyle name="Currency 3 4 3 2 2" xfId="2681" xr:uid="{1F6621AB-C598-4137-91FF-4A55213F83F7}"/>
    <cellStyle name="Currency 3 4 3 2 3" xfId="2120" xr:uid="{389F04C0-68F0-45FD-8F7F-02DCC897D8E9}"/>
    <cellStyle name="Currency 3 4 3 2 4" xfId="3642" xr:uid="{E7323CDF-1231-47C9-8E56-AFAFB5EAA6C4}"/>
    <cellStyle name="Currency 3 4 3 3" xfId="1739" xr:uid="{04C1F778-D06F-47EE-96E4-5B17DD66CA26}"/>
    <cellStyle name="Currency 3 4 3 3 2" xfId="2497" xr:uid="{CE5F31EF-AE23-4D54-9673-C3A0EC8677AC}"/>
    <cellStyle name="Currency 3 4 3 4" xfId="2313" xr:uid="{194F406B-D3EF-462F-942D-407A0A27539E}"/>
    <cellStyle name="Currency 3 4 3 5" xfId="1450" xr:uid="{E0AF4CF6-F311-4B3C-9392-53C115B70D60}"/>
    <cellStyle name="Currency 3 4 3 6" xfId="3261" xr:uid="{54F4F5BB-1B14-49FB-A1BC-C2F5A46BDD33}"/>
    <cellStyle name="Currency 3 4 4" xfId="998" xr:uid="{BE62A954-CE81-473F-8EFC-45E9477FCF17}"/>
    <cellStyle name="Currency 3 4 4 2" xfId="2617" xr:uid="{80929244-9565-458A-B104-CE8E5AAB944C}"/>
    <cellStyle name="Currency 3 4 4 3" xfId="2049" xr:uid="{C3C5341A-E2B0-4B1C-806C-07B9A66E319E}"/>
    <cellStyle name="Currency 3 4 4 4" xfId="3571" xr:uid="{780BB7C8-B0B1-4893-86F4-A51AB1E8C1D5}"/>
    <cellStyle name="Currency 3 4 5" xfId="1672" xr:uid="{5EB03BF2-DC9C-407E-9955-CA8202D69628}"/>
    <cellStyle name="Currency 3 4 5 2" xfId="2433" xr:uid="{580F5DBF-4A45-43E4-8168-1B8E5090B939}"/>
    <cellStyle name="Currency 3 4 6" xfId="2249" xr:uid="{91A71535-16DA-4602-9B20-7F45F7CF4DFD}"/>
    <cellStyle name="Currency 3 4 7" xfId="1379" xr:uid="{FB554316-915D-4557-A72D-C755A0ECFFC8}"/>
    <cellStyle name="Currency 3 4 8" xfId="3190" xr:uid="{BB844248-F912-4C98-980C-260AFA4BC782}"/>
    <cellStyle name="Currency 3 5" xfId="635" xr:uid="{09E76C9C-4D96-437E-A966-F9FCBEAFD511}"/>
    <cellStyle name="Currency 3 5 2" xfId="1026" xr:uid="{41CF2B4C-C0B3-4FDB-9CBF-128EF1AE0778}"/>
    <cellStyle name="Currency 3 5 2 2" xfId="2638" xr:uid="{95ABE239-4EAB-4642-9AB1-1D1F4EE986B9}"/>
    <cellStyle name="Currency 3 5 2 3" xfId="2077" xr:uid="{A868A213-EF90-4EC1-B198-DE4521ABA6C9}"/>
    <cellStyle name="Currency 3 5 2 4" xfId="3599" xr:uid="{D4C045C8-ABD6-47C2-8BB3-9EEDC55A7CDE}"/>
    <cellStyle name="Currency 3 5 3" xfId="1696" xr:uid="{847FDD0E-7619-404F-909D-BF1E98A85E7F}"/>
    <cellStyle name="Currency 3 5 3 2" xfId="2454" xr:uid="{AEBA312C-07EE-45BF-9772-FA9ECE0D3250}"/>
    <cellStyle name="Currency 3 5 4" xfId="2270" xr:uid="{31668408-D1EE-4176-9142-FDD1EC041F0E}"/>
    <cellStyle name="Currency 3 5 5" xfId="1407" xr:uid="{724B7CD0-CC5C-4043-B103-23C520C943AD}"/>
    <cellStyle name="Currency 3 5 6" xfId="3218" xr:uid="{70CBA0AB-821A-41EF-BF55-9537B695B81B}"/>
    <cellStyle name="Currency 3 6" xfId="706" xr:uid="{385B9D32-E05A-4957-AC65-AD3233D296F8}"/>
    <cellStyle name="Currency 3 6 2" xfId="1086" xr:uid="{2774F3D1-68DF-4E9C-BEBD-FBD286332D3F}"/>
    <cellStyle name="Currency 3 6 2 2" xfId="2698" xr:uid="{B0BBEB19-5143-4520-9F84-42C60A04186A}"/>
    <cellStyle name="Currency 3 6 2 3" xfId="2137" xr:uid="{65FC75EF-B824-422D-A68D-7E55C9360DC1}"/>
    <cellStyle name="Currency 3 6 2 4" xfId="3659" xr:uid="{7E5A9364-C6DF-4237-9138-E8C6434CA2AC}"/>
    <cellStyle name="Currency 3 6 3" xfId="1756" xr:uid="{CE50325A-DCEE-4A83-A1BA-576117AB1D01}"/>
    <cellStyle name="Currency 3 6 3 2" xfId="2514" xr:uid="{047DA622-35C9-44F7-820D-5A5BA50BFB48}"/>
    <cellStyle name="Currency 3 6 4" xfId="2330" xr:uid="{65396D3D-F5D7-41CA-A16A-8A1BFF36FA1E}"/>
    <cellStyle name="Currency 3 6 5" xfId="1467" xr:uid="{0C1903F7-E198-47A4-8600-5730F06B4E90}"/>
    <cellStyle name="Currency 3 6 6" xfId="3278" xr:uid="{160682C8-15D0-46C1-8D23-B01E384F58A6}"/>
    <cellStyle name="Currency 3 7" xfId="623" xr:uid="{B51B6BB3-7845-44E0-8300-A42242071F09}"/>
    <cellStyle name="Currency 3 8" xfId="777" xr:uid="{02572C51-5DDD-49A3-8F2C-906AD60CC12D}"/>
    <cellStyle name="Currency 3 8 2" xfId="2574" xr:uid="{CCF60046-E452-43A3-8AB5-C5C59F3308A3}"/>
    <cellStyle name="Currency 3 8 3" xfId="1828" xr:uid="{76D38853-9EB1-4A68-B965-A49AA0906EBF}"/>
    <cellStyle name="Currency 3 8 4" xfId="3350" xr:uid="{21DD2BCF-AAEE-4529-BF11-134D71120ED5}"/>
    <cellStyle name="Currency 3 9" xfId="1543" xr:uid="{5F9DC2E9-F5E0-4E70-A1DD-D352E4741D4F}"/>
    <cellStyle name="Currency 3 9 2" xfId="2390" xr:uid="{5C4C9551-B296-4F92-9952-636ECFDC71C7}"/>
    <cellStyle name="Currency 4" xfId="158" xr:uid="{25C7843A-56E2-4AFE-A7ED-975E901BBC59}"/>
    <cellStyle name="Currency 4 10" xfId="2200" xr:uid="{5345BE91-72ED-4AEE-BAC6-7DAC0DBE958A}"/>
    <cellStyle name="Currency 4 11" xfId="1159" xr:uid="{7CB65B23-A520-4FBD-A80C-F4AA665ECF2C}"/>
    <cellStyle name="Currency 4 12" xfId="2982" xr:uid="{286F0AC7-D485-40D3-8044-E21C477E2689}"/>
    <cellStyle name="Currency 4 13" xfId="425" xr:uid="{2745E4D8-DA7E-42DC-8F5E-50091613EB86}"/>
    <cellStyle name="Currency 4 2" xfId="265" xr:uid="{DD431764-6C21-4217-89B1-6B841C7AD767}"/>
    <cellStyle name="Currency 4 2 10" xfId="3073" xr:uid="{2DEAC032-7809-4701-97E4-AABAA03E942E}"/>
    <cellStyle name="Currency 4 2 11" xfId="528" xr:uid="{D2A6A6DE-2EC0-4738-8C78-8F43C6952A7C}"/>
    <cellStyle name="Currency 4 2 2" xfId="293" xr:uid="{8019FF1B-459A-426B-BACB-4214E940DFB3}"/>
    <cellStyle name="Currency 4 2 2 2" xfId="739" xr:uid="{52D228A1-3262-4823-B775-E7D022CE20F3}"/>
    <cellStyle name="Currency 4 2 2 2 2" xfId="1119" xr:uid="{F0EA43D1-CE69-4C54-BF3F-6825A9122065}"/>
    <cellStyle name="Currency 4 2 2 2 2 2" xfId="2731" xr:uid="{9C623A95-FA06-4E08-A067-E7A0A06AA00D}"/>
    <cellStyle name="Currency 4 2 2 2 2 3" xfId="2170" xr:uid="{FF085D14-4734-4E78-836F-7B0FCCB8D8F2}"/>
    <cellStyle name="Currency 4 2 2 2 2 4" xfId="3692" xr:uid="{585283A1-18BD-4135-9A6B-F6305B7819BE}"/>
    <cellStyle name="Currency 4 2 2 2 3" xfId="1789" xr:uid="{EC2FD51D-77CB-4791-9C77-1B300451E1F6}"/>
    <cellStyle name="Currency 4 2 2 2 3 2" xfId="2547" xr:uid="{DFD90340-5534-4ABF-A6D0-43B3E2141CAB}"/>
    <cellStyle name="Currency 4 2 2 2 4" xfId="2363" xr:uid="{7A3A3B86-54B7-40EE-99F6-D5422D8E5F3B}"/>
    <cellStyle name="Currency 4 2 2 2 5" xfId="1500" xr:uid="{D76F2817-C0F7-476A-AC68-29792D834EF4}"/>
    <cellStyle name="Currency 4 2 2 2 6" xfId="3311" xr:uid="{AA90EE8A-925A-4532-BB6F-860A48E19CD4}"/>
    <cellStyle name="Currency 4 2 2 3" xfId="679" xr:uid="{919CA442-210D-47ED-84F0-80A92E5D37BC}"/>
    <cellStyle name="Currency 4 2 2 3 2" xfId="1059" xr:uid="{D011A357-C561-4F01-B9B2-A0D8A0844DFC}"/>
    <cellStyle name="Currency 4 2 2 3 2 2" xfId="2671" xr:uid="{70094FA9-B912-4FD0-83BF-F61FFDC3B091}"/>
    <cellStyle name="Currency 4 2 2 3 2 3" xfId="2110" xr:uid="{BC80A45E-5660-4957-93DF-9EBBA8B2CD5A}"/>
    <cellStyle name="Currency 4 2 2 3 2 4" xfId="3632" xr:uid="{041E88EC-904D-400A-95AC-C96950BA4775}"/>
    <cellStyle name="Currency 4 2 2 3 3" xfId="1729" xr:uid="{79335CB8-A0A3-4381-A5EB-28E51ECFBB80}"/>
    <cellStyle name="Currency 4 2 2 3 3 2" xfId="2487" xr:uid="{B5BEE330-5A3D-49C2-83D4-334494136D9F}"/>
    <cellStyle name="Currency 4 2 2 3 4" xfId="2303" xr:uid="{83D13BB1-4871-4FB2-A15C-59AE083B3308}"/>
    <cellStyle name="Currency 4 2 2 3 5" xfId="1440" xr:uid="{ED35F83B-ADB2-4194-AA10-3324B2E1C028}"/>
    <cellStyle name="Currency 4 2 2 3 6" xfId="3251" xr:uid="{45657472-3553-4A87-9773-C66867221894}"/>
    <cellStyle name="Currency 4 2 2 4" xfId="988" xr:uid="{8489DDDC-B7A5-4485-B5A3-D4E14638228D}"/>
    <cellStyle name="Currency 4 2 2 4 2" xfId="2607" xr:uid="{63B69A94-E749-439D-BF81-2C7A6AE7E8B5}"/>
    <cellStyle name="Currency 4 2 2 4 3" xfId="2039" xr:uid="{2CD01893-3DDA-4EC9-86F9-8AC4E0B8B993}"/>
    <cellStyle name="Currency 4 2 2 4 4" xfId="3561" xr:uid="{CCFDF2B4-B355-49AA-8F6A-DC9586000350}"/>
    <cellStyle name="Currency 4 2 2 5" xfId="1662" xr:uid="{4DC3082D-E55C-46DD-88AF-5D5AC020ED42}"/>
    <cellStyle name="Currency 4 2 2 5 2" xfId="2423" xr:uid="{2197E252-3D55-4257-8E36-2160579F2A91}"/>
    <cellStyle name="Currency 4 2 2 6" xfId="2239" xr:uid="{C7EF49D4-12E5-4A53-9BEA-00333C241303}"/>
    <cellStyle name="Currency 4 2 2 7" xfId="1369" xr:uid="{FCB950CB-CDD7-40E9-8582-93F8F9502E34}"/>
    <cellStyle name="Currency 4 2 2 8" xfId="3180" xr:uid="{4632CC42-AD98-4B5F-92B0-1CE70453B27B}"/>
    <cellStyle name="Currency 4 2 2 9" xfId="581" xr:uid="{D16B9B68-44F2-4749-BE8C-4626134E7ACF}"/>
    <cellStyle name="Currency 4 2 3" xfId="603" xr:uid="{429E336F-EEA6-46DF-BE35-B62553CF02A1}"/>
    <cellStyle name="Currency 4 2 3 2" xfId="758" xr:uid="{A2DD2176-553E-41FD-BB8F-96C8CB2849F5}"/>
    <cellStyle name="Currency 4 2 3 2 2" xfId="1138" xr:uid="{EF95C319-DF14-4960-9DB4-AE02A92C2EC5}"/>
    <cellStyle name="Currency 4 2 3 2 2 2" xfId="2750" xr:uid="{0E13E9D9-F1C6-4AE8-B149-61F0BEBD7240}"/>
    <cellStyle name="Currency 4 2 3 2 2 3" xfId="2189" xr:uid="{6FD07B53-2311-4C5A-8EB4-E88AA6EF2458}"/>
    <cellStyle name="Currency 4 2 3 2 2 4" xfId="3711" xr:uid="{AE4A1A77-FEB4-474D-9C95-3A6ECF2B4E0D}"/>
    <cellStyle name="Currency 4 2 3 2 3" xfId="1808" xr:uid="{7A7D7F9F-873D-4A72-A6C6-C254353D3108}"/>
    <cellStyle name="Currency 4 2 3 2 3 2" xfId="2566" xr:uid="{C5B158A3-504A-45E1-ACE2-3C04443338B2}"/>
    <cellStyle name="Currency 4 2 3 2 4" xfId="2382" xr:uid="{A7464847-72FB-412D-A1E9-2FE3A138626E}"/>
    <cellStyle name="Currency 4 2 3 2 5" xfId="1519" xr:uid="{2F20B0F4-AD0D-4E4D-B1EF-22AF811C855C}"/>
    <cellStyle name="Currency 4 2 3 2 6" xfId="3330" xr:uid="{0C79DD22-256A-40C8-9BD4-D925B8D0F0FF}"/>
    <cellStyle name="Currency 4 2 3 3" xfId="698" xr:uid="{ED16BA78-EAAE-4388-952D-DA48CD4B4A7D}"/>
    <cellStyle name="Currency 4 2 3 3 2" xfId="1078" xr:uid="{9D2A62E6-9070-4F7E-8564-3658F62292CC}"/>
    <cellStyle name="Currency 4 2 3 3 2 2" xfId="2690" xr:uid="{539C75B1-2A74-4BF3-930C-DDA3B6A767AF}"/>
    <cellStyle name="Currency 4 2 3 3 2 3" xfId="2129" xr:uid="{AE6EB954-43B7-4B64-9777-192033E2877C}"/>
    <cellStyle name="Currency 4 2 3 3 2 4" xfId="3651" xr:uid="{A65E4CA1-67AB-4A13-8F55-D3780DF49445}"/>
    <cellStyle name="Currency 4 2 3 3 3" xfId="1748" xr:uid="{520DF61B-4C85-4DD1-B3ED-3AA2E084E895}"/>
    <cellStyle name="Currency 4 2 3 3 3 2" xfId="2506" xr:uid="{3A31E731-F61C-433A-A89C-ECCFA40F276A}"/>
    <cellStyle name="Currency 4 2 3 3 4" xfId="2322" xr:uid="{F4830E50-1116-4D32-B9FC-1DED90DFE5FC}"/>
    <cellStyle name="Currency 4 2 3 3 5" xfId="1459" xr:uid="{1F152652-2279-49E0-8671-86541670FC84}"/>
    <cellStyle name="Currency 4 2 3 3 6" xfId="3270" xr:uid="{184FCB4A-BFD6-4721-B855-4E6647B455ED}"/>
    <cellStyle name="Currency 4 2 3 4" xfId="1007" xr:uid="{49363E8F-8D0B-488A-AB33-013ACAA902CB}"/>
    <cellStyle name="Currency 4 2 3 4 2" xfId="2626" xr:uid="{E9EDED1D-0D01-4E65-B3D9-E21DF65D64A2}"/>
    <cellStyle name="Currency 4 2 3 4 3" xfId="2058" xr:uid="{891652FD-6C5A-4143-B32A-4283CE5308AC}"/>
    <cellStyle name="Currency 4 2 3 4 4" xfId="3580" xr:uid="{60B14F0D-B1ED-42E6-A601-CCB557D241BE}"/>
    <cellStyle name="Currency 4 2 3 5" xfId="1681" xr:uid="{7BC573CB-FEC9-4154-B720-34D38D178FAC}"/>
    <cellStyle name="Currency 4 2 3 5 2" xfId="2442" xr:uid="{2858F051-49B8-498A-804F-887B5A1DBE27}"/>
    <cellStyle name="Currency 4 2 3 6" xfId="2258" xr:uid="{81C1D648-4E05-4B91-8387-1983B0356A2B}"/>
    <cellStyle name="Currency 4 2 3 7" xfId="1388" xr:uid="{A2B0ED31-DFD4-4EF2-9CA3-B5D1CFF9E555}"/>
    <cellStyle name="Currency 4 2 3 8" xfId="3199" xr:uid="{48C4CB51-6EBB-4B05-BB91-9A37C5C3B1CB}"/>
    <cellStyle name="Currency 4 2 4" xfId="715" xr:uid="{6A980394-09E1-44FE-9800-BC99FEB0825C}"/>
    <cellStyle name="Currency 4 2 4 2" xfId="1095" xr:uid="{16F36FF1-4C7D-48E9-A995-FE71E4CC96F7}"/>
    <cellStyle name="Currency 4 2 4 2 2" xfId="2707" xr:uid="{091E09A5-4304-4A2E-9061-0EC4A8BEEA21}"/>
    <cellStyle name="Currency 4 2 4 2 3" xfId="2146" xr:uid="{75023271-F9CB-4B8A-AE05-2F75B75E3AE3}"/>
    <cellStyle name="Currency 4 2 4 2 4" xfId="3668" xr:uid="{4F08CB6A-4190-4CBD-AB59-4950DE1E4828}"/>
    <cellStyle name="Currency 4 2 4 3" xfId="1765" xr:uid="{56AB7CB9-D514-4CDE-A10E-07B9EF28A5C7}"/>
    <cellStyle name="Currency 4 2 4 3 2" xfId="2523" xr:uid="{AB74DD8C-BB34-468C-B83F-24587F52F39A}"/>
    <cellStyle name="Currency 4 2 4 4" xfId="2339" xr:uid="{3169949E-6A54-4782-B1C2-D73DA03082B8}"/>
    <cellStyle name="Currency 4 2 4 5" xfId="1476" xr:uid="{7AAA20E8-7293-4423-AE6F-0F2E7A8DDC38}"/>
    <cellStyle name="Currency 4 2 4 6" xfId="3287" xr:uid="{AE559354-179E-4D88-B8B6-E4E6AE7E9187}"/>
    <cellStyle name="Currency 4 2 5" xfId="653" xr:uid="{B25EFD52-1540-46C2-A5A1-3A9D3376524E}"/>
    <cellStyle name="Currency 4 2 5 2" xfId="1035" xr:uid="{3A908E0D-98E0-49FB-9591-B76366514CB8}"/>
    <cellStyle name="Currency 4 2 5 2 2" xfId="2647" xr:uid="{E9BA9CF7-BB1F-491C-8753-85B32E385A0B}"/>
    <cellStyle name="Currency 4 2 5 2 3" xfId="2086" xr:uid="{EB1CA89C-30CE-4F8E-9287-8D39282FEEC1}"/>
    <cellStyle name="Currency 4 2 5 2 4" xfId="3608" xr:uid="{31A78815-E2AB-4E7E-AB92-D3410BA768E8}"/>
    <cellStyle name="Currency 4 2 5 3" xfId="1705" xr:uid="{84865575-02AD-46F1-8467-0ECF15D01A8F}"/>
    <cellStyle name="Currency 4 2 5 3 2" xfId="2463" xr:uid="{25DEEA20-5A8C-4E46-AD8A-D9C45CF05C20}"/>
    <cellStyle name="Currency 4 2 5 4" xfId="2279" xr:uid="{BF5C7068-22B7-4715-9895-46817B823E4E}"/>
    <cellStyle name="Currency 4 2 5 5" xfId="1416" xr:uid="{C577B2F8-9BA9-47F5-90DE-E42FC8220EAC}"/>
    <cellStyle name="Currency 4 2 5 6" xfId="3227" xr:uid="{4BB6F9D6-BA93-4175-9610-A3F9241790D6}"/>
    <cellStyle name="Currency 4 2 6" xfId="881" xr:uid="{D383E28D-2D95-4550-8FEF-32F0BB87C8F9}"/>
    <cellStyle name="Currency 4 2 6 2" xfId="2583" xr:uid="{D022D61D-D741-4C6A-8C5B-E01460C4D55D}"/>
    <cellStyle name="Currency 4 2 6 3" xfId="1932" xr:uid="{4CA5FF78-3DFD-4142-8CBC-B629DA56540E}"/>
    <cellStyle name="Currency 4 2 6 4" xfId="3454" xr:uid="{ABE5658F-8130-4FA6-87AC-80BBCA5E7878}"/>
    <cellStyle name="Currency 4 2 7" xfId="1631" xr:uid="{A69B5BDF-E93E-4888-AB26-EFD34341C7FC}"/>
    <cellStyle name="Currency 4 2 7 2" xfId="2399" xr:uid="{1E3AFE95-5242-4301-AA4A-208A5B67C626}"/>
    <cellStyle name="Currency 4 2 8" xfId="2215" xr:uid="{D523295C-7302-43FD-B23D-DE855A50F19B}"/>
    <cellStyle name="Currency 4 2 9" xfId="1262" xr:uid="{56783077-B494-49C5-9EC5-67CE96F5FFC2}"/>
    <cellStyle name="Currency 4 3" xfId="285" xr:uid="{8957FA48-9A77-4B3D-8826-E86CD05713DC}"/>
    <cellStyle name="Currency 4 3 2" xfId="731" xr:uid="{F228C977-5DD2-4755-B98C-B6114ED6A0AD}"/>
    <cellStyle name="Currency 4 3 2 2" xfId="1111" xr:uid="{064C4777-4AC5-4EA8-9026-CB8B79F6C4C5}"/>
    <cellStyle name="Currency 4 3 2 2 2" xfId="2723" xr:uid="{940425E9-A7BD-4AEF-8C67-003876F8F7D7}"/>
    <cellStyle name="Currency 4 3 2 2 3" xfId="2162" xr:uid="{F0D0AC14-7E88-47D5-AE00-22EC4CE2458B}"/>
    <cellStyle name="Currency 4 3 2 2 4" xfId="3684" xr:uid="{B9941AA2-B554-4895-B76F-77F77503361F}"/>
    <cellStyle name="Currency 4 3 2 3" xfId="1781" xr:uid="{D2038676-1146-48BB-B46E-F66E6350BA0F}"/>
    <cellStyle name="Currency 4 3 2 3 2" xfId="2539" xr:uid="{1F3E93A3-FA5D-42AA-B6FD-50563FDE2F54}"/>
    <cellStyle name="Currency 4 3 2 4" xfId="2355" xr:uid="{FEFAC8A1-9F47-40B8-9DC2-A1DF6ED2E9A9}"/>
    <cellStyle name="Currency 4 3 2 5" xfId="1492" xr:uid="{C05CB66A-45E1-4B98-8BB3-3B8E7DC36AFE}"/>
    <cellStyle name="Currency 4 3 2 6" xfId="3303" xr:uid="{0A1DAE94-B41F-45C6-99D8-4A009EEA32F2}"/>
    <cellStyle name="Currency 4 3 3" xfId="670" xr:uid="{5021C0FA-1EF5-4A94-8988-8D46B414707D}"/>
    <cellStyle name="Currency 4 3 3 2" xfId="1051" xr:uid="{FA74DBCC-1422-4A7D-94E1-BED5A4302C46}"/>
    <cellStyle name="Currency 4 3 3 2 2" xfId="2663" xr:uid="{B989A11F-BD66-4ECD-A6C5-28DB79060AD7}"/>
    <cellStyle name="Currency 4 3 3 2 3" xfId="2102" xr:uid="{0069DD87-AE28-4799-98E5-7AA3F4FAE8BF}"/>
    <cellStyle name="Currency 4 3 3 2 4" xfId="3624" xr:uid="{99D10AFC-1663-4109-AF1E-4A78759A92AB}"/>
    <cellStyle name="Currency 4 3 3 3" xfId="1721" xr:uid="{FF7617C2-BF6F-4844-AD89-6741904E57ED}"/>
    <cellStyle name="Currency 4 3 3 3 2" xfId="2479" xr:uid="{7C756BA7-BA49-4B95-ABFB-4D672DF71A58}"/>
    <cellStyle name="Currency 4 3 3 4" xfId="2295" xr:uid="{9575E5A1-7F5B-435A-8636-32311A757509}"/>
    <cellStyle name="Currency 4 3 3 5" xfId="1432" xr:uid="{40048B1A-9CEE-4147-8FAC-A54EC1124957}"/>
    <cellStyle name="Currency 4 3 3 6" xfId="3243" xr:uid="{EAA5F700-94CD-4D43-B84F-560B6263AA7E}"/>
    <cellStyle name="Currency 4 3 4" xfId="910" xr:uid="{42BCA4E8-2BA1-4502-9469-7FB33FCBA8D4}"/>
    <cellStyle name="Currency 4 3 4 2" xfId="2599" xr:uid="{0A97C003-6FC7-4BE1-99C1-A46DE4017D01}"/>
    <cellStyle name="Currency 4 3 4 3" xfId="1961" xr:uid="{E95ADA02-2820-40E0-B636-F892ADE49195}"/>
    <cellStyle name="Currency 4 3 4 4" xfId="3483" xr:uid="{AB53F196-B372-41A5-9C2D-A5337CD5C15B}"/>
    <cellStyle name="Currency 4 3 5" xfId="1648" xr:uid="{2F4E85B2-CACF-4F02-BF7F-6D0E44B26AD4}"/>
    <cellStyle name="Currency 4 3 5 2" xfId="2415" xr:uid="{C299A028-7A59-4754-8765-62C045C99A5B}"/>
    <cellStyle name="Currency 4 3 6" xfId="2231" xr:uid="{D5CAB650-5C05-4FA1-BCB7-AD2341BBD62D}"/>
    <cellStyle name="Currency 4 3 7" xfId="1291" xr:uid="{54C2660D-BE5D-4DAE-BCAF-31FC3467AC38}"/>
    <cellStyle name="Currency 4 3 8" xfId="3102" xr:uid="{51F8551E-C3D6-4968-8DA2-6A05A6701E67}"/>
    <cellStyle name="Currency 4 3 9" xfId="557" xr:uid="{36632DC1-2744-4911-82B0-CB268D6C0E34}"/>
    <cellStyle name="Currency 4 4" xfId="595" xr:uid="{F7BA7B77-E3A8-4CDD-97A7-D1B387ADE317}"/>
    <cellStyle name="Currency 4 4 2" xfId="750" xr:uid="{ED6A5C52-C25C-4FB6-85C1-843197939125}"/>
    <cellStyle name="Currency 4 4 2 2" xfId="1130" xr:uid="{E1CC1807-ED59-4278-B91E-BAE32A03D04C}"/>
    <cellStyle name="Currency 4 4 2 2 2" xfId="2742" xr:uid="{6A2A7F78-D4E0-4C4F-B20A-6B076774635D}"/>
    <cellStyle name="Currency 4 4 2 2 3" xfId="2181" xr:uid="{88B67195-A768-48EB-924E-9F99F0AE6802}"/>
    <cellStyle name="Currency 4 4 2 2 4" xfId="3703" xr:uid="{BD7606CF-FE03-4890-B5A1-CB79F93E3A58}"/>
    <cellStyle name="Currency 4 4 2 3" xfId="1800" xr:uid="{D5F09788-FC06-4945-A1A4-5C97E49FEFD6}"/>
    <cellStyle name="Currency 4 4 2 3 2" xfId="2558" xr:uid="{B782F239-592C-4D5A-A46B-2907F9248B9F}"/>
    <cellStyle name="Currency 4 4 2 4" xfId="2374" xr:uid="{D3D812FF-D4B5-480C-87BB-4EA5EEC89071}"/>
    <cellStyle name="Currency 4 4 2 5" xfId="1511" xr:uid="{27035ABA-3585-42FA-BD65-588071327FCB}"/>
    <cellStyle name="Currency 4 4 2 6" xfId="3322" xr:uid="{27C7E610-E564-4C17-9C6D-8EAFAE66CBB3}"/>
    <cellStyle name="Currency 4 4 3" xfId="690" xr:uid="{1154CE98-FBEE-45C5-91FD-E15212E7C595}"/>
    <cellStyle name="Currency 4 4 3 2" xfId="1070" xr:uid="{B2E27B82-2B09-40AE-ADF0-4E6CC9C60CB8}"/>
    <cellStyle name="Currency 4 4 3 2 2" xfId="2682" xr:uid="{055FD58F-D231-47B1-B72C-1AB55682A936}"/>
    <cellStyle name="Currency 4 4 3 2 3" xfId="2121" xr:uid="{24848F4A-7DC3-4F64-975D-9C6994977CE0}"/>
    <cellStyle name="Currency 4 4 3 2 4" xfId="3643" xr:uid="{398D8560-7C62-4750-BCD2-AB70611650C3}"/>
    <cellStyle name="Currency 4 4 3 3" xfId="1740" xr:uid="{3EF9961A-9246-4709-9C77-F32E9807DCF5}"/>
    <cellStyle name="Currency 4 4 3 3 2" xfId="2498" xr:uid="{3060DE43-9E79-45BE-AEC5-7B5E285BCEA5}"/>
    <cellStyle name="Currency 4 4 3 4" xfId="2314" xr:uid="{8803AAB5-FDE8-4D88-A158-76836CD43BA7}"/>
    <cellStyle name="Currency 4 4 3 5" xfId="1451" xr:uid="{0E7A9F9C-7344-4118-9B6B-C912CF0AE137}"/>
    <cellStyle name="Currency 4 4 3 6" xfId="3262" xr:uid="{6429B1DA-43AA-4A73-8AF8-D1E0EB3230D7}"/>
    <cellStyle name="Currency 4 4 4" xfId="999" xr:uid="{091BA6CF-B77B-49F3-B0E7-AA36689A3961}"/>
    <cellStyle name="Currency 4 4 4 2" xfId="2618" xr:uid="{BEDE14D3-F7F2-462D-93F6-1E19049E3501}"/>
    <cellStyle name="Currency 4 4 4 3" xfId="2050" xr:uid="{3EB8B4E3-0143-4F60-9815-4F05B311325C}"/>
    <cellStyle name="Currency 4 4 4 4" xfId="3572" xr:uid="{38422334-149C-4EC3-833B-846C09795250}"/>
    <cellStyle name="Currency 4 4 5" xfId="1673" xr:uid="{29A7CBAF-38BE-4E03-AEFF-BE60EB7E077E}"/>
    <cellStyle name="Currency 4 4 5 2" xfId="2434" xr:uid="{F44ED33B-68A5-4F59-B250-93C15758E7E6}"/>
    <cellStyle name="Currency 4 4 6" xfId="2250" xr:uid="{BC579AA0-A130-44A5-9115-651C68413C8A}"/>
    <cellStyle name="Currency 4 4 7" xfId="1380" xr:uid="{A6EC32AE-8343-4481-B4CC-A7483D72C027}"/>
    <cellStyle name="Currency 4 4 8" xfId="3191" xr:uid="{3BAE68B4-1171-487C-B07D-615DE245B737}"/>
    <cellStyle name="Currency 4 5" xfId="636" xr:uid="{4A36A5EE-2AA1-4126-A9AE-0B52BF81E6C2}"/>
    <cellStyle name="Currency 4 5 2" xfId="1027" xr:uid="{D3EF2F15-CDDC-40C9-BB9B-07F88C9F5842}"/>
    <cellStyle name="Currency 4 5 2 2" xfId="2639" xr:uid="{964323E1-7438-4CB9-8B5E-A9F3D735B0AA}"/>
    <cellStyle name="Currency 4 5 2 3" xfId="2078" xr:uid="{B7A394C8-8183-419E-9582-3DCB462533E7}"/>
    <cellStyle name="Currency 4 5 2 4" xfId="3600" xr:uid="{B359560A-DDAC-445E-89F3-960717DF033E}"/>
    <cellStyle name="Currency 4 5 3" xfId="1697" xr:uid="{ED13D842-D564-4621-AF35-6C2EF5C13B84}"/>
    <cellStyle name="Currency 4 5 3 2" xfId="2455" xr:uid="{35659C33-6627-48AF-A807-3119D0708F62}"/>
    <cellStyle name="Currency 4 5 4" xfId="2271" xr:uid="{1230D646-0ED6-45EC-B658-D27C68941039}"/>
    <cellStyle name="Currency 4 5 5" xfId="1408" xr:uid="{2B94F73F-BDFF-416B-9928-B18464D159BB}"/>
    <cellStyle name="Currency 4 5 6" xfId="3219" xr:uid="{747A66EE-B9E7-435A-B2AF-D731EE172568}"/>
    <cellStyle name="Currency 4 6" xfId="707" xr:uid="{FFA6B507-970C-4EFC-81A2-B74FE47509B6}"/>
    <cellStyle name="Currency 4 6 2" xfId="1087" xr:uid="{D76B46F6-F2DD-4347-9594-8BCF1F3717B4}"/>
    <cellStyle name="Currency 4 6 2 2" xfId="2699" xr:uid="{14CC78CD-C62D-456F-A2C3-57AD7121D481}"/>
    <cellStyle name="Currency 4 6 2 3" xfId="2138" xr:uid="{42A31177-F02D-48A2-A6E0-25388513420E}"/>
    <cellStyle name="Currency 4 6 2 4" xfId="3660" xr:uid="{D30F2060-8EF0-400A-A1E6-FB1A7B190D6F}"/>
    <cellStyle name="Currency 4 6 3" xfId="1757" xr:uid="{8D349982-9615-49B3-8DA8-73E4ADD5C5A6}"/>
    <cellStyle name="Currency 4 6 3 2" xfId="2515" xr:uid="{307F38E3-83D3-44D3-8054-5D507BEDDE0B}"/>
    <cellStyle name="Currency 4 6 4" xfId="2331" xr:uid="{AFEAECAF-5BDB-4B7F-99DA-022C34764E31}"/>
    <cellStyle name="Currency 4 6 5" xfId="1468" xr:uid="{F0575103-2A99-4973-944E-98C8799D0DA2}"/>
    <cellStyle name="Currency 4 6 6" xfId="3279" xr:uid="{65E5E287-962B-447A-B8DE-590DF934EE08}"/>
    <cellStyle name="Currency 4 7" xfId="608" xr:uid="{06643E66-A5ED-4015-AF8A-15005481025E}"/>
    <cellStyle name="Currency 4 7 2" xfId="1012" xr:uid="{4E9865C3-7F1C-4369-9812-42650224006E}"/>
    <cellStyle name="Currency 4 7 2 2" xfId="2063" xr:uid="{5D901FB0-2710-40DF-9558-7BDDE6D567A7}"/>
    <cellStyle name="Currency 4 7 2 3" xfId="3585" xr:uid="{B55C8A9E-8F05-4DEF-A0D8-ADCBFDA4C416}"/>
    <cellStyle name="Currency 4 7 3" xfId="1393" xr:uid="{0E1344B1-80CC-4A6B-A91A-2B367B5F0498}"/>
    <cellStyle name="Currency 4 7 4" xfId="3204" xr:uid="{BEFD2B3B-04A2-4D16-8830-49B12EE7E7C2}"/>
    <cellStyle name="Currency 4 8" xfId="778" xr:uid="{BA6BB362-8B40-4AA7-8C5D-8079B584865C}"/>
    <cellStyle name="Currency 4 8 2" xfId="2575" xr:uid="{B3BE392C-FBE0-4EC6-ACC9-21E5ADA9E782}"/>
    <cellStyle name="Currency 4 8 3" xfId="1829" xr:uid="{29106BFB-F6CD-40BF-B3F9-14D0E87E4049}"/>
    <cellStyle name="Currency 4 8 4" xfId="3351" xr:uid="{35B80755-E5E0-4DE9-8A6A-37F983CFE5E9}"/>
    <cellStyle name="Currency 4 9" xfId="1544" xr:uid="{8D9A15D4-5B01-40E6-80CE-2A8C7D99DE31}"/>
    <cellStyle name="Currency 4 9 2" xfId="2391" xr:uid="{7A014FB5-7A1A-4701-80FA-923B285B68EB}"/>
    <cellStyle name="Currency 5" xfId="167" xr:uid="{C21E654D-5E4C-46B6-AE18-8AAFACB9D85F}"/>
    <cellStyle name="Currency 5 10" xfId="1173" xr:uid="{21DC5A2F-8B1C-48EA-9C9B-3BD8F7E1BE13}"/>
    <cellStyle name="Currency 5 11" xfId="2984" xr:uid="{326DBC8B-72B8-4001-AC03-FF989C766812}"/>
    <cellStyle name="Currency 5 12" xfId="434" xr:uid="{F1C515B2-8FF9-4AD3-9A9A-CD737ACE8184}"/>
    <cellStyle name="Currency 5 2" xfId="274" xr:uid="{516DE0AC-C89E-47FA-830C-2C8AD0C54F94}"/>
    <cellStyle name="Currency 5 2 10" xfId="3075" xr:uid="{02045565-38F2-4064-A19F-978973C824C9}"/>
    <cellStyle name="Currency 5 2 11" xfId="529" xr:uid="{E6CF4779-2259-4676-8DAF-0ED194B5994E}"/>
    <cellStyle name="Currency 5 2 2" xfId="294" xr:uid="{E503E65E-45C1-4126-A83C-C87751ADC8A8}"/>
    <cellStyle name="Currency 5 2 2 2" xfId="740" xr:uid="{1EEF09AA-7385-430C-8F7E-6551AA2CA3C4}"/>
    <cellStyle name="Currency 5 2 2 2 2" xfId="1120" xr:uid="{D6AB0F1E-2BB7-4365-AD04-C55C9371BD76}"/>
    <cellStyle name="Currency 5 2 2 2 2 2" xfId="2732" xr:uid="{3CAA352E-8654-4855-B555-4FA93005719B}"/>
    <cellStyle name="Currency 5 2 2 2 2 3" xfId="2171" xr:uid="{E651753C-6CAD-47CD-B370-4BF6B5C2FA85}"/>
    <cellStyle name="Currency 5 2 2 2 2 4" xfId="3693" xr:uid="{B69C1660-9F80-4D59-BA6E-E5238322D7BD}"/>
    <cellStyle name="Currency 5 2 2 2 3" xfId="1790" xr:uid="{AE7FC0F0-C2D2-4D2D-9DF1-7B8B3407C5CD}"/>
    <cellStyle name="Currency 5 2 2 2 3 2" xfId="2548" xr:uid="{B6F486A6-5978-4F9D-A953-B1D199148201}"/>
    <cellStyle name="Currency 5 2 2 2 4" xfId="2364" xr:uid="{D736F2DA-29D2-4994-92FD-CA5203B67499}"/>
    <cellStyle name="Currency 5 2 2 2 5" xfId="1501" xr:uid="{D35EEE33-DF56-48AF-80E5-D8E5E2B5F0AF}"/>
    <cellStyle name="Currency 5 2 2 2 6" xfId="3312" xr:uid="{2A324CC2-10F1-4639-B635-2448B61B2A96}"/>
    <cellStyle name="Currency 5 2 2 3" xfId="680" xr:uid="{A08B39BE-7F81-4349-9917-5DD7E8DEE8A4}"/>
    <cellStyle name="Currency 5 2 2 3 2" xfId="1060" xr:uid="{936D752A-1FB8-4840-8336-4C466573A1A7}"/>
    <cellStyle name="Currency 5 2 2 3 2 2" xfId="2672" xr:uid="{D557DD4C-4410-4460-AB56-3B718DA7736C}"/>
    <cellStyle name="Currency 5 2 2 3 2 3" xfId="2111" xr:uid="{7E96939F-6D1B-4B66-9E04-740A2054AA16}"/>
    <cellStyle name="Currency 5 2 2 3 2 4" xfId="3633" xr:uid="{0A5C3A73-AF05-4892-B3C4-DEF6FFD04863}"/>
    <cellStyle name="Currency 5 2 2 3 3" xfId="1730" xr:uid="{F5966685-FAC8-49CE-A59E-9962CCE58A8C}"/>
    <cellStyle name="Currency 5 2 2 3 3 2" xfId="2488" xr:uid="{CA6AA34F-1DAD-478C-946E-1F8BCAE8F532}"/>
    <cellStyle name="Currency 5 2 2 3 4" xfId="2304" xr:uid="{C42F52F4-12FA-40F3-B8C0-57924D7FA1B7}"/>
    <cellStyle name="Currency 5 2 2 3 5" xfId="1441" xr:uid="{6B75B148-B697-45BA-9C79-9B18CF42D6AE}"/>
    <cellStyle name="Currency 5 2 2 3 6" xfId="3252" xr:uid="{78A54A0D-983D-4156-8A1D-E4743FF75351}"/>
    <cellStyle name="Currency 5 2 2 4" xfId="989" xr:uid="{86C0E94B-8FE6-4066-83BB-76E90D2AD5BB}"/>
    <cellStyle name="Currency 5 2 2 4 2" xfId="2608" xr:uid="{960A7FA6-8C46-4B57-9DCB-04EFE1ACFCC1}"/>
    <cellStyle name="Currency 5 2 2 4 3" xfId="2040" xr:uid="{1CFEA225-6BCC-4F21-932E-37A381F8F4AF}"/>
    <cellStyle name="Currency 5 2 2 4 4" xfId="3562" xr:uid="{61345C43-43E7-4305-8CA8-DB4132599992}"/>
    <cellStyle name="Currency 5 2 2 5" xfId="1663" xr:uid="{861CC8F9-3166-4C23-93B2-08C9982791B9}"/>
    <cellStyle name="Currency 5 2 2 5 2" xfId="2424" xr:uid="{988A7E57-2CA6-4DD5-B5BB-D9EEEAEB9759}"/>
    <cellStyle name="Currency 5 2 2 6" xfId="2240" xr:uid="{17FCEF84-B26E-4853-AB34-8E4D6E599F49}"/>
    <cellStyle name="Currency 5 2 2 7" xfId="1370" xr:uid="{1F174C83-E21A-40F5-979D-DA3A55CF8578}"/>
    <cellStyle name="Currency 5 2 2 8" xfId="3181" xr:uid="{C357850D-D37B-47A9-A041-D5C29BD92A61}"/>
    <cellStyle name="Currency 5 2 2 9" xfId="582" xr:uid="{82136476-5E3B-41AE-B180-372BC8343C83}"/>
    <cellStyle name="Currency 5 2 3" xfId="604" xr:uid="{F16CAC38-1EF5-45EF-B791-E8C59E65F9D8}"/>
    <cellStyle name="Currency 5 2 3 2" xfId="759" xr:uid="{F3CF7723-DDBF-434B-8609-868E13EB0201}"/>
    <cellStyle name="Currency 5 2 3 2 2" xfId="1139" xr:uid="{8679D076-99FA-4726-8422-F8257A55B344}"/>
    <cellStyle name="Currency 5 2 3 2 2 2" xfId="2751" xr:uid="{46511069-1FA9-423B-991F-42A6E034720F}"/>
    <cellStyle name="Currency 5 2 3 2 2 3" xfId="2190" xr:uid="{670BC68B-AF23-4BB4-B698-AB4D4CE3AB5F}"/>
    <cellStyle name="Currency 5 2 3 2 2 4" xfId="3712" xr:uid="{37887AC3-B2FF-4FB7-943D-C605DA0CBF60}"/>
    <cellStyle name="Currency 5 2 3 2 3" xfId="1809" xr:uid="{B38F8361-74CC-41A4-983F-6866ACD4DCBC}"/>
    <cellStyle name="Currency 5 2 3 2 3 2" xfId="2567" xr:uid="{483B5F6D-2814-4694-AC49-E1C83B7AB986}"/>
    <cellStyle name="Currency 5 2 3 2 4" xfId="2383" xr:uid="{8D14DD85-7A45-4BE2-875E-FF9783C26276}"/>
    <cellStyle name="Currency 5 2 3 2 5" xfId="1520" xr:uid="{617877D7-2E94-4EA8-A0A5-8A85ED427E43}"/>
    <cellStyle name="Currency 5 2 3 2 6" xfId="3331" xr:uid="{3D0CAC30-84A1-4835-9A09-CE47BC7B778D}"/>
    <cellStyle name="Currency 5 2 3 3" xfId="699" xr:uid="{46A52205-12C7-484C-BAF0-13DAD86080EA}"/>
    <cellStyle name="Currency 5 2 3 3 2" xfId="1079" xr:uid="{84A93072-91DE-4F9A-9F56-55E0F37A7A6A}"/>
    <cellStyle name="Currency 5 2 3 3 2 2" xfId="2691" xr:uid="{7A2762D5-30D6-4858-900D-DD62D0F52FE2}"/>
    <cellStyle name="Currency 5 2 3 3 2 3" xfId="2130" xr:uid="{A8D71A7D-27E2-495F-A874-EC7EF434F60B}"/>
    <cellStyle name="Currency 5 2 3 3 2 4" xfId="3652" xr:uid="{F48F5CD4-44C5-4266-B84D-1E91EF0FC67C}"/>
    <cellStyle name="Currency 5 2 3 3 3" xfId="1749" xr:uid="{F6E90518-B5A2-4BC3-9BBC-D95C0F083191}"/>
    <cellStyle name="Currency 5 2 3 3 3 2" xfId="2507" xr:uid="{BE4B0BA0-CA2E-4E6E-96C3-60A83ED0CF8B}"/>
    <cellStyle name="Currency 5 2 3 3 4" xfId="2323" xr:uid="{BC00F5ED-B338-4B34-9B31-4C9442EA85DD}"/>
    <cellStyle name="Currency 5 2 3 3 5" xfId="1460" xr:uid="{3DE7DE56-A420-44AB-A0F3-258E108CBB52}"/>
    <cellStyle name="Currency 5 2 3 3 6" xfId="3271" xr:uid="{56A9C790-4D98-4DF2-82B6-6E606BC1C23B}"/>
    <cellStyle name="Currency 5 2 3 4" xfId="1008" xr:uid="{EBA8F7FE-DF55-45E7-AFBE-EB1554860C2E}"/>
    <cellStyle name="Currency 5 2 3 4 2" xfId="2627" xr:uid="{D8437893-B7A1-4CE7-A23E-ED83325FACA6}"/>
    <cellStyle name="Currency 5 2 3 4 3" xfId="2059" xr:uid="{7707A34F-9413-43B0-A6F3-D57F59AD8E41}"/>
    <cellStyle name="Currency 5 2 3 4 4" xfId="3581" xr:uid="{B05D4C68-1CDD-490D-A1D7-ACE74E7B8473}"/>
    <cellStyle name="Currency 5 2 3 5" xfId="1682" xr:uid="{7AE1FEAE-1982-43DC-A4D4-473BB7D1F198}"/>
    <cellStyle name="Currency 5 2 3 5 2" xfId="2443" xr:uid="{B164EEB7-534C-4190-99FB-54D0CB807C68}"/>
    <cellStyle name="Currency 5 2 3 6" xfId="2259" xr:uid="{E883545F-E2AB-4032-A38B-44B19C6E7102}"/>
    <cellStyle name="Currency 5 2 3 7" xfId="1389" xr:uid="{3CE22607-202B-48C1-8E7C-2958B67B8799}"/>
    <cellStyle name="Currency 5 2 3 8" xfId="3200" xr:uid="{59C9B3E4-EE97-4EAC-BCD5-375BBB861373}"/>
    <cellStyle name="Currency 5 2 4" xfId="716" xr:uid="{B1DD251D-3B94-4300-8A75-5093F59ABC32}"/>
    <cellStyle name="Currency 5 2 4 2" xfId="1096" xr:uid="{F901AC1B-EA9E-4406-B8E6-06785670758B}"/>
    <cellStyle name="Currency 5 2 4 2 2" xfId="2708" xr:uid="{D5C0396F-4F1C-409F-A6B1-FFE2101BB255}"/>
    <cellStyle name="Currency 5 2 4 2 3" xfId="2147" xr:uid="{8BF81098-4D4D-4AD7-AEEE-A4EC04EC8435}"/>
    <cellStyle name="Currency 5 2 4 2 4" xfId="3669" xr:uid="{544093CB-D1F5-4A69-A1B6-F9FBCAB4DE0F}"/>
    <cellStyle name="Currency 5 2 4 3" xfId="1766" xr:uid="{6A327316-C9C2-406D-B638-EF988B7C9626}"/>
    <cellStyle name="Currency 5 2 4 3 2" xfId="2524" xr:uid="{C6EAA42D-22F9-42F6-91FB-0F342355019D}"/>
    <cellStyle name="Currency 5 2 4 4" xfId="2340" xr:uid="{AFACA87A-6990-4708-87B2-AF6C22895CF2}"/>
    <cellStyle name="Currency 5 2 4 5" xfId="1477" xr:uid="{80286FFE-6CB7-442C-88C8-60F3036A8543}"/>
    <cellStyle name="Currency 5 2 4 6" xfId="3288" xr:uid="{F147E762-E76B-499B-8768-7643810A33D3}"/>
    <cellStyle name="Currency 5 2 5" xfId="654" xr:uid="{F376B0C0-EE99-49D5-83E9-4E522EABCD59}"/>
    <cellStyle name="Currency 5 2 5 2" xfId="1036" xr:uid="{3A236BB6-CEBE-4D8C-970C-F4D0714D92AB}"/>
    <cellStyle name="Currency 5 2 5 2 2" xfId="2648" xr:uid="{94206548-00B9-4DE8-AF6F-E60036FF9173}"/>
    <cellStyle name="Currency 5 2 5 2 3" xfId="2087" xr:uid="{64CB9AB5-67EE-49A7-9A5D-095F39B43AEE}"/>
    <cellStyle name="Currency 5 2 5 2 4" xfId="3609" xr:uid="{D6FD26AB-D1F7-45AF-85BB-D4196794831F}"/>
    <cellStyle name="Currency 5 2 5 3" xfId="1706" xr:uid="{1A20A02C-7208-4605-AE85-757504E94EC3}"/>
    <cellStyle name="Currency 5 2 5 3 2" xfId="2464" xr:uid="{8A5C8C3C-C450-4A97-B98B-64587D1A437E}"/>
    <cellStyle name="Currency 5 2 5 4" xfId="2280" xr:uid="{03EAE072-1636-40DB-BE72-4326F7BA1EC2}"/>
    <cellStyle name="Currency 5 2 5 5" xfId="1417" xr:uid="{AA72A6A1-EF00-4202-A190-D4F539593538}"/>
    <cellStyle name="Currency 5 2 5 6" xfId="3228" xr:uid="{4BC6C993-E21C-484E-BADD-F9326CB788D9}"/>
    <cellStyle name="Currency 5 2 6" xfId="883" xr:uid="{FB257D04-DF5D-4103-86B7-F72C862D0580}"/>
    <cellStyle name="Currency 5 2 6 2" xfId="2584" xr:uid="{C0F2098E-F03D-4658-9411-7DA5AB138579}"/>
    <cellStyle name="Currency 5 2 6 3" xfId="1934" xr:uid="{86C4D158-6922-45CC-A06F-1A10FCBCD0EA}"/>
    <cellStyle name="Currency 5 2 6 4" xfId="3456" xr:uid="{8636FF89-27BE-486C-BAAE-908DA3834824}"/>
    <cellStyle name="Currency 5 2 7" xfId="1632" xr:uid="{2DF15D93-EE57-4D85-B59A-5DB6E868A286}"/>
    <cellStyle name="Currency 5 2 7 2" xfId="2400" xr:uid="{AE4E2B3A-554C-4340-8573-144CD9DBD414}"/>
    <cellStyle name="Currency 5 2 8" xfId="2216" xr:uid="{EA082B2D-803E-4B19-9BD2-C325F4D80F50}"/>
    <cellStyle name="Currency 5 2 9" xfId="1264" xr:uid="{BFCA00F6-13A5-439F-A69B-1F75444A591A}"/>
    <cellStyle name="Currency 5 3" xfId="286" xr:uid="{DC8A496D-BC44-4AEE-9A40-6ADC697E7C38}"/>
    <cellStyle name="Currency 5 3 2" xfId="732" xr:uid="{FA347B51-258C-4E51-9240-5E469313042F}"/>
    <cellStyle name="Currency 5 3 2 2" xfId="1112" xr:uid="{EC9EFAAA-15D3-41C2-9F36-36BBB748D0D1}"/>
    <cellStyle name="Currency 5 3 2 2 2" xfId="2724" xr:uid="{390536C5-F811-4886-8915-31E267AF79E9}"/>
    <cellStyle name="Currency 5 3 2 2 3" xfId="2163" xr:uid="{F4AB5861-9B4E-44B3-88C6-5F6949CADDBF}"/>
    <cellStyle name="Currency 5 3 2 2 4" xfId="3685" xr:uid="{778560A0-EF6D-43F9-AAD1-57A631C1FF48}"/>
    <cellStyle name="Currency 5 3 2 3" xfId="1782" xr:uid="{0C78FE6F-8B48-40EE-A2E5-F1AEAA6B3FCE}"/>
    <cellStyle name="Currency 5 3 2 3 2" xfId="2540" xr:uid="{E0AA539D-68EF-458F-AB66-3DADCCF2B663}"/>
    <cellStyle name="Currency 5 3 2 4" xfId="2356" xr:uid="{26990477-F34C-4E81-9A5F-41254137043D}"/>
    <cellStyle name="Currency 5 3 2 5" xfId="1493" xr:uid="{F7B42E8A-1215-4CFA-86CA-32630EFFEA12}"/>
    <cellStyle name="Currency 5 3 2 6" xfId="3304" xr:uid="{9B95E0C6-9503-42F6-BE03-5D4013F53FC0}"/>
    <cellStyle name="Currency 5 3 3" xfId="671" xr:uid="{76CA86C2-8F10-42B7-B04E-FA1C9D1686AB}"/>
    <cellStyle name="Currency 5 3 3 2" xfId="1052" xr:uid="{2F42695F-2102-4C5D-921F-B02FD2939965}"/>
    <cellStyle name="Currency 5 3 3 2 2" xfId="2664" xr:uid="{F7AAA1FD-D612-4DD7-8774-0D45757D054A}"/>
    <cellStyle name="Currency 5 3 3 2 3" xfId="2103" xr:uid="{D3945FCC-1039-4B00-AFDC-E21531B9633D}"/>
    <cellStyle name="Currency 5 3 3 2 4" xfId="3625" xr:uid="{0CCA7607-87AB-44A4-BB94-B078C0F90947}"/>
    <cellStyle name="Currency 5 3 3 3" xfId="1722" xr:uid="{E8A8F04C-A465-464C-9E39-C67A13B99506}"/>
    <cellStyle name="Currency 5 3 3 3 2" xfId="2480" xr:uid="{3364DEA7-A0A6-4B7B-BC46-9DC62A526D66}"/>
    <cellStyle name="Currency 5 3 3 4" xfId="2296" xr:uid="{9A023039-EBFC-40AC-86AF-57DF69DD0182}"/>
    <cellStyle name="Currency 5 3 3 5" xfId="1433" xr:uid="{8146E7C4-630A-4339-AD2C-FB73DFF27104}"/>
    <cellStyle name="Currency 5 3 3 6" xfId="3244" xr:uid="{55693B54-9891-485F-9627-EB0526CE9B3C}"/>
    <cellStyle name="Currency 5 3 4" xfId="912" xr:uid="{895972F1-053C-4CD0-8959-D190C4FA156A}"/>
    <cellStyle name="Currency 5 3 4 2" xfId="2600" xr:uid="{49B1A41E-56C6-440D-A241-81DFD8B126A1}"/>
    <cellStyle name="Currency 5 3 4 3" xfId="1963" xr:uid="{C6629C5F-C69B-4C91-B19F-A363064D3BCD}"/>
    <cellStyle name="Currency 5 3 4 4" xfId="3485" xr:uid="{08819818-A474-4560-8A82-8C8D85A0E374}"/>
    <cellStyle name="Currency 5 3 5" xfId="1649" xr:uid="{977414C0-45B6-498E-B65C-45EBEFD283DE}"/>
    <cellStyle name="Currency 5 3 5 2" xfId="2416" xr:uid="{6473B52F-60B7-4FDE-9070-B123781B5068}"/>
    <cellStyle name="Currency 5 3 6" xfId="2232" xr:uid="{EA41E4DE-0685-4D6A-A94B-265460DC13E6}"/>
    <cellStyle name="Currency 5 3 7" xfId="1293" xr:uid="{D86639D6-AB6D-48C5-900A-40E7E8CC4187}"/>
    <cellStyle name="Currency 5 3 8" xfId="3104" xr:uid="{C0C57829-6EB6-41AD-BE0D-E0938E2C5E8C}"/>
    <cellStyle name="Currency 5 3 9" xfId="558" xr:uid="{8335D529-6E7A-47FF-BCFF-E11CFE122DA1}"/>
    <cellStyle name="Currency 5 4" xfId="596" xr:uid="{FFC4F18E-CE23-4B24-B211-80A7BB9B6DA5}"/>
    <cellStyle name="Currency 5 4 2" xfId="751" xr:uid="{FAF1728D-C0CC-43ED-9FD2-9429575B6124}"/>
    <cellStyle name="Currency 5 4 2 2" xfId="1131" xr:uid="{A255195E-15F1-4131-9582-3E285AB6ACF9}"/>
    <cellStyle name="Currency 5 4 2 2 2" xfId="2743" xr:uid="{A6EF2590-BEC9-4FD1-A22A-F530667686C4}"/>
    <cellStyle name="Currency 5 4 2 2 3" xfId="2182" xr:uid="{96066564-5426-41D9-B866-E95E7F9855C3}"/>
    <cellStyle name="Currency 5 4 2 2 4" xfId="3704" xr:uid="{1FCE56D6-756A-4CEC-BC02-AAF208B765F2}"/>
    <cellStyle name="Currency 5 4 2 3" xfId="1801" xr:uid="{5006973A-316A-4F0A-A1DD-5B58B13422E1}"/>
    <cellStyle name="Currency 5 4 2 3 2" xfId="2559" xr:uid="{20DAF791-9C26-4969-B1F0-761DD1BC6803}"/>
    <cellStyle name="Currency 5 4 2 4" xfId="2375" xr:uid="{0B305E45-394E-42E1-BC8C-B86AA24A1159}"/>
    <cellStyle name="Currency 5 4 2 5" xfId="1512" xr:uid="{3E439ECB-7743-4100-87BA-123102310709}"/>
    <cellStyle name="Currency 5 4 2 6" xfId="3323" xr:uid="{A6AC97DB-55FD-4ECC-8A35-7BDCB446A69A}"/>
    <cellStyle name="Currency 5 4 3" xfId="691" xr:uid="{00BABA4E-02C4-4CED-AB2E-AC4B787181D9}"/>
    <cellStyle name="Currency 5 4 3 2" xfId="1071" xr:uid="{C8D50BA4-3C7F-4030-9815-1A9BA38A8FEE}"/>
    <cellStyle name="Currency 5 4 3 2 2" xfId="2683" xr:uid="{E663A0E9-C7ED-4754-9AE8-6BD964E0F037}"/>
    <cellStyle name="Currency 5 4 3 2 3" xfId="2122" xr:uid="{B9F8B09B-2AC5-4D19-95CB-8EC41A208840}"/>
    <cellStyle name="Currency 5 4 3 2 4" xfId="3644" xr:uid="{A2C8D2E4-4D9F-4677-A827-609D8BAFF030}"/>
    <cellStyle name="Currency 5 4 3 3" xfId="1741" xr:uid="{688F9D7C-8518-4A5B-A018-954B85779779}"/>
    <cellStyle name="Currency 5 4 3 3 2" xfId="2499" xr:uid="{6F4A7D1D-DC27-4E87-B5D6-BC47A4AA50FD}"/>
    <cellStyle name="Currency 5 4 3 4" xfId="2315" xr:uid="{FBB52D22-2552-432A-B2AB-55406C0CE972}"/>
    <cellStyle name="Currency 5 4 3 5" xfId="1452" xr:uid="{0328AB90-3020-4DC9-BFB8-6BE7B00BD428}"/>
    <cellStyle name="Currency 5 4 3 6" xfId="3263" xr:uid="{D1722B67-5128-48C3-BC29-04C9D376E54A}"/>
    <cellStyle name="Currency 5 4 4" xfId="1000" xr:uid="{FAF731F9-57BA-4E8E-AA13-D6B43B44258B}"/>
    <cellStyle name="Currency 5 4 4 2" xfId="2619" xr:uid="{4548E438-D25F-4531-B336-6D09C54F0E19}"/>
    <cellStyle name="Currency 5 4 4 3" xfId="2051" xr:uid="{2D874813-0990-47CC-9F1F-F94FD5CAB3BE}"/>
    <cellStyle name="Currency 5 4 4 4" xfId="3573" xr:uid="{AF806F22-D08E-4AC3-85EB-AA610853DACC}"/>
    <cellStyle name="Currency 5 4 5" xfId="1674" xr:uid="{E4D85568-434D-405B-B288-CB49D53891C3}"/>
    <cellStyle name="Currency 5 4 5 2" xfId="2435" xr:uid="{91B36771-C9AF-44C0-8795-976131D45524}"/>
    <cellStyle name="Currency 5 4 6" xfId="2251" xr:uid="{5D3FCFC0-4946-4612-A423-60F4B818B788}"/>
    <cellStyle name="Currency 5 4 7" xfId="1381" xr:uid="{E5613125-B008-4AF8-B064-FF3CDBF029EA}"/>
    <cellStyle name="Currency 5 4 8" xfId="3192" xr:uid="{4ED38095-EE68-42C8-9436-D5751D675227}"/>
    <cellStyle name="Currency 5 5" xfId="708" xr:uid="{D9D4702B-F34A-43C0-AF04-921993748738}"/>
    <cellStyle name="Currency 5 5 2" xfId="1088" xr:uid="{E91DF98F-69A3-4B61-92E4-59214CFB6DA3}"/>
    <cellStyle name="Currency 5 5 2 2" xfId="2700" xr:uid="{F6B9FD8A-1308-4162-A4A8-BD2457506990}"/>
    <cellStyle name="Currency 5 5 2 3" xfId="2139" xr:uid="{D246DBE8-6C17-43C7-8AA9-CD62E87E5D4A}"/>
    <cellStyle name="Currency 5 5 2 4" xfId="3661" xr:uid="{CD2FAF7B-3CE0-47D0-BB9D-D396DACCE611}"/>
    <cellStyle name="Currency 5 5 3" xfId="1758" xr:uid="{8BA7982D-5A76-49B9-9F53-9843AA59C267}"/>
    <cellStyle name="Currency 5 5 3 2" xfId="2516" xr:uid="{12AF555F-4172-4F93-8166-B919878EA16C}"/>
    <cellStyle name="Currency 5 5 4" xfId="2332" xr:uid="{A1F0EDBD-F7AA-4C6B-8034-8ADFF0513FB3}"/>
    <cellStyle name="Currency 5 5 5" xfId="1469" xr:uid="{9C977F17-B356-4993-ADA3-2D977DA5D150}"/>
    <cellStyle name="Currency 5 5 6" xfId="3280" xr:uid="{B7BDDF2E-E684-4770-B194-497BDDD1E84E}"/>
    <cellStyle name="Currency 5 6" xfId="644" xr:uid="{2CF39C30-4E1D-475E-911C-AFACC99B415F}"/>
    <cellStyle name="Currency 5 6 2" xfId="1028" xr:uid="{9306D6FE-121F-45DF-AEAD-9C56944B7EDE}"/>
    <cellStyle name="Currency 5 6 2 2" xfId="2640" xr:uid="{52E8E829-FB66-4C30-8B69-1B6A7F9CB157}"/>
    <cellStyle name="Currency 5 6 2 3" xfId="2079" xr:uid="{E2A112A3-8C8C-46E5-9677-1E42D74DFD30}"/>
    <cellStyle name="Currency 5 6 2 4" xfId="3601" xr:uid="{F55C8E48-A361-4F4F-90F6-042661551051}"/>
    <cellStyle name="Currency 5 6 3" xfId="1698" xr:uid="{3C2209F6-2165-4C89-8DB6-106CCFB86E8B}"/>
    <cellStyle name="Currency 5 6 3 2" xfId="2456" xr:uid="{A2A80E56-E8A8-4F9A-91AC-38203F42E840}"/>
    <cellStyle name="Currency 5 6 4" xfId="2272" xr:uid="{0DE7346B-1BD7-4404-AB00-ADE34E307B37}"/>
    <cellStyle name="Currency 5 6 5" xfId="1409" xr:uid="{5B6D0BBB-0509-4EC6-9F8E-DD5F7AC7E574}"/>
    <cellStyle name="Currency 5 6 6" xfId="3220" xr:uid="{8A11CC82-A03A-4C50-BF9C-17AF7BD68C44}"/>
    <cellStyle name="Currency 5 7" xfId="792" xr:uid="{E0BBB68F-7579-4C73-8004-A097860E9C9E}"/>
    <cellStyle name="Currency 5 7 2" xfId="2576" xr:uid="{BC2653F4-FE74-485E-916D-2B4632CEDE12}"/>
    <cellStyle name="Currency 5 7 3" xfId="1843" xr:uid="{3F44FE86-D6A6-45EA-ACE8-F53A51C4EAD5}"/>
    <cellStyle name="Currency 5 7 4" xfId="3365" xr:uid="{7AC2F6C3-A03B-4D07-A253-624A4B442CB7}"/>
    <cellStyle name="Currency 5 8" xfId="1546" xr:uid="{E3F64C85-0969-4F87-A7E2-2AE4CBB5F375}"/>
    <cellStyle name="Currency 5 8 2" xfId="2392" xr:uid="{8529829E-52F2-4337-8DE8-5F4037B6FA8A}"/>
    <cellStyle name="Currency 5 9" xfId="2208" xr:uid="{04249DFD-9E21-4CA1-B14B-A62ECC738199}"/>
    <cellStyle name="Currency 6" xfId="172" xr:uid="{6F11BC32-5D0E-4748-8423-95BD67F8C603}"/>
    <cellStyle name="Currency 6 10" xfId="1176" xr:uid="{A45DBD57-26F3-4E9D-8E1A-D816D6EF38E9}"/>
    <cellStyle name="Currency 6 11" xfId="2987" xr:uid="{652BF849-6132-4276-9836-6E10B31FFC4E}"/>
    <cellStyle name="Currency 6 12" xfId="439" xr:uid="{57781F6E-4145-4C1A-99F3-E3881333B485}"/>
    <cellStyle name="Currency 6 2" xfId="278" xr:uid="{00ED846D-EF32-40A6-82EF-128F08518822}"/>
    <cellStyle name="Currency 6 2 10" xfId="3076" xr:uid="{40C6CD73-25B4-4DFC-AF2B-6582E7D94B92}"/>
    <cellStyle name="Currency 6 2 11" xfId="533" xr:uid="{70DC3D07-8EFE-4E29-9F91-4145A38FAB53}"/>
    <cellStyle name="Currency 6 2 2" xfId="295" xr:uid="{3AA29A16-8E72-4D37-A970-1AAB268DB514}"/>
    <cellStyle name="Currency 6 2 2 2" xfId="741" xr:uid="{DC1C1A2C-DA0D-4EB1-B12B-605BC77C8C6E}"/>
    <cellStyle name="Currency 6 2 2 2 2" xfId="1121" xr:uid="{CAA301CA-AD7D-4EF0-A989-E277204197DB}"/>
    <cellStyle name="Currency 6 2 2 2 2 2" xfId="2733" xr:uid="{9FDCD73D-1BA6-49D8-99BF-22280B3F2817}"/>
    <cellStyle name="Currency 6 2 2 2 2 3" xfId="2172" xr:uid="{58D2F43F-22A6-4BB7-9772-B173D33382C9}"/>
    <cellStyle name="Currency 6 2 2 2 2 4" xfId="3694" xr:uid="{4623C173-CDC8-4A6E-9A9E-CDF316C5E329}"/>
    <cellStyle name="Currency 6 2 2 2 3" xfId="1791" xr:uid="{8D29538B-840D-4F04-BD2C-29C105EEBC78}"/>
    <cellStyle name="Currency 6 2 2 2 3 2" xfId="2549" xr:uid="{0C3F3A19-1F5D-4907-B940-7531A68BE0D9}"/>
    <cellStyle name="Currency 6 2 2 2 4" xfId="2365" xr:uid="{0C2A4DE5-0B0C-4769-ACF0-1FA68188FE3E}"/>
    <cellStyle name="Currency 6 2 2 2 5" xfId="1502" xr:uid="{F3FE344A-D1EC-4CB4-987E-B57898BC55BB}"/>
    <cellStyle name="Currency 6 2 2 2 6" xfId="3313" xr:uid="{BBD45718-3FC4-4EAD-854E-C353DF59012F}"/>
    <cellStyle name="Currency 6 2 2 3" xfId="681" xr:uid="{18C40A24-C2BD-4DB3-9539-1644E93F5541}"/>
    <cellStyle name="Currency 6 2 2 3 2" xfId="1061" xr:uid="{5037E8CC-F3DF-4F78-B93A-5D417BEFB16A}"/>
    <cellStyle name="Currency 6 2 2 3 2 2" xfId="2673" xr:uid="{94D3CFB8-8CA9-4253-BA92-642CD19BEB7B}"/>
    <cellStyle name="Currency 6 2 2 3 2 3" xfId="2112" xr:uid="{8BF82799-9DB4-4527-B732-4DBCE03E7163}"/>
    <cellStyle name="Currency 6 2 2 3 2 4" xfId="3634" xr:uid="{4EA059CF-AEE0-4492-A42B-BA0E25C81474}"/>
    <cellStyle name="Currency 6 2 2 3 3" xfId="1731" xr:uid="{8000A2E9-0920-40C4-8342-E6CF09CA0ED9}"/>
    <cellStyle name="Currency 6 2 2 3 3 2" xfId="2489" xr:uid="{918D04B4-BC31-4C70-A430-6F46795ABC0A}"/>
    <cellStyle name="Currency 6 2 2 3 4" xfId="2305" xr:uid="{C4350BFB-9391-4496-9A12-B3456AF9F972}"/>
    <cellStyle name="Currency 6 2 2 3 5" xfId="1442" xr:uid="{881B4F52-29F7-4E51-A85E-6DB68EAC679E}"/>
    <cellStyle name="Currency 6 2 2 3 6" xfId="3253" xr:uid="{D4E44C4E-52AD-4D43-B695-B0CCC4122B0C}"/>
    <cellStyle name="Currency 6 2 2 4" xfId="990" xr:uid="{C5ADADE3-8497-4806-AE50-72B9A9FDDA9A}"/>
    <cellStyle name="Currency 6 2 2 4 2" xfId="2609" xr:uid="{27CD2E66-BFD3-436F-8AF7-E7EC41811C0D}"/>
    <cellStyle name="Currency 6 2 2 4 3" xfId="2041" xr:uid="{132B90D4-5EBB-4DF2-870B-767E1DFBDEAA}"/>
    <cellStyle name="Currency 6 2 2 4 4" xfId="3563" xr:uid="{3E893F1A-6BEB-4DA9-816A-075F140BD53B}"/>
    <cellStyle name="Currency 6 2 2 5" xfId="1664" xr:uid="{3219285E-0A87-412F-BA46-62DA543D1EBA}"/>
    <cellStyle name="Currency 6 2 2 5 2" xfId="2425" xr:uid="{1939AE24-6A50-4CF4-BF4D-29228A46F4E0}"/>
    <cellStyle name="Currency 6 2 2 6" xfId="2241" xr:uid="{36366F28-352F-42AA-AD7A-383B9DEB3231}"/>
    <cellStyle name="Currency 6 2 2 7" xfId="1371" xr:uid="{48314B14-0389-4776-9F66-6B13B6682759}"/>
    <cellStyle name="Currency 6 2 2 8" xfId="3182" xr:uid="{C4F1B9E3-F29F-4952-8EEB-E5A3D8482993}"/>
    <cellStyle name="Currency 6 2 2 9" xfId="586" xr:uid="{F1F4CFB3-1950-4F4B-A551-64552A88772D}"/>
    <cellStyle name="Currency 6 2 3" xfId="605" xr:uid="{1EC7BDB5-B62E-4A23-B612-649BCC33FCAC}"/>
    <cellStyle name="Currency 6 2 3 2" xfId="760" xr:uid="{CB5A4E51-D4D5-4923-8C96-67083B59D615}"/>
    <cellStyle name="Currency 6 2 3 2 2" xfId="1140" xr:uid="{8370ECEF-6E75-4612-8B46-263D262D5632}"/>
    <cellStyle name="Currency 6 2 3 2 2 2" xfId="2752" xr:uid="{9BAC39E7-4A8A-4476-A2D8-90199288CB14}"/>
    <cellStyle name="Currency 6 2 3 2 2 3" xfId="2191" xr:uid="{810B0A06-D18C-4DE0-8C4F-A5C7A75C2E5B}"/>
    <cellStyle name="Currency 6 2 3 2 2 4" xfId="3713" xr:uid="{26897ED0-839A-4CAE-AEE3-4B7FB1489B7A}"/>
    <cellStyle name="Currency 6 2 3 2 3" xfId="1810" xr:uid="{81129ED8-BCF5-4587-BD3F-FA4B9E5B100C}"/>
    <cellStyle name="Currency 6 2 3 2 3 2" xfId="2568" xr:uid="{0BF3FE6E-4FDC-495F-92AC-B7E6DF93D287}"/>
    <cellStyle name="Currency 6 2 3 2 4" xfId="2384" xr:uid="{EEABD4AE-DA5F-4B47-B065-8116D324ECD0}"/>
    <cellStyle name="Currency 6 2 3 2 5" xfId="1521" xr:uid="{1B4D5CFB-F4FD-468B-8652-F87C827A39B2}"/>
    <cellStyle name="Currency 6 2 3 2 6" xfId="3332" xr:uid="{8B578E22-0814-4F21-AFB4-3A23DB469746}"/>
    <cellStyle name="Currency 6 2 3 3" xfId="700" xr:uid="{40B62890-BAF1-48EF-B156-ABABD6593304}"/>
    <cellStyle name="Currency 6 2 3 3 2" xfId="1080" xr:uid="{AF16D537-9489-4368-91E2-DD38E5CAA788}"/>
    <cellStyle name="Currency 6 2 3 3 2 2" xfId="2692" xr:uid="{7C48BFBD-214C-4651-98A9-DC9A640B35C3}"/>
    <cellStyle name="Currency 6 2 3 3 2 3" xfId="2131" xr:uid="{0E03D151-52DB-4107-85CF-DB5EA11BBFE4}"/>
    <cellStyle name="Currency 6 2 3 3 2 4" xfId="3653" xr:uid="{AFC24EBE-E07D-475C-8311-A6A86AD9E929}"/>
    <cellStyle name="Currency 6 2 3 3 3" xfId="1750" xr:uid="{B88BF1D9-3FBE-4FBF-A159-1D7A91791714}"/>
    <cellStyle name="Currency 6 2 3 3 3 2" xfId="2508" xr:uid="{D21B4ACA-AFCA-4A2E-9F9A-974946C40C58}"/>
    <cellStyle name="Currency 6 2 3 3 4" xfId="2324" xr:uid="{1171EBA8-7B45-403A-AF77-A890DE9DD764}"/>
    <cellStyle name="Currency 6 2 3 3 5" xfId="1461" xr:uid="{594A12C2-6858-4907-8A00-896220A782A3}"/>
    <cellStyle name="Currency 6 2 3 3 6" xfId="3272" xr:uid="{2A96948A-717B-4FB7-890D-550AAC68BA4F}"/>
    <cellStyle name="Currency 6 2 3 4" xfId="1009" xr:uid="{E3199D14-24B9-471C-BB74-F68203255F5B}"/>
    <cellStyle name="Currency 6 2 3 4 2" xfId="2628" xr:uid="{87B855DD-07A0-41CA-B69A-BB4FB2BAA659}"/>
    <cellStyle name="Currency 6 2 3 4 3" xfId="2060" xr:uid="{94C2349C-C278-410D-816B-5AEE1E8F8A98}"/>
    <cellStyle name="Currency 6 2 3 4 4" xfId="3582" xr:uid="{5A155D2E-B858-47A5-AB41-9F39527930EE}"/>
    <cellStyle name="Currency 6 2 3 5" xfId="1683" xr:uid="{4D13F55D-FB30-4ACF-A637-6B44223BB93E}"/>
    <cellStyle name="Currency 6 2 3 5 2" xfId="2444" xr:uid="{1329659C-80B4-4B9D-BEAB-1CE8496A1049}"/>
    <cellStyle name="Currency 6 2 3 6" xfId="2260" xr:uid="{E94548BA-390C-4318-9B2D-109BFDF9FA42}"/>
    <cellStyle name="Currency 6 2 3 7" xfId="1390" xr:uid="{D3587CE7-DE7C-47F2-B8A6-A913D2216527}"/>
    <cellStyle name="Currency 6 2 3 8" xfId="3201" xr:uid="{4F806280-17E3-4FD7-A323-BF35538C86BC}"/>
    <cellStyle name="Currency 6 2 4" xfId="717" xr:uid="{7A35DECD-9AD0-4879-A80B-74447839D345}"/>
    <cellStyle name="Currency 6 2 4 2" xfId="1097" xr:uid="{1271A194-2FFA-41CF-B7E7-D21388E74537}"/>
    <cellStyle name="Currency 6 2 4 2 2" xfId="2709" xr:uid="{8BD30A51-41CD-4424-8855-574F140054F0}"/>
    <cellStyle name="Currency 6 2 4 2 3" xfId="2148" xr:uid="{4E717B9B-D2E2-4A85-A68E-3582213DE7B5}"/>
    <cellStyle name="Currency 6 2 4 2 4" xfId="3670" xr:uid="{0F443B9F-EF4E-4AD9-959A-62FA36DE2BCB}"/>
    <cellStyle name="Currency 6 2 4 3" xfId="1767" xr:uid="{7AF0B6D4-7B75-4E09-9014-5172ACDC6183}"/>
    <cellStyle name="Currency 6 2 4 3 2" xfId="2525" xr:uid="{39EFC1E1-E217-466B-8DF4-C9DD7442F74B}"/>
    <cellStyle name="Currency 6 2 4 4" xfId="2341" xr:uid="{1D2539C6-2FA7-49D3-A6D9-A03E0BE7B879}"/>
    <cellStyle name="Currency 6 2 4 5" xfId="1478" xr:uid="{61E07C39-ECF3-4934-B544-0ADAD5927E52}"/>
    <cellStyle name="Currency 6 2 4 6" xfId="3289" xr:uid="{5B853A0E-4DD6-4D76-9EA5-D96986CF98F4}"/>
    <cellStyle name="Currency 6 2 5" xfId="655" xr:uid="{85421C0B-D218-4D45-A79A-B74F7372CF15}"/>
    <cellStyle name="Currency 6 2 5 2" xfId="1037" xr:uid="{2E940033-672E-475A-8D33-A98F2E793149}"/>
    <cellStyle name="Currency 6 2 5 2 2" xfId="2649" xr:uid="{CA773E81-1AD0-400D-A96D-60FB9038E71B}"/>
    <cellStyle name="Currency 6 2 5 2 3" xfId="2088" xr:uid="{8B7DA54F-D09F-4A4E-B1E7-FFF21D2A6073}"/>
    <cellStyle name="Currency 6 2 5 2 4" xfId="3610" xr:uid="{3C17545C-6846-4D8F-848A-25343861B272}"/>
    <cellStyle name="Currency 6 2 5 3" xfId="1707" xr:uid="{073A457C-6923-456F-AC8A-18FEABE22EE4}"/>
    <cellStyle name="Currency 6 2 5 3 2" xfId="2465" xr:uid="{F82027A6-12E7-4D3B-8B36-7E51EE349C42}"/>
    <cellStyle name="Currency 6 2 5 4" xfId="2281" xr:uid="{548144C7-8766-4BF2-ADD5-0A3874544D4E}"/>
    <cellStyle name="Currency 6 2 5 5" xfId="1418" xr:uid="{79E4B55A-ACC3-43DB-A130-13A765A4354B}"/>
    <cellStyle name="Currency 6 2 5 6" xfId="3229" xr:uid="{0FF2E79E-2821-4289-89E2-6CF03A9D3E34}"/>
    <cellStyle name="Currency 6 2 6" xfId="884" xr:uid="{8DA18CB6-9C86-425B-BBCF-ED7841C89377}"/>
    <cellStyle name="Currency 6 2 6 2" xfId="2585" xr:uid="{3BFD6EF8-0558-48E1-B646-1F8D04661F30}"/>
    <cellStyle name="Currency 6 2 6 3" xfId="1935" xr:uid="{1081A003-D47F-4BCD-BAC4-10C6B1FA3C14}"/>
    <cellStyle name="Currency 6 2 6 4" xfId="3457" xr:uid="{BA207A5D-2320-4331-8EA0-2305BB5705EC}"/>
    <cellStyle name="Currency 6 2 7" xfId="1633" xr:uid="{2B8CFE2E-AD95-4D30-B4EC-B327108B3EB1}"/>
    <cellStyle name="Currency 6 2 7 2" xfId="2401" xr:uid="{ED08743F-D4EE-4580-B427-C7571F887A81}"/>
    <cellStyle name="Currency 6 2 8" xfId="2217" xr:uid="{201E5132-DCDB-4083-A29E-010C55CD3639}"/>
    <cellStyle name="Currency 6 2 9" xfId="1265" xr:uid="{BF3CDBF3-D157-4144-BA23-9AF05942E564}"/>
    <cellStyle name="Currency 6 3" xfId="287" xr:uid="{40B3B638-21AB-444F-AECA-B42986A25B20}"/>
    <cellStyle name="Currency 6 3 2" xfId="733" xr:uid="{70192182-8E46-4213-AF0E-79E15FDE9516}"/>
    <cellStyle name="Currency 6 3 2 2" xfId="1113" xr:uid="{2A973368-F0AC-4C1C-9230-3278A4D4EDD8}"/>
    <cellStyle name="Currency 6 3 2 2 2" xfId="2725" xr:uid="{0D2DCEAF-EE72-46E7-AECC-63C454A879D5}"/>
    <cellStyle name="Currency 6 3 2 2 3" xfId="2164" xr:uid="{FD2002ED-C3F8-441B-99F4-05962E1ECD74}"/>
    <cellStyle name="Currency 6 3 2 2 4" xfId="3686" xr:uid="{7642E843-91A9-415C-8C34-784465D78CC5}"/>
    <cellStyle name="Currency 6 3 2 3" xfId="1783" xr:uid="{881206B2-E3D1-40A1-AE3D-A39D12A16FA1}"/>
    <cellStyle name="Currency 6 3 2 3 2" xfId="2541" xr:uid="{B195257B-C54A-4126-A99A-1E3074A39E5F}"/>
    <cellStyle name="Currency 6 3 2 4" xfId="2357" xr:uid="{0C21BB7D-ACF2-4C27-AE67-325EEAF0B625}"/>
    <cellStyle name="Currency 6 3 2 5" xfId="1494" xr:uid="{9ED0BDB2-65A9-4C5B-9F03-1404C7EAA2D7}"/>
    <cellStyle name="Currency 6 3 2 6" xfId="3305" xr:uid="{6506936C-69DC-4AFE-A52F-3611AAD462E1}"/>
    <cellStyle name="Currency 6 3 3" xfId="672" xr:uid="{5CBF51E6-0AE5-4FE0-AA44-DDD08C2014CB}"/>
    <cellStyle name="Currency 6 3 3 2" xfId="1053" xr:uid="{0EE82369-B6E5-4747-BC7B-F5174F3840CF}"/>
    <cellStyle name="Currency 6 3 3 2 2" xfId="2665" xr:uid="{C3B99B7B-0A19-46C7-A6F6-7BFAEC0A3244}"/>
    <cellStyle name="Currency 6 3 3 2 3" xfId="2104" xr:uid="{AD37CA6D-50A5-474A-8DBD-70027DFA2371}"/>
    <cellStyle name="Currency 6 3 3 2 4" xfId="3626" xr:uid="{1996EBD1-EE70-4693-8E14-C239B2864DD6}"/>
    <cellStyle name="Currency 6 3 3 3" xfId="1723" xr:uid="{35B3FD31-F8AC-44E6-B8F7-12F51C43777E}"/>
    <cellStyle name="Currency 6 3 3 3 2" xfId="2481" xr:uid="{935BC4A8-E46B-45A0-80B4-4B38F394A339}"/>
    <cellStyle name="Currency 6 3 3 4" xfId="2297" xr:uid="{C8C39B11-2079-4D9A-ACB1-26FBA1356820}"/>
    <cellStyle name="Currency 6 3 3 5" xfId="1434" xr:uid="{99B9DA83-17DD-4183-8AB4-F34B0F5C099D}"/>
    <cellStyle name="Currency 6 3 3 6" xfId="3245" xr:uid="{AEB87DA2-060F-486B-ADF7-129F3EE852B4}"/>
    <cellStyle name="Currency 6 3 4" xfId="914" xr:uid="{B5F8CBE0-EE57-4595-A320-C0FDC8468421}"/>
    <cellStyle name="Currency 6 3 4 2" xfId="2601" xr:uid="{7B020753-F6B4-4002-B8DD-BA7628F3668B}"/>
    <cellStyle name="Currency 6 3 4 3" xfId="1965" xr:uid="{864DA98C-ED11-4AD2-A189-FC5ACFCBC30E}"/>
    <cellStyle name="Currency 6 3 4 4" xfId="3487" xr:uid="{97FD21C1-DCEE-48CE-AD39-FE0F292B40A0}"/>
    <cellStyle name="Currency 6 3 5" xfId="1651" xr:uid="{F0E1E760-B943-42F5-B8DA-03410CAA4334}"/>
    <cellStyle name="Currency 6 3 5 2" xfId="2417" xr:uid="{9C9DEDB9-0E14-4301-84E3-535A6FB62484}"/>
    <cellStyle name="Currency 6 3 6" xfId="2233" xr:uid="{A8E38ED6-D917-45CE-985F-468E2A97417C}"/>
    <cellStyle name="Currency 6 3 7" xfId="1295" xr:uid="{FDABA285-FCC1-444A-90FA-D6A36BAD25A5}"/>
    <cellStyle name="Currency 6 3 8" xfId="3106" xr:uid="{B9117A41-CAA1-4219-A04B-FF8E226788DA}"/>
    <cellStyle name="Currency 6 3 9" xfId="563" xr:uid="{011CACB0-22F4-4D3F-8E5F-1C13AE1A6C35}"/>
    <cellStyle name="Currency 6 4" xfId="597" xr:uid="{69498236-4323-44DE-85ED-541AA05ACB71}"/>
    <cellStyle name="Currency 6 4 2" xfId="752" xr:uid="{00C91707-DE1D-4F2B-82B3-5E75341ED4EB}"/>
    <cellStyle name="Currency 6 4 2 2" xfId="1132" xr:uid="{B1061C12-304B-48AB-8A6A-7FA711CCD478}"/>
    <cellStyle name="Currency 6 4 2 2 2" xfId="2744" xr:uid="{808AE9EE-E307-4605-8B11-5B989FE7F60C}"/>
    <cellStyle name="Currency 6 4 2 2 3" xfId="2183" xr:uid="{293DC4E7-23BE-4420-B19A-99800C0CF6A8}"/>
    <cellStyle name="Currency 6 4 2 2 4" xfId="3705" xr:uid="{821C2099-588B-40AF-A1E7-C25B1C28E392}"/>
    <cellStyle name="Currency 6 4 2 3" xfId="1802" xr:uid="{94067C54-3517-484D-9E68-764E4222FFF0}"/>
    <cellStyle name="Currency 6 4 2 3 2" xfId="2560" xr:uid="{2EBDB3E0-BD28-445C-BD4A-0FE6EE190D82}"/>
    <cellStyle name="Currency 6 4 2 4" xfId="2376" xr:uid="{CD12740E-5332-47E9-8B51-71A12C9F3144}"/>
    <cellStyle name="Currency 6 4 2 5" xfId="1513" xr:uid="{AE5A83E2-5756-46F8-A37B-CD5181E9814E}"/>
    <cellStyle name="Currency 6 4 2 6" xfId="3324" xr:uid="{ACCA8EFA-075B-49B3-957A-242D6C59F8C9}"/>
    <cellStyle name="Currency 6 4 3" xfId="692" xr:uid="{171A93A5-90F6-4A2A-8900-2E3CBAAA9418}"/>
    <cellStyle name="Currency 6 4 3 2" xfId="1072" xr:uid="{6ECA5DEF-4AFF-4460-B944-014B7F743C76}"/>
    <cellStyle name="Currency 6 4 3 2 2" xfId="2684" xr:uid="{1D012657-374B-4F73-84FE-42EC3F42B30F}"/>
    <cellStyle name="Currency 6 4 3 2 3" xfId="2123" xr:uid="{7C38597C-69C3-44C5-B325-D681BF18EB44}"/>
    <cellStyle name="Currency 6 4 3 2 4" xfId="3645" xr:uid="{B6465569-3AA4-4ED8-A1DC-E6B4B582AFD3}"/>
    <cellStyle name="Currency 6 4 3 3" xfId="1742" xr:uid="{CDCF8EDB-BB37-4620-B16B-B86B074E4737}"/>
    <cellStyle name="Currency 6 4 3 3 2" xfId="2500" xr:uid="{D8E0675D-7AA0-406F-BF44-6B0E5224C423}"/>
    <cellStyle name="Currency 6 4 3 4" xfId="2316" xr:uid="{4003AE8E-A800-4E6C-B9B2-B349EA3C41E6}"/>
    <cellStyle name="Currency 6 4 3 5" xfId="1453" xr:uid="{98950B42-73EE-4DE1-B185-634918E0563A}"/>
    <cellStyle name="Currency 6 4 3 6" xfId="3264" xr:uid="{BE594689-D567-489C-B890-46F782003E04}"/>
    <cellStyle name="Currency 6 4 4" xfId="1001" xr:uid="{7033A6A6-8B0C-4A0D-B4F4-CEFCAF937746}"/>
    <cellStyle name="Currency 6 4 4 2" xfId="2620" xr:uid="{C4CBE34C-8147-401B-AAF3-0C7C5B7FFA7A}"/>
    <cellStyle name="Currency 6 4 4 3" xfId="2052" xr:uid="{02485F36-C019-4CF1-9404-7E33B74C52DA}"/>
    <cellStyle name="Currency 6 4 4 4" xfId="3574" xr:uid="{2E71FA87-AE9A-4A25-A0B8-117F8DBAEDAC}"/>
    <cellStyle name="Currency 6 4 5" xfId="1675" xr:uid="{506B18AA-56C3-4EDA-B0A9-1741157EC471}"/>
    <cellStyle name="Currency 6 4 5 2" xfId="2436" xr:uid="{805D9260-B981-44D3-9553-659B6BB36F11}"/>
    <cellStyle name="Currency 6 4 6" xfId="2252" xr:uid="{194C08A0-2D99-465A-A8F9-48365B6AE4B9}"/>
    <cellStyle name="Currency 6 4 7" xfId="1382" xr:uid="{8708A88E-030C-4747-B70D-0E7033167BE1}"/>
    <cellStyle name="Currency 6 4 8" xfId="3193" xr:uid="{0FB3F8ED-AD58-45AA-BDA3-1BF12E452818}"/>
    <cellStyle name="Currency 6 5" xfId="709" xr:uid="{6A6057E1-CA60-4569-805B-8B73178B83DB}"/>
    <cellStyle name="Currency 6 5 2" xfId="1089" xr:uid="{887757B0-EA3D-4400-B1D7-4F677F5B7F1C}"/>
    <cellStyle name="Currency 6 5 2 2" xfId="2701" xr:uid="{A9643D25-C96F-4F48-9062-313AB37A0A0E}"/>
    <cellStyle name="Currency 6 5 2 3" xfId="2140" xr:uid="{E87AA256-5B7C-4BB5-8172-386DA75AD508}"/>
    <cellStyle name="Currency 6 5 2 4" xfId="3662" xr:uid="{0527C28A-8825-4506-89BE-6A3656674C5F}"/>
    <cellStyle name="Currency 6 5 3" xfId="1759" xr:uid="{6CD24F04-292A-42A3-A3EF-7E41AD3365C6}"/>
    <cellStyle name="Currency 6 5 3 2" xfId="2517" xr:uid="{D189D734-01FC-46C4-97F4-297363F00917}"/>
    <cellStyle name="Currency 6 5 4" xfId="2333" xr:uid="{4D414DD1-D1B7-4C1E-9E1D-8AFDF1B287DC}"/>
    <cellStyle name="Currency 6 5 5" xfId="1470" xr:uid="{165AD379-A6EB-43C3-A9A8-AD5023B1BE55}"/>
    <cellStyle name="Currency 6 5 6" xfId="3281" xr:uid="{657F78F1-528E-4FD0-BF89-7A1D4B80DBD1}"/>
    <cellStyle name="Currency 6 6" xfId="646" xr:uid="{2EE8F6C6-87DF-4751-9BC9-67B21C4E963B}"/>
    <cellStyle name="Currency 6 6 2" xfId="1029" xr:uid="{85ED5B3F-2AC1-4D7C-AE51-1C1DBABE8E02}"/>
    <cellStyle name="Currency 6 6 2 2" xfId="2641" xr:uid="{034C3BB8-2DA5-4D5B-B61C-3E87F2622E72}"/>
    <cellStyle name="Currency 6 6 2 3" xfId="2080" xr:uid="{B960DF14-A247-4062-A59A-313C740DFDB0}"/>
    <cellStyle name="Currency 6 6 2 4" xfId="3602" xr:uid="{50583E82-901C-4B58-B0B2-66A38C314D2A}"/>
    <cellStyle name="Currency 6 6 3" xfId="1699" xr:uid="{721571D8-CFDB-4BC1-9EB1-5C25C545F1B1}"/>
    <cellStyle name="Currency 6 6 3 2" xfId="2457" xr:uid="{0DC735A7-06D3-4E66-B225-6D1708F00B04}"/>
    <cellStyle name="Currency 6 6 4" xfId="2273" xr:uid="{DB923645-8DEA-470C-B2C9-245F94C793E7}"/>
    <cellStyle name="Currency 6 6 5" xfId="1410" xr:uid="{E60E9C7D-5221-4B02-B2B5-BF0FF61BE183}"/>
    <cellStyle name="Currency 6 6 6" xfId="3221" xr:uid="{E56D0A67-42DB-4AA5-AE92-EAD9C791BD82}"/>
    <cellStyle name="Currency 6 7" xfId="795" xr:uid="{600450E0-F79F-4707-85AD-CDAF6724DD5D}"/>
    <cellStyle name="Currency 6 7 2" xfId="2577" xr:uid="{054634EA-9BDC-433B-8C77-3C5214286AC2}"/>
    <cellStyle name="Currency 6 7 3" xfId="1846" xr:uid="{69CC8D88-CC9C-45A6-B51F-5923E6032809}"/>
    <cellStyle name="Currency 6 7 4" xfId="3368" xr:uid="{68634740-89C8-45BD-B41D-5809D1926D83}"/>
    <cellStyle name="Currency 6 8" xfId="1548" xr:uid="{082EDFF6-11A4-4905-A8BD-1632D9C9A018}"/>
    <cellStyle name="Currency 6 8 2" xfId="2393" xr:uid="{C5728479-FBCF-46F5-AA1C-CA1DA57D6EB9}"/>
    <cellStyle name="Currency 6 9" xfId="2209" xr:uid="{A272358C-9B35-485A-83F9-345E5ED67623}"/>
    <cellStyle name="Currency 7" xfId="173" xr:uid="{DA4C7F35-A832-47EE-8FF6-BB7167EDDFFE}"/>
    <cellStyle name="Currency 7 2" xfId="564" xr:uid="{BC287E69-4FED-41F7-B1C0-7133AB107B00}"/>
    <cellStyle name="Currency 7 3" xfId="440" xr:uid="{AA566B0D-0DBD-4A07-82A7-7290B583F17D}"/>
    <cellStyle name="Currency 8" xfId="175" xr:uid="{EDCDFF06-3F6B-4485-A316-EFADA94872B8}"/>
    <cellStyle name="Currency 8 10" xfId="1178" xr:uid="{BAE03DE4-1B82-4D64-B9AE-5E3E6EC823D4}"/>
    <cellStyle name="Currency 8 11" xfId="2989" xr:uid="{2C467698-39AC-4B9C-9B3A-50E7A8940016}"/>
    <cellStyle name="Currency 8 12" xfId="442" xr:uid="{2BE50F12-C497-440B-8E65-AF72D0F43B23}"/>
    <cellStyle name="Currency 8 2" xfId="279" xr:uid="{2F932D95-0985-44F0-995F-FDEB62B87399}"/>
    <cellStyle name="Currency 8 2 10" xfId="3077" xr:uid="{B40B22EB-FB08-4410-986D-4D843ED9A820}"/>
    <cellStyle name="Currency 8 2 11" xfId="534" xr:uid="{7FAC70CA-E2F7-45E4-BC9B-3AC637E0E539}"/>
    <cellStyle name="Currency 8 2 2" xfId="296" xr:uid="{E8139208-224E-439E-ADD3-E924BE47864F}"/>
    <cellStyle name="Currency 8 2 2 2" xfId="742" xr:uid="{080B616D-9A33-4C60-87F5-8BB074DDF8F2}"/>
    <cellStyle name="Currency 8 2 2 2 2" xfId="1122" xr:uid="{3D020017-6564-472B-9B4D-44A547918F51}"/>
    <cellStyle name="Currency 8 2 2 2 2 2" xfId="2734" xr:uid="{C313C50F-7BD5-49FB-8A3F-2BFBE6C949B5}"/>
    <cellStyle name="Currency 8 2 2 2 2 3" xfId="2173" xr:uid="{73623517-3358-4B26-B0C7-0293E8419F98}"/>
    <cellStyle name="Currency 8 2 2 2 2 4" xfId="3695" xr:uid="{EEC536E0-6ED4-443A-A948-A7D83BB5F987}"/>
    <cellStyle name="Currency 8 2 2 2 3" xfId="1792" xr:uid="{6D16E7AC-713C-4D46-BE12-3BA4ED68BFBF}"/>
    <cellStyle name="Currency 8 2 2 2 3 2" xfId="2550" xr:uid="{CEF93DE3-31CA-495D-B4B6-AB44A3519ADC}"/>
    <cellStyle name="Currency 8 2 2 2 4" xfId="2366" xr:uid="{8399CADF-C387-488F-B2C3-22FAC487E586}"/>
    <cellStyle name="Currency 8 2 2 2 5" xfId="1503" xr:uid="{7BD609FC-F7FE-4D13-8C32-F4E930E60315}"/>
    <cellStyle name="Currency 8 2 2 2 6" xfId="3314" xr:uid="{57B8BFD9-17BC-4842-8351-3A770067A806}"/>
    <cellStyle name="Currency 8 2 2 3" xfId="682" xr:uid="{3308C6A4-05E1-4A00-B312-FFEABF6E8810}"/>
    <cellStyle name="Currency 8 2 2 3 2" xfId="1062" xr:uid="{9CC51081-7F3D-4703-AC14-DC9E6E2723C6}"/>
    <cellStyle name="Currency 8 2 2 3 2 2" xfId="2674" xr:uid="{8C747224-D878-450D-A666-A3016EB5ED1B}"/>
    <cellStyle name="Currency 8 2 2 3 2 3" xfId="2113" xr:uid="{A4AFDD26-F3EB-42F6-953F-D000DC97A43D}"/>
    <cellStyle name="Currency 8 2 2 3 2 4" xfId="3635" xr:uid="{00B45E87-E859-4FF9-BE2C-A95DADAB17C3}"/>
    <cellStyle name="Currency 8 2 2 3 3" xfId="1732" xr:uid="{D4F07E16-BF5C-45EF-91D8-40EC5990E1BB}"/>
    <cellStyle name="Currency 8 2 2 3 3 2" xfId="2490" xr:uid="{269E166B-C2D8-4965-9DB5-EEBF9957EA1A}"/>
    <cellStyle name="Currency 8 2 2 3 4" xfId="2306" xr:uid="{CE2B0F89-81A5-4199-BC0D-95FEA25FA630}"/>
    <cellStyle name="Currency 8 2 2 3 5" xfId="1443" xr:uid="{95F17229-C031-4220-ADD8-35261B811A87}"/>
    <cellStyle name="Currency 8 2 2 3 6" xfId="3254" xr:uid="{36B8700F-FE43-4E9F-A6E2-6E49D8953E09}"/>
    <cellStyle name="Currency 8 2 2 4" xfId="991" xr:uid="{7084A956-FBB9-4865-8B72-6F1EEBA813C2}"/>
    <cellStyle name="Currency 8 2 2 4 2" xfId="2610" xr:uid="{4CD67F52-8939-4500-998A-F717CB4286CE}"/>
    <cellStyle name="Currency 8 2 2 4 3" xfId="2042" xr:uid="{82646E1A-EC01-459E-93A9-BD775A27500B}"/>
    <cellStyle name="Currency 8 2 2 4 4" xfId="3564" xr:uid="{3782DBE5-45A8-4964-B9D3-327F3FBF6D82}"/>
    <cellStyle name="Currency 8 2 2 5" xfId="1665" xr:uid="{FDCBCDB7-C14A-4341-9BBB-064B2DCACB5D}"/>
    <cellStyle name="Currency 8 2 2 5 2" xfId="2426" xr:uid="{244B4A2D-3F4F-4333-B1C0-486ED538DA10}"/>
    <cellStyle name="Currency 8 2 2 6" xfId="2242" xr:uid="{73FFE700-FEDC-4A70-8A7B-6B30CA737C1A}"/>
    <cellStyle name="Currency 8 2 2 7" xfId="1372" xr:uid="{E15B7766-E040-445A-9A28-78036D785057}"/>
    <cellStyle name="Currency 8 2 2 8" xfId="3183" xr:uid="{2B938A59-7DFF-4FA1-8952-AD89C0660057}"/>
    <cellStyle name="Currency 8 2 2 9" xfId="587" xr:uid="{F5351A34-FE74-4614-B48C-582D50DBA935}"/>
    <cellStyle name="Currency 8 2 3" xfId="606" xr:uid="{64389615-575D-4AEA-B054-15EF6C9F1B3F}"/>
    <cellStyle name="Currency 8 2 3 2" xfId="761" xr:uid="{C7FED1CF-E9DD-4C68-BBB7-4F46716305F9}"/>
    <cellStyle name="Currency 8 2 3 2 2" xfId="1141" xr:uid="{813EE4D2-8D3F-40AA-B739-12DA22376C73}"/>
    <cellStyle name="Currency 8 2 3 2 2 2" xfId="2753" xr:uid="{EC5EFE82-B116-421F-BF78-C4925CDCAB96}"/>
    <cellStyle name="Currency 8 2 3 2 2 3" xfId="2192" xr:uid="{9D08DFA6-4542-4F7C-AC1E-9C1B4EC250E3}"/>
    <cellStyle name="Currency 8 2 3 2 2 4" xfId="3714" xr:uid="{2A9E00E6-437F-4499-B32A-5CF04CC4FDED}"/>
    <cellStyle name="Currency 8 2 3 2 3" xfId="1811" xr:uid="{CCD682BC-208E-4A06-AA8A-D1D280F31380}"/>
    <cellStyle name="Currency 8 2 3 2 3 2" xfId="2569" xr:uid="{B5E5E12A-D15A-4EF1-A06D-6AF728E87891}"/>
    <cellStyle name="Currency 8 2 3 2 4" xfId="2385" xr:uid="{9498DBB8-5D7F-4D21-B21D-A7FC7D89CDD2}"/>
    <cellStyle name="Currency 8 2 3 2 5" xfId="1522" xr:uid="{94247C38-C572-416A-95F0-F82FB294F5E6}"/>
    <cellStyle name="Currency 8 2 3 2 6" xfId="3333" xr:uid="{25FCF1DD-6755-4B96-B4DF-658B92436D4F}"/>
    <cellStyle name="Currency 8 2 3 3" xfId="701" xr:uid="{C298A6F8-A53D-425F-8C69-CA8EB7C1586A}"/>
    <cellStyle name="Currency 8 2 3 3 2" xfId="1081" xr:uid="{85923DEC-96AD-4B80-97B1-99DDC4651E96}"/>
    <cellStyle name="Currency 8 2 3 3 2 2" xfId="2693" xr:uid="{B989828E-A920-4403-A1DE-E800D76621F0}"/>
    <cellStyle name="Currency 8 2 3 3 2 3" xfId="2132" xr:uid="{06A7047B-5E6A-404F-9A54-030D0041D282}"/>
    <cellStyle name="Currency 8 2 3 3 2 4" xfId="3654" xr:uid="{972D85EE-0838-43E8-8CCD-C9BFA3927988}"/>
    <cellStyle name="Currency 8 2 3 3 3" xfId="1751" xr:uid="{63195326-1014-4277-AB65-998DE42BD714}"/>
    <cellStyle name="Currency 8 2 3 3 3 2" xfId="2509" xr:uid="{C5F5946B-D3E9-412E-891B-6C652C9AE58B}"/>
    <cellStyle name="Currency 8 2 3 3 4" xfId="2325" xr:uid="{22B4AC17-1BA7-462A-91FD-A6755205FE46}"/>
    <cellStyle name="Currency 8 2 3 3 5" xfId="1462" xr:uid="{A1517075-476C-4B2C-B6F6-DEC49EC07D9A}"/>
    <cellStyle name="Currency 8 2 3 3 6" xfId="3273" xr:uid="{3182C055-F07D-4609-9422-3A7B439C876D}"/>
    <cellStyle name="Currency 8 2 3 4" xfId="1010" xr:uid="{36934DF7-5A40-4963-BB54-DDD61CC2823D}"/>
    <cellStyle name="Currency 8 2 3 4 2" xfId="2629" xr:uid="{54B9E992-553F-4792-83A8-813B8B3F1DD6}"/>
    <cellStyle name="Currency 8 2 3 4 3" xfId="2061" xr:uid="{CFACCBBA-89C9-4EDF-9204-B510ACA90FDF}"/>
    <cellStyle name="Currency 8 2 3 4 4" xfId="3583" xr:uid="{B4AC1DD3-BE8B-4951-9868-2694F1D04F8E}"/>
    <cellStyle name="Currency 8 2 3 5" xfId="1684" xr:uid="{E91ED3B3-5CD0-4DCC-A125-F03A531C4EB0}"/>
    <cellStyle name="Currency 8 2 3 5 2" xfId="2445" xr:uid="{94D3AE91-C25D-4324-A1C6-C4C7EBD8BA46}"/>
    <cellStyle name="Currency 8 2 3 6" xfId="2261" xr:uid="{2D628354-2AE7-490B-9BE0-09CC2ECEA48F}"/>
    <cellStyle name="Currency 8 2 3 7" xfId="1391" xr:uid="{5078891A-37A2-46AE-A131-97D6C4903D8E}"/>
    <cellStyle name="Currency 8 2 3 8" xfId="3202" xr:uid="{8F67396F-B53A-4173-8A56-2BE5E8DDF9DC}"/>
    <cellStyle name="Currency 8 2 4" xfId="718" xr:uid="{92878C66-3226-4748-B139-786B3A81E936}"/>
    <cellStyle name="Currency 8 2 4 2" xfId="1098" xr:uid="{4EB72591-7CED-40B2-948A-6522DCE39843}"/>
    <cellStyle name="Currency 8 2 4 2 2" xfId="2710" xr:uid="{437772A3-B137-4A2C-A417-ADF18CC2CD11}"/>
    <cellStyle name="Currency 8 2 4 2 3" xfId="2149" xr:uid="{06191D3B-8982-4A34-B77A-4BC3816DF038}"/>
    <cellStyle name="Currency 8 2 4 2 4" xfId="3671" xr:uid="{B3245A64-985A-4034-BA9D-9C4EC8848FBB}"/>
    <cellStyle name="Currency 8 2 4 3" xfId="1768" xr:uid="{2EFBAFA6-B916-4BDC-9198-6F83A7458908}"/>
    <cellStyle name="Currency 8 2 4 3 2" xfId="2526" xr:uid="{D4724694-5D24-481E-8163-8E248C938442}"/>
    <cellStyle name="Currency 8 2 4 4" xfId="2342" xr:uid="{02671E19-1730-4273-B758-5A7FAA7593E4}"/>
    <cellStyle name="Currency 8 2 4 5" xfId="1479" xr:uid="{CFBB6D54-8BC3-4D44-8F52-7ED501E7D8AB}"/>
    <cellStyle name="Currency 8 2 4 6" xfId="3290" xr:uid="{D63A1DA0-CB5C-4D88-88A9-3DD1A9A24149}"/>
    <cellStyle name="Currency 8 2 5" xfId="656" xr:uid="{AEAA66B3-7428-47A8-AB6C-96D400A53865}"/>
    <cellStyle name="Currency 8 2 5 2" xfId="1038" xr:uid="{74A3997C-FD34-4A11-8CCF-F54005D206A2}"/>
    <cellStyle name="Currency 8 2 5 2 2" xfId="2650" xr:uid="{02C68C4E-0E69-4A12-8985-6D41FDA55E10}"/>
    <cellStyle name="Currency 8 2 5 2 3" xfId="2089" xr:uid="{322335A3-F6B5-43E3-8D8C-6F14DCF82CF1}"/>
    <cellStyle name="Currency 8 2 5 2 4" xfId="3611" xr:uid="{74A75317-6FBD-408C-A50D-31FB3E93BD6D}"/>
    <cellStyle name="Currency 8 2 5 3" xfId="1708" xr:uid="{A788F637-F552-4B32-8178-E1FFAF87E4ED}"/>
    <cellStyle name="Currency 8 2 5 3 2" xfId="2466" xr:uid="{B22A5AF8-20E4-4F6A-B107-03CC7EF7C53C}"/>
    <cellStyle name="Currency 8 2 5 4" xfId="2282" xr:uid="{93D0F8DA-9AC7-42AD-A962-0FA680077E24}"/>
    <cellStyle name="Currency 8 2 5 5" xfId="1419" xr:uid="{3C406B06-7712-454B-AE88-3F66150B89D7}"/>
    <cellStyle name="Currency 8 2 5 6" xfId="3230" xr:uid="{7F0D8FF2-EC88-4C51-B9EA-B6EE04E53C82}"/>
    <cellStyle name="Currency 8 2 6" xfId="885" xr:uid="{335A0D01-D41A-433F-96C6-A2B110EE0873}"/>
    <cellStyle name="Currency 8 2 6 2" xfId="2586" xr:uid="{AEFD6251-29C1-4F9D-97F9-B6EA08C3D2CB}"/>
    <cellStyle name="Currency 8 2 6 3" xfId="1936" xr:uid="{03BAB03D-EECD-4822-9F9A-62DD91ADD6EC}"/>
    <cellStyle name="Currency 8 2 6 4" xfId="3458" xr:uid="{376BC6BD-83E3-4381-8D90-BF45482432CD}"/>
    <cellStyle name="Currency 8 2 7" xfId="1634" xr:uid="{5FE30DD6-561F-424B-9B28-262061FB2D50}"/>
    <cellStyle name="Currency 8 2 7 2" xfId="2402" xr:uid="{671DD37A-1983-4A97-B9A6-40838FE44564}"/>
    <cellStyle name="Currency 8 2 8" xfId="2218" xr:uid="{BA1D101A-5293-421C-988D-D1B3AE1C35FF}"/>
    <cellStyle name="Currency 8 2 9" xfId="1266" xr:uid="{7D138882-E575-4B3D-ADF4-99E6384933DC}"/>
    <cellStyle name="Currency 8 3" xfId="288" xr:uid="{CA56027B-0AF3-4ADD-8151-C25801755957}"/>
    <cellStyle name="Currency 8 3 2" xfId="734" xr:uid="{3BADE60C-499F-433C-8553-05BF739A2E56}"/>
    <cellStyle name="Currency 8 3 2 2" xfId="1114" xr:uid="{97DFFD4A-8365-458A-9D7F-D064A7E45B5F}"/>
    <cellStyle name="Currency 8 3 2 2 2" xfId="2726" xr:uid="{412BBAB3-15AB-4BA4-8C15-F8E0A2C78DF3}"/>
    <cellStyle name="Currency 8 3 2 2 3" xfId="2165" xr:uid="{16979CFC-89D8-4360-9580-4477D2599B6F}"/>
    <cellStyle name="Currency 8 3 2 2 4" xfId="3687" xr:uid="{5B74F7D1-EA39-4B3B-BF0C-3106319165DB}"/>
    <cellStyle name="Currency 8 3 2 3" xfId="1784" xr:uid="{D3498158-4E57-4510-A0C8-13491637EFD6}"/>
    <cellStyle name="Currency 8 3 2 3 2" xfId="2542" xr:uid="{3A586A54-3B57-4214-B4F5-AB3091D13B63}"/>
    <cellStyle name="Currency 8 3 2 4" xfId="2358" xr:uid="{90D2ACE9-6E82-4E70-AF5E-F64080AB6E00}"/>
    <cellStyle name="Currency 8 3 2 5" xfId="1495" xr:uid="{0581CD83-E586-4F21-BE47-622DCEF44971}"/>
    <cellStyle name="Currency 8 3 2 6" xfId="3306" xr:uid="{184F5D7F-050B-426E-9907-6E899ED6844C}"/>
    <cellStyle name="Currency 8 3 3" xfId="673" xr:uid="{E84200C0-6884-428D-BE00-437D32EBE341}"/>
    <cellStyle name="Currency 8 3 3 2" xfId="1054" xr:uid="{9889DC0C-2232-4055-B692-9C8C75EFF6F1}"/>
    <cellStyle name="Currency 8 3 3 2 2" xfId="2666" xr:uid="{88BD504B-4851-48B5-B7AE-F5CAB611E036}"/>
    <cellStyle name="Currency 8 3 3 2 3" xfId="2105" xr:uid="{F52FD4FF-2D80-4632-99C1-F91AD47C7F3C}"/>
    <cellStyle name="Currency 8 3 3 2 4" xfId="3627" xr:uid="{BC22E508-05E6-4E5F-A658-2A56B4702E06}"/>
    <cellStyle name="Currency 8 3 3 3" xfId="1724" xr:uid="{EA0B3552-F9A5-4B45-BC8C-EA941485F0C9}"/>
    <cellStyle name="Currency 8 3 3 3 2" xfId="2482" xr:uid="{F309B899-C190-4D40-9487-586475255BB0}"/>
    <cellStyle name="Currency 8 3 3 4" xfId="2298" xr:uid="{01C69B67-C152-4DF9-8762-FE97503A38A8}"/>
    <cellStyle name="Currency 8 3 3 5" xfId="1435" xr:uid="{DA917BB9-E36B-43B3-95E8-A8E3EFEC53AC}"/>
    <cellStyle name="Currency 8 3 3 6" xfId="3246" xr:uid="{2A9F15D3-D171-4084-B86B-B6A0F29D831C}"/>
    <cellStyle name="Currency 8 3 4" xfId="916" xr:uid="{E39D2357-7499-4E3B-B7FB-C3A1FE0B2551}"/>
    <cellStyle name="Currency 8 3 4 2" xfId="2602" xr:uid="{008FBCB3-8540-45BC-A007-B6AD67965E51}"/>
    <cellStyle name="Currency 8 3 4 3" xfId="1967" xr:uid="{47A87625-B251-46E2-9559-A7ECE10177F0}"/>
    <cellStyle name="Currency 8 3 4 4" xfId="3489" xr:uid="{EEAC3BEC-F8E7-41D2-9A0C-E19AC4FB97B6}"/>
    <cellStyle name="Currency 8 3 5" xfId="1652" xr:uid="{41FDD5A0-5301-478F-B39A-08AA832E8725}"/>
    <cellStyle name="Currency 8 3 5 2" xfId="2418" xr:uid="{BF028FD7-445E-4A73-B3C2-0541F5100E8B}"/>
    <cellStyle name="Currency 8 3 6" xfId="2234" xr:uid="{5652F73B-0326-4980-BF3E-6B68942C522D}"/>
    <cellStyle name="Currency 8 3 7" xfId="1297" xr:uid="{CED727E6-68EB-4FD0-AB90-BBCB9FEB9642}"/>
    <cellStyle name="Currency 8 3 8" xfId="3108" xr:uid="{7B018B65-F6BE-4A82-91CC-F388BE56BC8A}"/>
    <cellStyle name="Currency 8 3 9" xfId="565" xr:uid="{EF87F466-E2D4-4F20-B467-9F9F6814D73A}"/>
    <cellStyle name="Currency 8 4" xfId="598" xr:uid="{5B11E10A-F319-4D14-887D-E40E35A24BAD}"/>
    <cellStyle name="Currency 8 4 2" xfId="753" xr:uid="{9CF1E809-CA22-4B81-861A-1957643BA23A}"/>
    <cellStyle name="Currency 8 4 2 2" xfId="1133" xr:uid="{08567799-3FF0-4F7C-86D0-D552B642334A}"/>
    <cellStyle name="Currency 8 4 2 2 2" xfId="2745" xr:uid="{B6F28B29-2CB2-49DF-B5FF-5EED84E2BE3D}"/>
    <cellStyle name="Currency 8 4 2 2 3" xfId="2184" xr:uid="{7873C5CB-2E35-4735-97A5-D6ED67A09A6F}"/>
    <cellStyle name="Currency 8 4 2 2 4" xfId="3706" xr:uid="{5D062F30-CB08-4E16-B127-F02133690B3B}"/>
    <cellStyle name="Currency 8 4 2 3" xfId="1803" xr:uid="{A3BEB222-0B61-48B9-B071-BDAB738B33DD}"/>
    <cellStyle name="Currency 8 4 2 3 2" xfId="2561" xr:uid="{B2CAA73C-0751-438D-9F47-C78ECDA26ED4}"/>
    <cellStyle name="Currency 8 4 2 4" xfId="2377" xr:uid="{823F1602-DF67-411B-9D87-10681C9B25CC}"/>
    <cellStyle name="Currency 8 4 2 5" xfId="1514" xr:uid="{572AE924-948D-4898-9F43-D892CE505DE9}"/>
    <cellStyle name="Currency 8 4 2 6" xfId="3325" xr:uid="{5799D8C9-7ECD-41E6-8379-08E2CD333BB5}"/>
    <cellStyle name="Currency 8 4 3" xfId="693" xr:uid="{6B35AB48-9975-4CE8-AC44-7B5F27FE6E23}"/>
    <cellStyle name="Currency 8 4 3 2" xfId="1073" xr:uid="{914EADB8-1F84-4E5E-9E11-20A01CBDBEB5}"/>
    <cellStyle name="Currency 8 4 3 2 2" xfId="2685" xr:uid="{803ACD1E-ABF8-41EA-BC4E-98A7DC9758EC}"/>
    <cellStyle name="Currency 8 4 3 2 3" xfId="2124" xr:uid="{3F3BE98C-3B93-4D11-88E9-6075465804BA}"/>
    <cellStyle name="Currency 8 4 3 2 4" xfId="3646" xr:uid="{BC6EA922-BE08-4816-90BB-6DC471AF6EBB}"/>
    <cellStyle name="Currency 8 4 3 3" xfId="1743" xr:uid="{AF8790FA-11DC-4F0D-97F4-E957DB2B4E3F}"/>
    <cellStyle name="Currency 8 4 3 3 2" xfId="2501" xr:uid="{0482D131-3C72-47BA-87C4-0182C5C3C421}"/>
    <cellStyle name="Currency 8 4 3 4" xfId="2317" xr:uid="{484DC8A2-B847-49F5-92BD-5768D7378F16}"/>
    <cellStyle name="Currency 8 4 3 5" xfId="1454" xr:uid="{09B1D0B2-56C7-4761-BBE9-9130FA69FAFF}"/>
    <cellStyle name="Currency 8 4 3 6" xfId="3265" xr:uid="{59E46D18-BC02-4247-AD19-5FEDC586E26D}"/>
    <cellStyle name="Currency 8 4 4" xfId="1002" xr:uid="{7BD4EF96-CD4D-4B61-BE91-DB11660241C4}"/>
    <cellStyle name="Currency 8 4 4 2" xfId="2621" xr:uid="{0985F628-ED2B-474F-AD2E-B4445409AE55}"/>
    <cellStyle name="Currency 8 4 4 3" xfId="2053" xr:uid="{6A72CB6A-80E2-4F22-A284-C333D2870F16}"/>
    <cellStyle name="Currency 8 4 4 4" xfId="3575" xr:uid="{8E3602D0-5280-4633-AA38-DD26C005AABA}"/>
    <cellStyle name="Currency 8 4 5" xfId="1676" xr:uid="{0252A6F3-2739-4B13-984A-89ACC142430D}"/>
    <cellStyle name="Currency 8 4 5 2" xfId="2437" xr:uid="{401E3FC9-7391-4804-8B20-80E3AEF3E9D3}"/>
    <cellStyle name="Currency 8 4 6" xfId="2253" xr:uid="{1E123C43-40DA-4A06-8A55-DA76BFD73277}"/>
    <cellStyle name="Currency 8 4 7" xfId="1383" xr:uid="{3D2E9267-F5E1-4053-8F9D-08887DDB2A33}"/>
    <cellStyle name="Currency 8 4 8" xfId="3194" xr:uid="{2F311239-FA63-4251-A9FF-6DDD32465B77}"/>
    <cellStyle name="Currency 8 5" xfId="710" xr:uid="{29F555FE-AFD5-45A2-B116-9D8CACDE5BD1}"/>
    <cellStyle name="Currency 8 5 2" xfId="1090" xr:uid="{4B22E57D-A996-4DA6-8B5F-C0599FD9ADD9}"/>
    <cellStyle name="Currency 8 5 2 2" xfId="2702" xr:uid="{41E2F60A-1558-48B6-8966-2F5737FCAAC1}"/>
    <cellStyle name="Currency 8 5 2 3" xfId="2141" xr:uid="{C55F44A2-FB15-4E36-9E2C-67F302656D91}"/>
    <cellStyle name="Currency 8 5 2 4" xfId="3663" xr:uid="{51BB0940-4DAF-4F49-AC6A-E68A6B994592}"/>
    <cellStyle name="Currency 8 5 3" xfId="1760" xr:uid="{1559DDC7-05EB-4E89-8DEF-DEE5B29C22F3}"/>
    <cellStyle name="Currency 8 5 3 2" xfId="2518" xr:uid="{864BBAC8-4B7D-4FFA-8861-FC9ABD0F1910}"/>
    <cellStyle name="Currency 8 5 4" xfId="2334" xr:uid="{84BE1F11-E662-47AA-8383-BA6E44C88B2D}"/>
    <cellStyle name="Currency 8 5 5" xfId="1471" xr:uid="{9641609C-007F-4296-981C-B754A38D0521}"/>
    <cellStyle name="Currency 8 5 6" xfId="3282" xr:uid="{55B40269-557C-47EA-9A3C-B588B7586770}"/>
    <cellStyle name="Currency 8 6" xfId="647" xr:uid="{43FDC7ED-610D-4B07-AF4A-65EA8D84A826}"/>
    <cellStyle name="Currency 8 6 2" xfId="1030" xr:uid="{C09FA7D9-DD7E-4526-B47A-0D48420E2EC0}"/>
    <cellStyle name="Currency 8 6 2 2" xfId="2642" xr:uid="{BFCB082C-7000-42A9-8028-37706ED778F2}"/>
    <cellStyle name="Currency 8 6 2 3" xfId="2081" xr:uid="{D24B8BF1-2DEB-49FA-9585-50A8C9D119DD}"/>
    <cellStyle name="Currency 8 6 2 4" xfId="3603" xr:uid="{1D23FDC7-5B1D-4C8D-B123-AA0D3270ABD5}"/>
    <cellStyle name="Currency 8 6 3" xfId="1700" xr:uid="{04673C3B-5F20-43A1-9C4B-E3EA372B3007}"/>
    <cellStyle name="Currency 8 6 3 2" xfId="2458" xr:uid="{7546A4F2-245A-4357-83EF-D4124E5A03E7}"/>
    <cellStyle name="Currency 8 6 4" xfId="2274" xr:uid="{4AF35495-61D0-4608-A716-289EBA868596}"/>
    <cellStyle name="Currency 8 6 5" xfId="1411" xr:uid="{F06DB13C-8F42-4B49-92B1-120204392700}"/>
    <cellStyle name="Currency 8 6 6" xfId="3222" xr:uid="{B50B8BBF-1E42-4832-A7C7-FBB83AD9FF39}"/>
    <cellStyle name="Currency 8 7" xfId="797" xr:uid="{BB9C9989-A38C-4D3B-A33A-10677B56B26C}"/>
    <cellStyle name="Currency 8 7 2" xfId="2578" xr:uid="{7F755E3F-3C2C-42A7-9B68-75547FF9DFA5}"/>
    <cellStyle name="Currency 8 7 3" xfId="1848" xr:uid="{E38A0A15-D70A-4AB5-973E-A89BF12CA510}"/>
    <cellStyle name="Currency 8 7 4" xfId="3370" xr:uid="{3008D889-3B99-415F-AD0D-ECFBE4E94E53}"/>
    <cellStyle name="Currency 8 8" xfId="1550" xr:uid="{8EF5F412-B60F-40CF-B2AF-6E0E912192C6}"/>
    <cellStyle name="Currency 8 8 2" xfId="2394" xr:uid="{52C1E08F-718A-4CC2-BDB6-E31FC7AC0AE3}"/>
    <cellStyle name="Currency 8 9" xfId="2210" xr:uid="{A9E8D666-01FB-4D6F-9398-A4B1FABE2B4F}"/>
    <cellStyle name="Currency 9" xfId="247" xr:uid="{F3F14AAC-3843-4054-BF3D-AC0C2CB06B00}"/>
    <cellStyle name="Currency 9 2" xfId="868" xr:uid="{53E317C3-2F84-4762-96DD-8D5F21FB1856}"/>
    <cellStyle name="Currency 9 2 2" xfId="1919" xr:uid="{07E68A0B-E1F4-454D-8551-10FF352F34F4}"/>
    <cellStyle name="Currency 9 2 3" xfId="3441" xr:uid="{A5DF17D1-6417-41C9-BBFE-0F270A35BFA0}"/>
    <cellStyle name="Currency 9 3" xfId="1249" xr:uid="{E0C3EEAE-4984-4648-82AF-3D6192C27848}"/>
    <cellStyle name="Currency 9 4" xfId="3060" xr:uid="{A47C844C-64A0-4672-8516-050B939316D1}"/>
    <cellStyle name="Explanatory Text" xfId="36" builtinId="53" customBuiltin="1"/>
    <cellStyle name="Good" xfId="26" builtinId="26" customBuiltin="1"/>
    <cellStyle name="Heading 1" xfId="22" builtinId="16" customBuiltin="1"/>
    <cellStyle name="Heading 2" xfId="23" builtinId="17" customBuiltin="1"/>
    <cellStyle name="Heading 3" xfId="24" builtinId="18" customBuiltin="1"/>
    <cellStyle name="Heading 4" xfId="25" builtinId="19" customBuiltin="1"/>
    <cellStyle name="Hyperlink" xfId="2" builtinId="8"/>
    <cellStyle name="Hyperlink 2" xfId="17" xr:uid="{00000000-0005-0000-0000-000024000000}"/>
    <cellStyle name="Hyperlink 2 2" xfId="648" xr:uid="{1137504B-327B-4F48-9330-D093C3FA7E89}"/>
    <cellStyle name="Hyperlink 2 3" xfId="620" xr:uid="{91A0EDEB-5A07-4E47-9ADB-64D05C0BBB73}"/>
    <cellStyle name="Hyperlink 3" xfId="622" xr:uid="{B6EAA1EC-B7A3-4F58-A16A-19A4F739207D}"/>
    <cellStyle name="Hyperlink 3 2" xfId="1692" xr:uid="{C1DAB44C-B729-47AB-BF5F-32F5FD8B3CDF}"/>
    <cellStyle name="Hyperlink 4" xfId="617" xr:uid="{F99E1915-A019-4765-81FE-62A39425F283}"/>
    <cellStyle name="Input" xfId="29" builtinId="20" customBuiltin="1"/>
    <cellStyle name="Linked Cell" xfId="32" builtinId="24" customBuiltin="1"/>
    <cellStyle name="Neutral" xfId="28" builtinId="28" customBuiltin="1"/>
    <cellStyle name="Neutral 2" xfId="266" xr:uid="{F03443DF-8188-4580-AFC5-82B1D7BD3D50}"/>
    <cellStyle name="Neutral 3" xfId="159" xr:uid="{9745C7DE-9908-405C-9C01-1A4EBE1577D6}"/>
    <cellStyle name="Neutral 4" xfId="637" xr:uid="{C9E582CE-CC15-47E3-A924-F12CD48D1C9F}"/>
    <cellStyle name="Neutral 5" xfId="426" xr:uid="{7EC668FA-AF62-4278-8DD3-C98E4481FC0C}"/>
    <cellStyle name="Neutral 6" xfId="2201" xr:uid="{1028AC44-B272-479E-91B8-92D60F128033}"/>
    <cellStyle name="Normal" xfId="0" builtinId="0"/>
    <cellStyle name="Normal 10" xfId="298" xr:uid="{BC1AD571-BA61-4CB0-9A8F-E9C11D576F51}"/>
    <cellStyle name="Normal 10 2" xfId="543" xr:uid="{D749284C-B8AB-4B6A-BF90-4ED8D865E6F3}"/>
    <cellStyle name="Normal 11" xfId="405" xr:uid="{122116AF-CF46-4EDD-A478-CBFDD5FAA582}"/>
    <cellStyle name="Normal 11 2" xfId="1524" xr:uid="{26B5F480-A97F-479A-94D3-020F45A01570}"/>
    <cellStyle name="Normal 11 3" xfId="2966" xr:uid="{992CEDD1-1B6B-4DFC-8BDA-561BD1647394}"/>
    <cellStyle name="Normal 12" xfId="763" xr:uid="{D3587A71-428C-4175-B4F0-E52A3D71DFC8}"/>
    <cellStyle name="Normal 12 2" xfId="1813" xr:uid="{509F20E0-B64D-44C7-BA98-9D45D77B95A6}"/>
    <cellStyle name="Normal 12 3" xfId="3335" xr:uid="{E8FDB474-B1E2-4642-9ADA-38BEE8CA9BC8}"/>
    <cellStyle name="Normal 13" xfId="2756" xr:uid="{D97CCBFF-777D-488B-AA86-FE09B764F552}"/>
    <cellStyle name="Normal 14" xfId="2759" xr:uid="{FCBB0162-602A-4463-AD33-2366CEDAE918}"/>
    <cellStyle name="Normal 15" xfId="1143" xr:uid="{38DB9FDF-488B-4543-B1A9-2BF286C98264}"/>
    <cellStyle name="Normal 16" xfId="304" xr:uid="{D4950F18-3372-488A-8FCA-2EFD4F6633D2}"/>
    <cellStyle name="Normal 17" xfId="3722" xr:uid="{61C6E553-8F5E-4B63-BF25-0BEC1BC2FBE4}"/>
    <cellStyle name="Normal 18" xfId="3727" xr:uid="{B59065B5-240E-42B0-86C7-93B0414D0C11}"/>
    <cellStyle name="Normal 19" xfId="307" xr:uid="{7B23DA38-34B7-48ED-829A-967ABA83ABF1}"/>
    <cellStyle name="Normal 2" xfId="16" xr:uid="{00000000-0005-0000-0000-000029000000}"/>
    <cellStyle name="Normal 2 2" xfId="63" xr:uid="{00000000-0005-0000-0000-00002A000000}"/>
    <cellStyle name="Normal 2 2 2" xfId="244" xr:uid="{67F628AA-6E17-4160-8763-81AA57614648}"/>
    <cellStyle name="Normal 2 2 2 2" xfId="674" xr:uid="{29577187-87EB-41EB-8A3D-D9285B6BBC83}"/>
    <cellStyle name="Normal 2 2 2 3" xfId="571" xr:uid="{39E8EF3D-2CE2-496B-A332-8C700C0DD428}"/>
    <cellStyle name="Normal 2 2 3" xfId="3720" xr:uid="{BF9AEFEC-14E9-4110-8F21-37CB01155FC3}"/>
    <cellStyle name="Normal 2 2 4" xfId="511" xr:uid="{E9D5EF66-C03C-4280-83E5-94DBA12B5554}"/>
    <cellStyle name="Normal 2 3" xfId="134" xr:uid="{15F76DE0-9278-499A-B8FD-E4A92A8F08C1}"/>
    <cellStyle name="Normal 2 3 2" xfId="260" xr:uid="{6798BE1F-2376-4FCE-8104-A679C60C5FEE}"/>
    <cellStyle name="Normal 2 3 2 2" xfId="577" xr:uid="{C6D74E0C-356B-4CD3-BDC9-4925FC217B17}"/>
    <cellStyle name="Normal 2 3 3" xfId="523" xr:uid="{AFDE893B-516C-484B-B087-13F170716180}"/>
    <cellStyle name="Normal 2 4" xfId="152" xr:uid="{2F76BD73-FC98-4AE5-9299-7F804807C1D9}"/>
    <cellStyle name="Normal 2 4 2" xfId="553" xr:uid="{223F45EE-1ACD-44C4-A1BA-9FF22733AB7C}"/>
    <cellStyle name="Normal 2 5" xfId="135" xr:uid="{9062CAD1-C36E-4BEB-B925-9D34EDB44A51}"/>
    <cellStyle name="Normal 2 5 2" xfId="665" xr:uid="{894E452B-2CF9-48AA-B26D-01F28B83E640}"/>
    <cellStyle name="Normal 2 5 3" xfId="544" xr:uid="{A303F705-287F-4C7E-93B6-EF271CDBDFA4}"/>
    <cellStyle name="Normal 2 6" xfId="632" xr:uid="{166E789C-5C07-42EC-A395-72C764BB4B5E}"/>
    <cellStyle name="Normal 2 7" xfId="616" xr:uid="{B9C75F36-9733-4D15-B74C-F3EB9B3C374B}"/>
    <cellStyle name="Normal 2 7 2" xfId="1690" xr:uid="{F7034BE9-0986-4CF6-AD11-71A799C20EAE}"/>
    <cellStyle name="Normal 2 8" xfId="419" xr:uid="{FAB8DF21-2D2F-49C0-B39C-42420C4D1930}"/>
    <cellStyle name="Normal 3" xfId="155" xr:uid="{4C9D7B6E-202B-4485-950D-31F2A31D652B}"/>
    <cellStyle name="Normal 3 2" xfId="262" xr:uid="{38C0F2E8-5D51-4EEA-A8D0-FF9E5A23D20C}"/>
    <cellStyle name="Normal 3 2 2" xfId="578" xr:uid="{8F07805C-5F09-4509-8C49-831029BEED1C}"/>
    <cellStyle name="Normal 3 2 3" xfId="525" xr:uid="{26C56961-4D5E-4FC5-98B9-AC82B986F568}"/>
    <cellStyle name="Normal 3 3" xfId="554" xr:uid="{97E23C86-3F75-4AA9-ACE2-F929967A42CC}"/>
    <cellStyle name="Normal 3 4" xfId="633" xr:uid="{2978C148-1973-43B5-81B6-ED89394FF707}"/>
    <cellStyle name="Normal 3 5" xfId="619" xr:uid="{5E822D0E-CA00-4A29-AB43-1EA617B3E3F1}"/>
    <cellStyle name="Normal 3 5 2" xfId="1018" xr:uid="{6FE2B6A9-3AEE-4726-B278-6DC130D3B787}"/>
    <cellStyle name="Normal 3 5 2 2" xfId="2069" xr:uid="{8C1E2E14-F18D-4990-9464-2D7B8D17412E}"/>
    <cellStyle name="Normal 3 5 2 3" xfId="3591" xr:uid="{2A6FA7D2-0253-48F6-B8DB-AF38CDE91D02}"/>
    <cellStyle name="Normal 3 5 3" xfId="1399" xr:uid="{A425AED6-8E88-4153-A91F-D309B9361CF4}"/>
    <cellStyle name="Normal 3 5 4" xfId="3210" xr:uid="{DA71FF8B-3AA4-4979-8770-45D1F013C4B4}"/>
    <cellStyle name="Normal 3 6" xfId="3726" xr:uid="{8DEDC5E0-C445-4834-A7A9-E18FC98758BE}"/>
    <cellStyle name="Normal 3 7" xfId="422" xr:uid="{65D77D83-7D02-4E05-B750-3A43B3CA4C36}"/>
    <cellStyle name="Normal 4" xfId="169" xr:uid="{B81C250E-9993-488E-83F4-FA09485F5A84}"/>
    <cellStyle name="Normal 4 2" xfId="275" xr:uid="{CADBC56F-8B48-4797-ADF0-5C6BF133CEF5}"/>
    <cellStyle name="Normal 4 2 2" xfId="583" xr:uid="{ADAB2350-02DA-4C6E-93C2-8DE70309CB67}"/>
    <cellStyle name="Normal 4 2 3" xfId="530" xr:uid="{C921C9F3-0C63-481C-A40F-39A2B0D9BBC9}"/>
    <cellStyle name="Normal 4 3" xfId="560" xr:uid="{AA4C3048-8A5A-4ED3-9CCB-1D7311E12C1F}"/>
    <cellStyle name="Normal 4 4" xfId="645" xr:uid="{35F9FD72-F77D-4069-988D-3619AB65D58C}"/>
    <cellStyle name="Normal 4 5" xfId="621" xr:uid="{33676F4A-0BBA-4AEA-9E23-82066614C76B}"/>
    <cellStyle name="Normal 4 6" xfId="436" xr:uid="{9F2D2E52-0785-4069-B8F1-F60E0724E4C6}"/>
    <cellStyle name="Normal 5" xfId="170" xr:uid="{11F292EB-57A6-45F9-A68E-898A63DD631A}"/>
    <cellStyle name="Normal 5 2" xfId="276" xr:uid="{71A3BB02-C841-4CAA-8F0C-513665B1DF55}"/>
    <cellStyle name="Normal 5 2 2" xfId="584" xr:uid="{2BC83B71-DEBC-46C5-97B1-1251981E5406}"/>
    <cellStyle name="Normal 5 2 3" xfId="531" xr:uid="{FFCCC7B9-0AA8-4B17-9D8E-72FB8D590CB6}"/>
    <cellStyle name="Normal 5 3" xfId="561" xr:uid="{CFE529D9-AEFB-496D-B9FF-07D6F5A6D755}"/>
    <cellStyle name="Normal 5 4" xfId="437" xr:uid="{A35B301D-7E6B-4AFC-ADEB-BA7A78458196}"/>
    <cellStyle name="Normal 6" xfId="171" xr:uid="{AD8B22D5-3D68-4FFC-BEC7-4DE5A7631367}"/>
    <cellStyle name="Normal 6 2" xfId="277" xr:uid="{7FCD773F-9CBA-40B8-86C6-7F484FE435B9}"/>
    <cellStyle name="Normal 6 2 2" xfId="585" xr:uid="{DB9E1CEC-51C0-4FF7-9462-528B77F15556}"/>
    <cellStyle name="Normal 6 2 3" xfId="532" xr:uid="{9945713C-48E9-422B-9EDE-61F175687004}"/>
    <cellStyle name="Normal 6 3" xfId="562" xr:uid="{D1439720-4B64-4E23-8387-C91F22DCC9DE}"/>
    <cellStyle name="Normal 6 4" xfId="438" xr:uid="{185354F7-0CEC-40C6-A40B-EE8BF8C74E15}"/>
    <cellStyle name="Normal 7" xfId="136" xr:uid="{11DB732B-38C9-4BD3-B833-A911CEF198BE}"/>
    <cellStyle name="Normal 7 2" xfId="545" xr:uid="{F744287C-E613-45B3-B641-118560A56071}"/>
    <cellStyle name="Normal 7 3" xfId="308" xr:uid="{4A51C8CE-51CC-4D22-84E7-30FA051ED0B4}"/>
    <cellStyle name="Normal 8" xfId="246" xr:uid="{0EFEAE07-7E73-46AD-9287-84ACAC454FBC}"/>
    <cellStyle name="Normal 8 2" xfId="867" xr:uid="{AD6545C3-803A-4A2B-8D78-618A8492D678}"/>
    <cellStyle name="Normal 8 2 2" xfId="1918" xr:uid="{5BC0FC02-7198-4580-8D4E-6669528E5CB3}"/>
    <cellStyle name="Normal 8 2 3" xfId="3440" xr:uid="{7DFC5C98-6826-4E21-8B88-266DFF118085}"/>
    <cellStyle name="Normal 8 3" xfId="1248" xr:uid="{64FBC146-84E2-4D94-A340-00E8813F0F97}"/>
    <cellStyle name="Normal 8 4" xfId="3059" xr:uid="{B7EAFB5F-6C26-48C2-9B90-097BE159F76D}"/>
    <cellStyle name="Normal 9" xfId="137" xr:uid="{6DCA64AF-CDF5-4F03-BB99-8C2B160E17C1}"/>
    <cellStyle name="Normal 9 2" xfId="887" xr:uid="{961C2461-A577-47B4-9AA4-0BF6B53EE59D}"/>
    <cellStyle name="Normal 9 2 2" xfId="1938" xr:uid="{B7EAEDF6-87A8-4DB9-8FB2-A47C9A278F6F}"/>
    <cellStyle name="Normal 9 2 3" xfId="3460" xr:uid="{8D5E237E-C26A-440E-880E-6419D9E3568D}"/>
    <cellStyle name="Normal 9 3" xfId="1268" xr:uid="{324F0694-9B5D-423D-8501-A76D2E72CCEB}"/>
    <cellStyle name="Normal 9 4" xfId="3079" xr:uid="{4EF7F55D-3559-45F5-A30F-D3E998747C0D}"/>
    <cellStyle name="Note" xfId="35" builtinId="10" customBuiltin="1"/>
    <cellStyle name="Note 2" xfId="267" xr:uid="{61E25F8E-0969-4E8D-AEE8-5E1A6A539E25}"/>
    <cellStyle name="Note 2 2" xfId="882" xr:uid="{CB2142F2-109A-4958-8A92-16BA75796893}"/>
    <cellStyle name="Note 2 2 2" xfId="1933" xr:uid="{A19910D6-6ADD-4885-9D92-A5DAD2C02454}"/>
    <cellStyle name="Note 2 2 3" xfId="3455" xr:uid="{ACB7461D-9E12-40E1-9692-EC4515F718B6}"/>
    <cellStyle name="Note 2 3" xfId="1263" xr:uid="{DCFDCBC2-4BCE-4FAE-BE99-D700F622387C}"/>
    <cellStyle name="Note 2 4" xfId="3074" xr:uid="{FBA6649F-2311-4C50-8773-A0DB0CD81C1B}"/>
    <cellStyle name="Note 3" xfId="160" xr:uid="{E639FF64-3244-406F-9D85-E8838A709DDC}"/>
    <cellStyle name="Note 3 2" xfId="911" xr:uid="{600898F4-3CB1-4937-A37C-33FB74313E87}"/>
    <cellStyle name="Note 3 2 2" xfId="1962" xr:uid="{DF898F2D-0E18-403B-BD20-07B25FBF7851}"/>
    <cellStyle name="Note 3 2 3" xfId="3484" xr:uid="{2600A325-CDEC-4C48-A32A-D515DD011153}"/>
    <cellStyle name="Note 3 3" xfId="1292" xr:uid="{0F3598D8-39B8-45D9-AA25-7426EB14DAB8}"/>
    <cellStyle name="Note 3 4" xfId="3103" xr:uid="{316C7484-53EB-4B8C-94C2-B1D1DC4F05A8}"/>
    <cellStyle name="Note 4" xfId="427" xr:uid="{5BEEB3A0-9F5C-4E0B-8337-009C8E8C3652}"/>
    <cellStyle name="Note 4 2" xfId="1545" xr:uid="{3E7C98F6-8F92-444C-8F11-D7059D3E8188}"/>
    <cellStyle name="Note 4 3" xfId="2983" xr:uid="{91ED945A-5432-4E16-9D6B-BE69F59FCC59}"/>
    <cellStyle name="Note 5" xfId="779" xr:uid="{1620C571-E996-4285-AD17-4DF8D6908596}"/>
    <cellStyle name="Note 5 2" xfId="1830" xr:uid="{2896DB30-BD61-4378-BA59-97D4CE838901}"/>
    <cellStyle name="Note 5 3" xfId="3352" xr:uid="{D1EF6819-C139-43F5-8FAB-3F43EE3552F6}"/>
    <cellStyle name="Note 6" xfId="1160" xr:uid="{23385899-C524-4E96-B5D0-9B4BA92B3A4C}"/>
    <cellStyle name="Output" xfId="30" builtinId="21" customBuiltin="1"/>
    <cellStyle name="Percent" xfId="3" builtinId="5"/>
    <cellStyle name="Percent 2" xfId="250" xr:uid="{56D4188E-9CBF-4357-81CA-E5EAFEAFF519}"/>
    <cellStyle name="Percent 2 2" xfId="871" xr:uid="{45C6EC09-B787-4F63-9E4C-F605AB02A5A4}"/>
    <cellStyle name="Percent 2 2 2" xfId="1922" xr:uid="{9BCF9F1B-BA3C-425B-85D9-00E019B10B45}"/>
    <cellStyle name="Percent 2 2 3" xfId="3444" xr:uid="{4819FCF2-52A1-42D7-9ACA-2DAEC494C5A6}"/>
    <cellStyle name="Percent 2 3" xfId="1252" xr:uid="{308F5120-363F-49E9-A24A-7C09E117D812}"/>
    <cellStyle name="Percent 2 4" xfId="3063" xr:uid="{8A69B839-C643-4BD2-AE17-99611FAF71A3}"/>
    <cellStyle name="Percent 3" xfId="141" xr:uid="{025E204A-7586-4892-B9A1-31FB6A94145E}"/>
    <cellStyle name="Percent 3 2" xfId="898" xr:uid="{931FB604-2867-4118-ABC8-D2D41929D03D}"/>
    <cellStyle name="Percent 3 2 2" xfId="1949" xr:uid="{3EE46279-F342-44A1-A29A-A4411EC84AB6}"/>
    <cellStyle name="Percent 3 2 3" xfId="3471" xr:uid="{C374FE64-1461-41B9-8E96-3A94DD08CC48}"/>
    <cellStyle name="Percent 3 3" xfId="1279" xr:uid="{13B6BA3E-258F-442B-A183-414523FCE84A}"/>
    <cellStyle name="Percent 3 4" xfId="3090" xr:uid="{77F76BFB-C7BB-465E-894C-82DDD292D6E2}"/>
    <cellStyle name="Percent 4" xfId="409" xr:uid="{DACC8B6A-309C-4944-A315-4383B2351040}"/>
    <cellStyle name="Percent 4 2" xfId="1532" xr:uid="{4EC7B0FD-497D-4F38-B0CB-F8BF8A376AAC}"/>
    <cellStyle name="Percent 4 3" xfId="1528" xr:uid="{E2B24F1E-3724-4B78-9BD4-3B14524C5415}"/>
    <cellStyle name="Percent 4 4" xfId="2970" xr:uid="{D74A5F4F-C52A-499C-8D8E-B6D47F4F8797}"/>
    <cellStyle name="Percent 5" xfId="767" xr:uid="{C36CDF43-A978-40BB-AC2C-9021893DA8A7}"/>
    <cellStyle name="Percent 5 2" xfId="1817" xr:uid="{502FB508-60DD-4DC6-89B2-9F322D28B45B}"/>
    <cellStyle name="Percent 5 3" xfId="3339" xr:uid="{0BAF7AEF-74B8-4588-8CCD-0DA6314214ED}"/>
    <cellStyle name="Percent 6" xfId="2757" xr:uid="{E97C3C69-9BCF-41C5-867B-4B58AE7A05A4}"/>
    <cellStyle name="Percent 7" xfId="2760" xr:uid="{8742F087-9AF8-495F-B119-1D61F1A29CDB}"/>
    <cellStyle name="Percent 8" xfId="1147" xr:uid="{E0FB7110-7EEA-4F1D-A418-A045CBEE0599}"/>
    <cellStyle name="Percent 9" xfId="3716" xr:uid="{A4310253-BD8F-4A37-9314-28786CB5ABCB}"/>
    <cellStyle name="Title" xfId="21" builtinId="15" customBuiltin="1"/>
    <cellStyle name="Total" xfId="37" builtinId="25" customBuiltin="1"/>
    <cellStyle name="Warning Text" xfId="34" builtinId="11" customBuiltin="1"/>
    <cellStyle name="Гиперссылка 2" xfId="10" xr:uid="{00000000-0005-0000-0000-000031000000}"/>
    <cellStyle name="Гиперссылка 3" xfId="13" xr:uid="{00000000-0005-0000-0000-000032000000}"/>
    <cellStyle name="Денежный 2" xfId="12" xr:uid="{00000000-0005-0000-0000-000033000000}"/>
    <cellStyle name="Денежный 2 10" xfId="609" xr:uid="{BE15972B-5334-43CE-A036-74EBBFBB501A}"/>
    <cellStyle name="Денежный 2 10 2" xfId="1013" xr:uid="{BAA6C013-793A-4825-9FCB-1BF65C71FF92}"/>
    <cellStyle name="Денежный 2 10 2 2" xfId="2631" xr:uid="{3227971E-707F-45BB-AFDB-214EB0C1E699}"/>
    <cellStyle name="Денежный 2 10 2 3" xfId="2064" xr:uid="{138A2EEE-DBEB-473B-852D-C04F8283CE2F}"/>
    <cellStyle name="Денежный 2 10 2 4" xfId="3586" xr:uid="{C19ED541-483B-4769-A326-47F8CA562003}"/>
    <cellStyle name="Денежный 2 10 3" xfId="1686" xr:uid="{EFBB60AD-AD9B-4138-B5AE-A5A67381CDDE}"/>
    <cellStyle name="Денежный 2 10 3 2" xfId="2447" xr:uid="{AD696E7D-06DF-4699-A315-56DFC902D812}"/>
    <cellStyle name="Денежный 2 10 4" xfId="2263" xr:uid="{35E36F89-A52D-4697-B659-7EB4D26A666F}"/>
    <cellStyle name="Денежный 2 10 5" xfId="1394" xr:uid="{AE862E64-E959-41E8-B272-300B2FB22813}"/>
    <cellStyle name="Денежный 2 10 6" xfId="3205" xr:uid="{D9872BFA-6F46-4D5F-BBE0-E4542D5C2AA1}"/>
    <cellStyle name="Денежный 2 11" xfId="407" xr:uid="{1A4963CC-4D37-43DD-B785-95CBB34F43AC}"/>
    <cellStyle name="Денежный 2 11 2" xfId="1530" xr:uid="{DF3F265B-12E9-4CF5-8689-57A14FD22355}"/>
    <cellStyle name="Денежный 2 11 3" xfId="2968" xr:uid="{4DE0D53E-F79F-4295-A803-9FF05A158229}"/>
    <cellStyle name="Денежный 2 12" xfId="765" xr:uid="{809768AA-93AE-4D36-A4C8-ACCB46AB7BC8}"/>
    <cellStyle name="Денежный 2 12 2" xfId="1815" xr:uid="{41A950F2-562A-4FA7-A74C-58EB0DBEA083}"/>
    <cellStyle name="Денежный 2 12 3" xfId="3337" xr:uid="{5BA3144C-A68F-4F2D-8CBB-4EF89FA12885}"/>
    <cellStyle name="Денежный 2 13" xfId="310" xr:uid="{67390AB9-EFFC-4E44-853D-3870B9A848EC}"/>
    <cellStyle name="Денежный 2 13 2" xfId="2871" xr:uid="{57ABDFFB-0658-4B5B-AED7-D957B6B46769}"/>
    <cellStyle name="Денежный 2 14" xfId="1145" xr:uid="{8CDE63E2-6C9D-42BA-B60F-2EBF34F5BEBB}"/>
    <cellStyle name="Денежный 2 15" xfId="2763" xr:uid="{D71A21C4-2AD3-424C-ADDF-951B3C83DB13}"/>
    <cellStyle name="Денежный 2 2" xfId="64" xr:uid="{36CB8596-7953-41F0-BB1E-364C2F51BCC0}"/>
    <cellStyle name="Денежный 2 2 10" xfId="769" xr:uid="{596EA1C2-A708-45E3-8CC5-75EA79354D47}"/>
    <cellStyle name="Денежный 2 2 10 2" xfId="1820" xr:uid="{F1C013C0-0574-4E3F-9294-7B79677CC91D}"/>
    <cellStyle name="Денежный 2 2 10 3" xfId="3342" xr:uid="{F60912FE-512B-411E-A693-44CE80855839}"/>
    <cellStyle name="Денежный 2 2 11" xfId="318" xr:uid="{B2DB92D6-5F59-41BA-916E-E1E150A445ED}"/>
    <cellStyle name="Денежный 2 2 11 2" xfId="2879" xr:uid="{0A8C4616-0840-4AE1-B8DA-A139CE70AE56}"/>
    <cellStyle name="Денежный 2 2 12" xfId="1150" xr:uid="{175D6CF8-CFF5-4358-870B-36BB3680EED0}"/>
    <cellStyle name="Денежный 2 2 13" xfId="2771" xr:uid="{909EC704-B592-48BD-A8AD-018A5F998838}"/>
    <cellStyle name="Денежный 2 2 2" xfId="79" xr:uid="{A8135D2F-4CA2-4103-9B51-8A9E3DA4E73C}"/>
    <cellStyle name="Денежный 2 2 2 2" xfId="191" xr:uid="{06260FFD-AA01-4AE9-B20E-FCEE7A5C16B4}"/>
    <cellStyle name="Денежный 2 2 2 2 2" xfId="931" xr:uid="{BA506A6D-2D20-4D3A-B5A5-AC862B0EA6FE}"/>
    <cellStyle name="Денежный 2 2 2 2 2 2" xfId="1982" xr:uid="{C51367C0-194C-4C43-8DBA-D7CACA26BED1}"/>
    <cellStyle name="Денежный 2 2 2 2 2 3" xfId="3504" xr:uid="{24AF8C4C-DFDB-4F97-A280-5B925FBEB942}"/>
    <cellStyle name="Денежный 2 2 2 2 3" xfId="1312" xr:uid="{7A5919CE-A185-4216-91D4-4DD3E4114DCF}"/>
    <cellStyle name="Денежный 2 2 2 2 4" xfId="3123" xr:uid="{AAF3296D-8181-467C-8909-EDEC75FC92F5}"/>
    <cellStyle name="Денежный 2 2 2 3" xfId="458" xr:uid="{065FFC28-D108-4BBF-A1FC-F0B05B75EF87}"/>
    <cellStyle name="Денежный 2 2 2 3 2" xfId="1566" xr:uid="{7603EC62-7F15-4F17-9B48-1DF736DCD7D4}"/>
    <cellStyle name="Денежный 2 2 2 3 3" xfId="3005" xr:uid="{05D49457-E707-4019-A140-246EB0F3F1E9}"/>
    <cellStyle name="Денежный 2 2 2 4" xfId="813" xr:uid="{67540DC3-B6A6-4850-B93C-5A810810C146}"/>
    <cellStyle name="Денежный 2 2 2 4 2" xfId="1864" xr:uid="{944DC920-10C0-4855-8951-D25F486A0D24}"/>
    <cellStyle name="Денежный 2 2 2 4 3" xfId="3386" xr:uid="{94344FA8-4FE2-4F18-A958-444B25A4CC8D}"/>
    <cellStyle name="Денежный 2 2 2 5" xfId="350" xr:uid="{D688EAF3-6531-4532-8408-425AF183DE3B}"/>
    <cellStyle name="Денежный 2 2 2 5 2" xfId="2911" xr:uid="{A278CA06-ABD7-4A24-9B01-165D5F5A1989}"/>
    <cellStyle name="Денежный 2 2 2 6" xfId="1194" xr:uid="{BBD13491-CB70-47FA-BA1A-5BFC40B7116B}"/>
    <cellStyle name="Денежный 2 2 2 7" xfId="2803" xr:uid="{A0831C59-CE59-4805-8988-9AC18047BE04}"/>
    <cellStyle name="Денежный 2 2 3" xfId="95" xr:uid="{F3FDC872-C0B7-4D26-9A42-2123724D3527}"/>
    <cellStyle name="Денежный 2 2 3 2" xfId="206" xr:uid="{42DD7BC1-F365-4D54-AF57-EDB3AACEC889}"/>
    <cellStyle name="Денежный 2 2 3 2 2" xfId="946" xr:uid="{91A51808-E7DB-4576-B27B-D82A2853C086}"/>
    <cellStyle name="Денежный 2 2 3 2 2 2" xfId="1997" xr:uid="{32262C70-B8AD-4338-9C14-73AF130AE585}"/>
    <cellStyle name="Денежный 2 2 3 2 2 3" xfId="3519" xr:uid="{BDBA425F-46E0-48EE-974C-DBFEA9BB2362}"/>
    <cellStyle name="Денежный 2 2 3 2 3" xfId="1327" xr:uid="{CE142D1C-B355-41CB-BE28-FBCA84D7A88F}"/>
    <cellStyle name="Денежный 2 2 3 2 4" xfId="3138" xr:uid="{C771EFEC-33C8-4FC2-900F-5BE2A904A9E8}"/>
    <cellStyle name="Денежный 2 2 3 3" xfId="473" xr:uid="{B9F11255-6DCA-4433-9FC0-3E4BE0F17BC0}"/>
    <cellStyle name="Денежный 2 2 3 3 2" xfId="1581" xr:uid="{2E1854EF-8968-43FC-99D1-0C5E91D3DA24}"/>
    <cellStyle name="Денежный 2 2 3 3 3" xfId="3020" xr:uid="{1A15296F-333D-4F48-953E-E9AC75AB0B58}"/>
    <cellStyle name="Денежный 2 2 3 4" xfId="828" xr:uid="{5A376DD6-3B50-4A26-8A66-CA3BF87181D9}"/>
    <cellStyle name="Денежный 2 2 3 4 2" xfId="1879" xr:uid="{558C1F43-0EE8-4830-96A0-F121A1272CD3}"/>
    <cellStyle name="Денежный 2 2 3 4 3" xfId="3401" xr:uid="{EBF0F04B-FA7E-44A0-8527-638F8A15F91A}"/>
    <cellStyle name="Денежный 2 2 3 5" xfId="366" xr:uid="{EA5E464A-67AF-4665-882F-6D2C9EA4290F}"/>
    <cellStyle name="Денежный 2 2 3 5 2" xfId="2927" xr:uid="{5F837845-8216-4275-A649-E783F196EF32}"/>
    <cellStyle name="Денежный 2 2 3 6" xfId="1209" xr:uid="{F5D79F57-9DCB-4F08-A178-5AE043432542}"/>
    <cellStyle name="Денежный 2 2 3 7" xfId="2819" xr:uid="{7B3EE516-861D-420A-96D0-6115EB494665}"/>
    <cellStyle name="Денежный 2 2 4" xfId="111" xr:uid="{EE55AA59-0C14-4E46-BCAA-2CF48AC897F5}"/>
    <cellStyle name="Денежный 2 2 4 2" xfId="221" xr:uid="{662CF421-4968-4E94-B785-AEAF0A3EAE4D}"/>
    <cellStyle name="Денежный 2 2 4 2 2" xfId="961" xr:uid="{8E0A3405-80E6-4A15-887D-36800044ADAE}"/>
    <cellStyle name="Денежный 2 2 4 2 2 2" xfId="2012" xr:uid="{76DF32D2-D3C5-4C0C-B610-012DC31B6BC8}"/>
    <cellStyle name="Денежный 2 2 4 2 2 3" xfId="3534" xr:uid="{EA265C59-608F-4373-B500-00EE58DF121D}"/>
    <cellStyle name="Денежный 2 2 4 2 3" xfId="1342" xr:uid="{C6FC1129-729E-4D01-853E-74F11C5DFD85}"/>
    <cellStyle name="Денежный 2 2 4 2 4" xfId="3153" xr:uid="{B97E6B2A-94D4-4C21-818D-02C159222AFA}"/>
    <cellStyle name="Денежный 2 2 4 3" xfId="488" xr:uid="{90F85E6A-C32B-42FE-B9BB-4D5337B016A9}"/>
    <cellStyle name="Денежный 2 2 4 3 2" xfId="1596" xr:uid="{C543DEBD-7064-4158-A88E-2D043E8C2181}"/>
    <cellStyle name="Денежный 2 2 4 3 3" xfId="3035" xr:uid="{A5AB0784-43AD-4D3B-A0E4-C53204A8C860}"/>
    <cellStyle name="Денежный 2 2 4 4" xfId="843" xr:uid="{2FFA35BF-D4C2-4245-B470-7100EBE5DD4C}"/>
    <cellStyle name="Денежный 2 2 4 4 2" xfId="1894" xr:uid="{F0534BEF-EA89-46DE-9AEC-55C9AEF61A2F}"/>
    <cellStyle name="Денежный 2 2 4 4 3" xfId="3416" xr:uid="{6224A09D-E9CB-4226-A0B8-FE1EE1DB2112}"/>
    <cellStyle name="Денежный 2 2 4 5" xfId="382" xr:uid="{C9D8C76C-4070-4C4A-A0D9-3A552CDF7321}"/>
    <cellStyle name="Денежный 2 2 4 5 2" xfId="2943" xr:uid="{C09C62EC-A6E7-447D-9126-399FFF67A729}"/>
    <cellStyle name="Денежный 2 2 4 6" xfId="1224" xr:uid="{9E418EDD-EFB6-4C64-BB0B-219743E363A2}"/>
    <cellStyle name="Денежный 2 2 4 7" xfId="2835" xr:uid="{5A5FD203-02F2-48A6-93C9-D8295170A425}"/>
    <cellStyle name="Денежный 2 2 5" xfId="127" xr:uid="{E3869518-6060-428F-A7FA-9BD940C6EB47}"/>
    <cellStyle name="Денежный 2 2 5 2" xfId="237" xr:uid="{53CFD131-6F2D-4D63-934E-F527F8AF8790}"/>
    <cellStyle name="Денежный 2 2 5 2 2" xfId="977" xr:uid="{F99821BD-50ED-4F42-842C-4087A01D7C8B}"/>
    <cellStyle name="Денежный 2 2 5 2 2 2" xfId="2028" xr:uid="{91EE8552-AD36-447A-A506-0D544F9F7556}"/>
    <cellStyle name="Денежный 2 2 5 2 2 3" xfId="3550" xr:uid="{E430491D-1599-44F9-A386-72D3560652AA}"/>
    <cellStyle name="Денежный 2 2 5 2 3" xfId="1358" xr:uid="{D8822B85-A912-45E4-AAA7-8B0E9C798B4D}"/>
    <cellStyle name="Денежный 2 2 5 2 4" xfId="3169" xr:uid="{3C5767EF-CA90-450A-9AC2-EDFAB0029713}"/>
    <cellStyle name="Денежный 2 2 5 3" xfId="504" xr:uid="{D4D59F46-9CDA-4C8E-A04D-E33D2CE5A2F9}"/>
    <cellStyle name="Денежный 2 2 5 3 2" xfId="1612" xr:uid="{C7696B14-3E88-476D-AB5B-BB4795315AE3}"/>
    <cellStyle name="Денежный 2 2 5 3 3" xfId="3051" xr:uid="{AFC84648-4A98-4B92-B0C6-30DF5A6F55B9}"/>
    <cellStyle name="Денежный 2 2 5 4" xfId="859" xr:uid="{43ED670B-CCED-4FD9-BA5C-1568731B94BF}"/>
    <cellStyle name="Денежный 2 2 5 4 2" xfId="1910" xr:uid="{16C55FF9-D1B2-40D7-B886-155BF25C5D45}"/>
    <cellStyle name="Денежный 2 2 5 4 3" xfId="3432" xr:uid="{C398F4B2-E36B-4EA3-9C93-3AC55E50F9F9}"/>
    <cellStyle name="Денежный 2 2 5 5" xfId="398" xr:uid="{1E8EEE42-7F56-4A04-8FD7-1A620796E3B2}"/>
    <cellStyle name="Денежный 2 2 5 5 2" xfId="2959" xr:uid="{E115ED55-5D37-4065-B6E3-FE203553EDF8}"/>
    <cellStyle name="Денежный 2 2 5 6" xfId="1240" xr:uid="{A38198BD-031E-450A-B9B1-318AA91052BE}"/>
    <cellStyle name="Денежный 2 2 5 7" xfId="2851" xr:uid="{3B01B70E-624C-4DAE-9868-6594C7F99D8C}"/>
    <cellStyle name="Денежный 2 2 6" xfId="145" xr:uid="{01860C79-8355-4BFD-916F-2DC0B5C256E6}"/>
    <cellStyle name="Денежный 2 2 6 2" xfId="548" xr:uid="{133D1512-ECCF-4478-9A53-3D52BA333DC8}"/>
    <cellStyle name="Денежный 2 2 6 2 2" xfId="1643" xr:uid="{D1B1C5EB-D64A-4AB8-AB2D-08560BB97E80}"/>
    <cellStyle name="Денежный 2 2 6 2 3" xfId="3093" xr:uid="{C3653A76-BBB5-46EE-BFEE-0E2D1DD1D39D}"/>
    <cellStyle name="Денежный 2 2 6 3" xfId="901" xr:uid="{CD856622-7382-417B-91DA-F469D678136B}"/>
    <cellStyle name="Денежный 2 2 6 3 2" xfId="1952" xr:uid="{92F11D8D-2CCA-497E-9187-18E79B0A29DD}"/>
    <cellStyle name="Денежный 2 2 6 3 3" xfId="3474" xr:uid="{591A82BE-F85D-481D-9518-BAD78D75199F}"/>
    <cellStyle name="Денежный 2 2 6 4" xfId="334" xr:uid="{87F450A3-0FE7-4743-A24C-EB25ECB4CA5A}"/>
    <cellStyle name="Денежный 2 2 6 4 2" xfId="2895" xr:uid="{52D39D43-6FC3-43DB-BE96-4F53DC68F9E8}"/>
    <cellStyle name="Денежный 2 2 6 5" xfId="1282" xr:uid="{18D4315E-2550-4D15-97C5-7906EFB3F890}"/>
    <cellStyle name="Денежный 2 2 6 6" xfId="2787" xr:uid="{27EEF899-A9A4-460F-8DF4-8843437BD0CE}"/>
    <cellStyle name="Денежный 2 2 7" xfId="626" xr:uid="{F195AF69-AD3D-44BB-87CC-BCDBB5D4710E}"/>
    <cellStyle name="Денежный 2 2 7 2" xfId="1021" xr:uid="{8275ED22-08E8-46D8-8AAD-83C750D65566}"/>
    <cellStyle name="Денежный 2 2 7 2 2" xfId="2072" xr:uid="{A54FBA47-85B2-47BA-A43D-6BFC02341E4A}"/>
    <cellStyle name="Денежный 2 2 7 2 3" xfId="3594" xr:uid="{59802887-E88B-4DB3-94A6-500EBAE42D81}"/>
    <cellStyle name="Денежный 2 2 7 3" xfId="1402" xr:uid="{3729CDD0-0065-4A20-AE96-C09D11CA4DD6}"/>
    <cellStyle name="Денежный 2 2 7 4" xfId="3213" xr:uid="{AD69A8E3-3F72-44A7-B375-90C511D4803A}"/>
    <cellStyle name="Денежный 2 2 8" xfId="614" xr:uid="{FA3F866C-8639-48BD-BF6A-B1B92528BA64}"/>
    <cellStyle name="Денежный 2 2 8 2" xfId="1016" xr:uid="{277E00A7-8117-4DCD-A6B6-F06C5842CD73}"/>
    <cellStyle name="Денежный 2 2 8 2 2" xfId="2633" xr:uid="{FD9462B4-3892-4F7E-9DD2-CB59569E447B}"/>
    <cellStyle name="Денежный 2 2 8 2 3" xfId="2067" xr:uid="{114DCB75-35E2-411D-AB32-9005227357E1}"/>
    <cellStyle name="Денежный 2 2 8 2 4" xfId="3589" xr:uid="{3E1B4F6B-9619-46DF-AB20-616EB7A43EAD}"/>
    <cellStyle name="Денежный 2 2 8 3" xfId="1688" xr:uid="{580BD9C8-51FB-40EA-B78E-5A9568DABCAE}"/>
    <cellStyle name="Денежный 2 2 8 3 2" xfId="2449" xr:uid="{64D874CA-1E29-4661-A70C-BA28796497D8}"/>
    <cellStyle name="Денежный 2 2 8 4" xfId="2265" xr:uid="{1B901D5F-98B9-469F-8D7E-254D3CC58222}"/>
    <cellStyle name="Денежный 2 2 8 5" xfId="1397" xr:uid="{4769F2F0-4E94-4F73-9E9E-815781CE6D6E}"/>
    <cellStyle name="Денежный 2 2 8 6" xfId="3208" xr:uid="{DBDB97F6-B245-47CB-AB77-4A2CD324C0D2}"/>
    <cellStyle name="Денежный 2 2 9" xfId="412" xr:uid="{BD670FCE-A8C0-4C6F-A057-A7BC838B75D4}"/>
    <cellStyle name="Денежный 2 2 9 2" xfId="1535" xr:uid="{97F0D63C-A80F-46CB-8E9D-2FB01D9FABD9}"/>
    <cellStyle name="Денежный 2 2 9 3" xfId="2973" xr:uid="{39C0F618-387C-4DFB-86C7-ACD83B8366E2}"/>
    <cellStyle name="Денежный 2 3" xfId="71" xr:uid="{772CD3B5-3B63-4F64-A7E3-1547C7A93AF6}"/>
    <cellStyle name="Денежный 2 3 2" xfId="184" xr:uid="{A59D5109-80E7-4DFA-B98B-29D763717102}"/>
    <cellStyle name="Денежный 2 3 2 2" xfId="924" xr:uid="{4A430114-1599-4DE0-9D15-FA9A0EA78B54}"/>
    <cellStyle name="Денежный 2 3 2 2 2" xfId="1975" xr:uid="{0BE254BC-3D06-45CA-A29D-AAFA4A92DEBA}"/>
    <cellStyle name="Денежный 2 3 2 2 3" xfId="3497" xr:uid="{A98DD861-6248-47A0-B1A3-7E505D9EDF7B}"/>
    <cellStyle name="Денежный 2 3 2 3" xfId="1305" xr:uid="{3FD90408-54E5-4EC6-B281-8AA3A6E3CAA0}"/>
    <cellStyle name="Денежный 2 3 2 4" xfId="3116" xr:uid="{860902EC-C828-4FD4-80CC-D13A5E0020F0}"/>
    <cellStyle name="Денежный 2 3 3" xfId="451" xr:uid="{480F3C4C-DF82-4D1F-A7CC-A7DAC583649A}"/>
    <cellStyle name="Денежный 2 3 3 2" xfId="1559" xr:uid="{81650D72-676F-4491-BA94-50408926CF55}"/>
    <cellStyle name="Денежный 2 3 3 3" xfId="2998" xr:uid="{BA5E2B24-3330-4D05-A1FF-85808576985C}"/>
    <cellStyle name="Денежный 2 3 4" xfId="806" xr:uid="{96607F00-2BFE-48CB-AD3C-F17AA0122D1B}"/>
    <cellStyle name="Денежный 2 3 4 2" xfId="1857" xr:uid="{5C38CFE8-B37A-4071-8D91-200441B35179}"/>
    <cellStyle name="Денежный 2 3 4 3" xfId="3379" xr:uid="{8B15BDE7-64A3-418F-BA7A-35DE6FA00ADC}"/>
    <cellStyle name="Денежный 2 3 5" xfId="342" xr:uid="{46CB282E-241A-4DB2-9FC5-D75BC555A7B3}"/>
    <cellStyle name="Денежный 2 3 5 2" xfId="2903" xr:uid="{2A81E1EB-A8EB-4D21-A1E6-7564D8E851B2}"/>
    <cellStyle name="Денежный 2 3 6" xfId="1187" xr:uid="{292BDF6D-2C6B-4C4C-9334-77710458C7B2}"/>
    <cellStyle name="Денежный 2 3 7" xfId="2795" xr:uid="{77C9B8A0-E128-4B0D-946D-CCF4C78050D1}"/>
    <cellStyle name="Денежный 2 4" xfId="87" xr:uid="{B1A9B764-B018-478D-9FF0-A8037B0625AB}"/>
    <cellStyle name="Денежный 2 4 2" xfId="198" xr:uid="{641F0536-26DD-4D1A-AD72-00A4FA92E05D}"/>
    <cellStyle name="Денежный 2 4 2 2" xfId="938" xr:uid="{9854C1E2-3692-4D79-A0DF-EE2FC0BA2C5B}"/>
    <cellStyle name="Денежный 2 4 2 2 2" xfId="1989" xr:uid="{FCE590B6-4E4F-493B-B7B8-CFCB9307AB75}"/>
    <cellStyle name="Денежный 2 4 2 2 3" xfId="3511" xr:uid="{7F1F3428-50EC-4489-9A1E-DE63C3595D10}"/>
    <cellStyle name="Денежный 2 4 2 3" xfId="1319" xr:uid="{95BAA116-565B-44F2-BA7C-25A40E18E4B8}"/>
    <cellStyle name="Денежный 2 4 2 4" xfId="3130" xr:uid="{B471818D-F049-4A08-936D-46785CA28955}"/>
    <cellStyle name="Денежный 2 4 3" xfId="465" xr:uid="{CF0E5ACB-BE49-4D71-AAF4-812C1959F402}"/>
    <cellStyle name="Денежный 2 4 3 2" xfId="1573" xr:uid="{C80C3EB6-BF0C-478F-9421-D858062EC77F}"/>
    <cellStyle name="Денежный 2 4 3 3" xfId="3012" xr:uid="{C22E298D-1146-4609-8252-8C022B089F5F}"/>
    <cellStyle name="Денежный 2 4 4" xfId="820" xr:uid="{2C27FB83-E689-441E-A19C-010260D43BA7}"/>
    <cellStyle name="Денежный 2 4 4 2" xfId="1871" xr:uid="{AA8F5DFA-FE03-4F93-8F27-EE3A080C1632}"/>
    <cellStyle name="Денежный 2 4 4 3" xfId="3393" xr:uid="{B73D2351-7D33-49B8-AAFA-360373137516}"/>
    <cellStyle name="Денежный 2 4 5" xfId="358" xr:uid="{F366FEC8-DB31-4165-AE81-03E79E091758}"/>
    <cellStyle name="Денежный 2 4 5 2" xfId="2919" xr:uid="{925482B2-8293-4B4D-9A1F-B62FC7E1A796}"/>
    <cellStyle name="Денежный 2 4 6" xfId="1201" xr:uid="{DC1BFA4F-FAA8-4954-86AA-8330E1010676}"/>
    <cellStyle name="Денежный 2 4 7" xfId="2811" xr:uid="{A9D4692C-633A-42C1-BE5D-1E168B43D94F}"/>
    <cellStyle name="Денежный 2 5" xfId="103" xr:uid="{9775D4B9-1F9E-4895-BDCD-C7AC0BDB149B}"/>
    <cellStyle name="Денежный 2 5 2" xfId="214" xr:uid="{D43929D0-1CA0-4BC9-BD33-9175F347E01B}"/>
    <cellStyle name="Денежный 2 5 2 2" xfId="954" xr:uid="{B1EE20BD-9B26-49F6-99CC-7A47C1F47B3B}"/>
    <cellStyle name="Денежный 2 5 2 2 2" xfId="2005" xr:uid="{677A00EB-2371-4E0B-B0E1-056166844A02}"/>
    <cellStyle name="Денежный 2 5 2 2 3" xfId="3527" xr:uid="{E8AF7700-2202-4533-BA92-32FCBB26E3BA}"/>
    <cellStyle name="Денежный 2 5 2 3" xfId="1335" xr:uid="{098012AF-F225-4617-9F2F-6ED9CCB48B27}"/>
    <cellStyle name="Денежный 2 5 2 4" xfId="3146" xr:uid="{05A1E78F-674F-4311-B322-AD492FAD1386}"/>
    <cellStyle name="Денежный 2 5 3" xfId="481" xr:uid="{AB6B4F13-CD54-4447-A302-55C18D4AC1EF}"/>
    <cellStyle name="Денежный 2 5 3 2" xfId="1589" xr:uid="{71BA83F7-F331-490B-918C-AC44F6A66ED9}"/>
    <cellStyle name="Денежный 2 5 3 3" xfId="3028" xr:uid="{F6F3B6F6-1EDA-4038-83BF-EEAD86FE3C3C}"/>
    <cellStyle name="Денежный 2 5 4" xfId="836" xr:uid="{378A28D2-6A6C-438C-97D8-AF088CA3B347}"/>
    <cellStyle name="Денежный 2 5 4 2" xfId="1887" xr:uid="{024C68A9-19F1-4FC2-8C1C-B3E162BFA21D}"/>
    <cellStyle name="Денежный 2 5 4 3" xfId="3409" xr:uid="{0520C19D-208C-42B3-9786-FD9E282648FC}"/>
    <cellStyle name="Денежный 2 5 5" xfId="374" xr:uid="{B60352F5-1D5E-441E-BEF3-E8CAB30B4FDD}"/>
    <cellStyle name="Денежный 2 5 5 2" xfId="2935" xr:uid="{3AA68D96-1EBA-4234-B49A-7A8C38C1FF39}"/>
    <cellStyle name="Денежный 2 5 6" xfId="1217" xr:uid="{FA530012-DF80-4699-9D7C-F46317B98265}"/>
    <cellStyle name="Денежный 2 5 7" xfId="2827" xr:uid="{9F8765E8-B702-4AD4-BB59-8D6BD280F9A6}"/>
    <cellStyle name="Денежный 2 6" xfId="119" xr:uid="{64C30596-F6B4-4DA7-B7B1-BB6A43E1D808}"/>
    <cellStyle name="Денежный 2 6 2" xfId="229" xr:uid="{49FFEE66-FB94-4621-BB13-7CAB5AB535A2}"/>
    <cellStyle name="Денежный 2 6 2 2" xfId="969" xr:uid="{23509AC7-837F-4BA6-ADCE-4F42CE9CEB11}"/>
    <cellStyle name="Денежный 2 6 2 2 2" xfId="2020" xr:uid="{8D3D101E-9158-4386-8332-3666F2790727}"/>
    <cellStyle name="Денежный 2 6 2 2 3" xfId="3542" xr:uid="{933C2DD9-4859-4098-A0EF-C2887FFBF615}"/>
    <cellStyle name="Денежный 2 6 2 3" xfId="1350" xr:uid="{749042DA-B0FF-4978-98C8-CA9762C4D623}"/>
    <cellStyle name="Денежный 2 6 2 4" xfId="3161" xr:uid="{233A200B-1303-45D3-8650-B0D50FB03915}"/>
    <cellStyle name="Денежный 2 6 3" xfId="496" xr:uid="{238D706D-43F4-4D6B-962B-1BC1BB426C8D}"/>
    <cellStyle name="Денежный 2 6 3 2" xfId="1604" xr:uid="{77E87DA5-9630-4469-B07C-D9A3314046BA}"/>
    <cellStyle name="Денежный 2 6 3 3" xfId="3043" xr:uid="{A3D80290-F140-43D8-A639-5A56FD622A2B}"/>
    <cellStyle name="Денежный 2 6 4" xfId="851" xr:uid="{17CDE0FC-1AE6-4302-A4D4-6DED84C6BCEA}"/>
    <cellStyle name="Денежный 2 6 4 2" xfId="1902" xr:uid="{9EFAE7FD-93F8-446A-8B72-751F6F52E7DF}"/>
    <cellStyle name="Денежный 2 6 4 3" xfId="3424" xr:uid="{4A755C76-71CD-47B2-8E27-4AA06AE30757}"/>
    <cellStyle name="Денежный 2 6 5" xfId="390" xr:uid="{2EFEF550-F980-487E-BF93-CB0E78579BB3}"/>
    <cellStyle name="Денежный 2 6 5 2" xfId="2951" xr:uid="{9EB3B776-9696-4421-8A35-8F9785871424}"/>
    <cellStyle name="Денежный 2 6 6" xfId="1232" xr:uid="{ADEB82FB-765B-4C50-9280-C952BE78397B}"/>
    <cellStyle name="Денежный 2 6 7" xfId="2843" xr:uid="{9889B402-C455-4787-9CED-C169F08A3DD8}"/>
    <cellStyle name="Денежный 2 7" xfId="248" xr:uid="{CA263F7F-6D71-4881-8BCA-895E349B58CC}"/>
    <cellStyle name="Денежный 2 7 2" xfId="513" xr:uid="{2600E24F-CBAC-4338-94B7-5BE5DE693F16}"/>
    <cellStyle name="Денежный 2 7 2 2" xfId="1620" xr:uid="{0D6BC8C0-9A93-4106-AA4B-CD3158097548}"/>
    <cellStyle name="Денежный 2 7 2 3" xfId="3061" xr:uid="{4565C6C8-E998-4CFF-82B6-957E54706E06}"/>
    <cellStyle name="Денежный 2 7 3" xfId="869" xr:uid="{33EB3A14-A6F2-4730-B7CD-29EB48194FB9}"/>
    <cellStyle name="Денежный 2 7 3 2" xfId="1920" xr:uid="{4AF46705-771F-43D4-8CA1-855FF1206DF7}"/>
    <cellStyle name="Денежный 2 7 3 3" xfId="3442" xr:uid="{9C7FB2F2-6870-41D0-8AFA-3D58085E31D1}"/>
    <cellStyle name="Денежный 2 7 4" xfId="326" xr:uid="{6B69674C-5FF6-470E-ADD9-45C94B95751C}"/>
    <cellStyle name="Денежный 2 7 4 2" xfId="2887" xr:uid="{800FDB3C-38B3-4FD4-942C-DAD5F7C5858D}"/>
    <cellStyle name="Денежный 2 7 5" xfId="1250" xr:uid="{B311A791-FF98-4780-B6C1-255D512FB667}"/>
    <cellStyle name="Денежный 2 7 6" xfId="2779" xr:uid="{6A9D421A-388B-4ABC-AB6B-052972FBA654}"/>
    <cellStyle name="Денежный 2 8" xfId="139" xr:uid="{BCE5A9C9-7775-496A-8A2B-A6B131FF2F60}"/>
    <cellStyle name="Денежный 2 8 2" xfId="896" xr:uid="{EE81B038-864C-456C-A39E-CAEA74F46FC0}"/>
    <cellStyle name="Денежный 2 8 2 2" xfId="1947" xr:uid="{478F394F-C68D-4683-B77C-753BDA14F186}"/>
    <cellStyle name="Денежный 2 8 2 3" xfId="3469" xr:uid="{39CC3D40-E67D-46C1-82AC-0452BB3967C6}"/>
    <cellStyle name="Денежный 2 8 3" xfId="1277" xr:uid="{1FC747C7-8DB5-4976-8096-BD3D39E80A4D}"/>
    <cellStyle name="Денежный 2 8 4" xfId="3088" xr:uid="{5A6A9C68-4DD8-40AC-AB37-CA00DF6B8DE2}"/>
    <cellStyle name="Денежный 2 9" xfId="624" xr:uid="{EF7C67E8-B61C-4108-8AEB-9152141C9C36}"/>
    <cellStyle name="Денежный 2 9 2" xfId="1019" xr:uid="{281778C6-DD74-481E-A00C-AF9FDA1C191F}"/>
    <cellStyle name="Денежный 2 9 2 2" xfId="2070" xr:uid="{78E261D1-C9C1-4484-B54C-043FE711967A}"/>
    <cellStyle name="Денежный 2 9 2 3" xfId="3592" xr:uid="{1BAA026B-35A3-45F4-947F-9CC4304C85F0}"/>
    <cellStyle name="Денежный 2 9 3" xfId="1400" xr:uid="{22B37A6F-95C3-4382-BA38-6FB21F807688}"/>
    <cellStyle name="Денежный 2 9 4" xfId="3211" xr:uid="{507F4024-297F-44B0-946D-FDCA5FBBC856}"/>
    <cellStyle name="Денежный 3" xfId="6" xr:uid="{00000000-0005-0000-0000-000034000000}"/>
    <cellStyle name="Денежный 3 10" xfId="625" xr:uid="{F197BAC0-2165-4696-91FD-5099533B693B}"/>
    <cellStyle name="Денежный 3 10 2" xfId="1020" xr:uid="{0E32038A-3F20-48E5-AABA-634E4999BA37}"/>
    <cellStyle name="Денежный 3 10 2 2" xfId="2071" xr:uid="{9A4A3F93-793C-4BF0-B924-7CBA10E7C2E0}"/>
    <cellStyle name="Денежный 3 10 2 3" xfId="3593" xr:uid="{40100E24-7525-480A-9335-982F50234CD9}"/>
    <cellStyle name="Денежный 3 10 3" xfId="1401" xr:uid="{1EA481B6-FE48-4147-B042-D73E31BF909B}"/>
    <cellStyle name="Денежный 3 10 4" xfId="3212" xr:uid="{DF28E956-0066-428F-839A-938E32B39632}"/>
    <cellStyle name="Денежный 3 11" xfId="610" xr:uid="{9CA19A70-90D6-4A5F-811C-B7A26475A8C9}"/>
    <cellStyle name="Денежный 3 11 2" xfId="1014" xr:uid="{00B63299-6B05-4908-983B-00FE557454FF}"/>
    <cellStyle name="Денежный 3 11 2 2" xfId="2632" xr:uid="{7FA4F83D-4C72-4A06-B495-D7AB7E9C477D}"/>
    <cellStyle name="Денежный 3 11 2 3" xfId="2065" xr:uid="{715F4A59-0025-41E2-8A37-2A38E16E373A}"/>
    <cellStyle name="Денежный 3 11 2 4" xfId="3587" xr:uid="{1CE65D4D-6FDB-4DFD-8686-81A2D166651C}"/>
    <cellStyle name="Денежный 3 11 3" xfId="1687" xr:uid="{954655DC-9AAD-40E6-A0E6-BF62461D98B6}"/>
    <cellStyle name="Денежный 3 11 3 2" xfId="2448" xr:uid="{C5289156-B675-4EBE-AB21-62BA48388122}"/>
    <cellStyle name="Денежный 3 11 4" xfId="2264" xr:uid="{71723E47-1295-4C66-A5E7-5B4F8B7099CA}"/>
    <cellStyle name="Денежный 3 11 5" xfId="1395" xr:uid="{A72726E7-A19B-4D43-9CD6-0DBF81611146}"/>
    <cellStyle name="Денежный 3 11 6" xfId="3206" xr:uid="{CDCB20CD-8E24-4DC0-BF47-164F9B26491A}"/>
    <cellStyle name="Денежный 3 12" xfId="408" xr:uid="{6BE448E8-6FC3-4BD7-A3E4-4596A8CC38D1}"/>
    <cellStyle name="Денежный 3 12 2" xfId="1531" xr:uid="{D9BFC4DB-9D21-4E75-B663-C630908D531E}"/>
    <cellStyle name="Денежный 3 12 3" xfId="2969" xr:uid="{104D4F8B-EE92-40A8-ADF6-AD5A042D5E5E}"/>
    <cellStyle name="Денежный 3 13" xfId="766" xr:uid="{18485A80-3B20-4769-BFE4-7B6D3AC69CB6}"/>
    <cellStyle name="Денежный 3 13 2" xfId="1816" xr:uid="{53DCB8C8-910A-4445-8ED1-519898271EB5}"/>
    <cellStyle name="Денежный 3 13 3" xfId="3338" xr:uid="{9A4D7719-E4B2-4938-B0E2-18C3EE76F400}"/>
    <cellStyle name="Денежный 3 14" xfId="313" xr:uid="{84BB5E82-B1A9-47E2-A478-48AC21007976}"/>
    <cellStyle name="Денежный 3 14 2" xfId="2874" xr:uid="{85F2B1C9-1046-4BC0-B57B-07C460A5171E}"/>
    <cellStyle name="Денежный 3 15" xfId="1146" xr:uid="{BA0B79FC-DA6A-4F02-BA03-5EAFF38AA6CD}"/>
    <cellStyle name="Денежный 3 16" xfId="2766" xr:uid="{624F5A91-BE3C-4847-96CF-059C6CDCBFED}"/>
    <cellStyle name="Денежный 3 2" xfId="15" xr:uid="{00000000-0005-0000-0000-000035000000}"/>
    <cellStyle name="Денежный 3 2 10" xfId="615" xr:uid="{BD4AF432-F486-47F7-9958-93D873C7091C}"/>
    <cellStyle name="Денежный 3 2 10 2" xfId="1017" xr:uid="{813B1D33-F0CC-447A-89BC-C1C098A5DDFC}"/>
    <cellStyle name="Денежный 3 2 10 2 2" xfId="2634" xr:uid="{B463F046-7358-4848-A3E6-CAC38A730597}"/>
    <cellStyle name="Денежный 3 2 10 2 3" xfId="2068" xr:uid="{EE9DC32E-4A00-4A17-A2C2-5445764EFCBB}"/>
    <cellStyle name="Денежный 3 2 10 2 4" xfId="3590" xr:uid="{0381FF49-93A2-457D-B18C-F8CD1D6B0869}"/>
    <cellStyle name="Денежный 3 2 10 3" xfId="1689" xr:uid="{91F60A3D-9B6B-499F-A5FA-B9BE360C0D1F}"/>
    <cellStyle name="Денежный 3 2 10 3 2" xfId="2450" xr:uid="{331D4161-0ADD-4003-A686-7DAF8EC3E773}"/>
    <cellStyle name="Денежный 3 2 10 4" xfId="2266" xr:uid="{B35B119B-EC0B-4DEF-B342-38F12AB72689}"/>
    <cellStyle name="Денежный 3 2 10 5" xfId="1398" xr:uid="{F1EE761E-AF0B-4288-AD28-66CEFE9D0237}"/>
    <cellStyle name="Денежный 3 2 10 6" xfId="3209" xr:uid="{FCFEC6C3-4CCA-44EB-80D3-B3D1554026D1}"/>
    <cellStyle name="Денежный 3 2 11" xfId="415" xr:uid="{B7BB8AEA-2A18-466C-90ED-B86F955F2D56}"/>
    <cellStyle name="Денежный 3 2 11 2" xfId="1537" xr:uid="{31DCB867-8166-4629-ADAE-8D4A1139A2D1}"/>
    <cellStyle name="Денежный 3 2 11 3" xfId="2975" xr:uid="{0F57EC43-1066-4D2F-AB96-3D6D189742FE}"/>
    <cellStyle name="Денежный 3 2 12" xfId="771" xr:uid="{987CE460-9D55-4740-A20D-895ED265CE6F}"/>
    <cellStyle name="Денежный 3 2 12 2" xfId="1822" xr:uid="{65366E74-020D-41AF-A26B-75727229A3F1}"/>
    <cellStyle name="Денежный 3 2 12 3" xfId="3344" xr:uid="{B2BF6AA5-E4E1-4C9C-AB87-417F55FE230E}"/>
    <cellStyle name="Денежный 3 2 13" xfId="316" xr:uid="{204DC01F-6E25-4D68-9491-187EAE4E30C1}"/>
    <cellStyle name="Денежный 3 2 13 2" xfId="2877" xr:uid="{021C6B58-E642-4551-BC49-189357AC7A9A}"/>
    <cellStyle name="Денежный 3 2 14" xfId="1152" xr:uid="{D126BBF7-3F6A-41DA-AEBF-8159AEE077F3}"/>
    <cellStyle name="Денежный 3 2 15" xfId="2769" xr:uid="{E23EEB17-40A1-4FC1-9621-A95851A2634F}"/>
    <cellStyle name="Денежный 3 2 2" xfId="69" xr:uid="{D4891B2A-2DB6-4C1B-823D-C7E0580DDCD2}"/>
    <cellStyle name="Денежный 3 2 2 10" xfId="1185" xr:uid="{DD8BB9D5-8C64-4C7D-81D9-DD74FC6325D2}"/>
    <cellStyle name="Денежный 3 2 2 11" xfId="2777" xr:uid="{AA2C415D-36DF-4B65-A4FB-CBD8FDB8492C}"/>
    <cellStyle name="Денежный 3 2 2 2" xfId="85" xr:uid="{65AD6562-C52C-49AF-BA14-55C3E50793E6}"/>
    <cellStyle name="Денежный 3 2 2 2 2" xfId="196" xr:uid="{720DF5BE-7DBF-4CEC-8BC6-195157B19933}"/>
    <cellStyle name="Денежный 3 2 2 2 2 2" xfId="936" xr:uid="{2A684564-0A3B-4349-B187-38D304DF0925}"/>
    <cellStyle name="Денежный 3 2 2 2 2 2 2" xfId="1987" xr:uid="{E3FA7AE5-6C0D-4455-9932-BAF5276440E1}"/>
    <cellStyle name="Денежный 3 2 2 2 2 2 3" xfId="3509" xr:uid="{E46534BF-B434-4BA1-8184-FC5EC9CC7C71}"/>
    <cellStyle name="Денежный 3 2 2 2 2 3" xfId="1317" xr:uid="{CCE2A49C-062B-4E4D-B638-A24BC2320A52}"/>
    <cellStyle name="Денежный 3 2 2 2 2 4" xfId="3128" xr:uid="{1EC688F3-4F31-48B6-AC94-A265718EEC18}"/>
    <cellStyle name="Денежный 3 2 2 2 3" xfId="463" xr:uid="{BC70C373-D4A1-4FCF-BBB9-159119D0E95D}"/>
    <cellStyle name="Денежный 3 2 2 2 3 2" xfId="1571" xr:uid="{58A1C9DC-AF46-4574-8F32-635ED47B0931}"/>
    <cellStyle name="Денежный 3 2 2 2 3 3" xfId="3010" xr:uid="{1911E6B6-D510-4D21-A3E8-1AB1867CA4DF}"/>
    <cellStyle name="Денежный 3 2 2 2 4" xfId="818" xr:uid="{6EC48169-65B6-42C8-A0DB-AFD6DDCDF9A4}"/>
    <cellStyle name="Денежный 3 2 2 2 4 2" xfId="1869" xr:uid="{6C7FB5E4-2018-45C2-8048-F875B599DDDA}"/>
    <cellStyle name="Денежный 3 2 2 2 4 3" xfId="3391" xr:uid="{173AB433-9D21-4058-8BB7-4621B76CDCAC}"/>
    <cellStyle name="Денежный 3 2 2 2 5" xfId="356" xr:uid="{398CB450-CA2E-41C0-B5D0-5E8CAAAF9F0B}"/>
    <cellStyle name="Денежный 3 2 2 2 5 2" xfId="2917" xr:uid="{B74D9288-10A9-476D-9FB1-C315CB69AE2F}"/>
    <cellStyle name="Денежный 3 2 2 2 6" xfId="1199" xr:uid="{C5F5714D-339F-4503-832E-FF5B41F9C8E7}"/>
    <cellStyle name="Денежный 3 2 2 2 7" xfId="2809" xr:uid="{C09A0882-02C7-4762-BD03-722D6902BE96}"/>
    <cellStyle name="Денежный 3 2 2 3" xfId="101" xr:uid="{ECB58A83-2ECB-4BF0-B997-D8AB57FF84DE}"/>
    <cellStyle name="Денежный 3 2 2 3 2" xfId="212" xr:uid="{5C5548D6-E269-42F5-BD6C-64F56A046DA4}"/>
    <cellStyle name="Денежный 3 2 2 3 2 2" xfId="952" xr:uid="{A1DC52BF-3CFD-4A3B-8032-C89A3AF194F3}"/>
    <cellStyle name="Денежный 3 2 2 3 2 2 2" xfId="2003" xr:uid="{E5D2EFCB-E7D5-4BA0-AEF8-3126F178CB4C}"/>
    <cellStyle name="Денежный 3 2 2 3 2 2 3" xfId="3525" xr:uid="{C3D9BD51-D6F2-4B00-9E48-220D703CC095}"/>
    <cellStyle name="Денежный 3 2 2 3 2 3" xfId="1333" xr:uid="{D1EDC1C0-A5AA-4CD2-8928-161F1308D8D2}"/>
    <cellStyle name="Денежный 3 2 2 3 2 4" xfId="3144" xr:uid="{4B92790F-66F1-46FF-9099-C6215DB98C51}"/>
    <cellStyle name="Денежный 3 2 2 3 3" xfId="479" xr:uid="{5955A740-4E4C-468A-9A7C-A60788D9CEDB}"/>
    <cellStyle name="Денежный 3 2 2 3 3 2" xfId="1587" xr:uid="{DF595F53-69BD-4CAB-938D-485ED20E18EC}"/>
    <cellStyle name="Денежный 3 2 2 3 3 3" xfId="3026" xr:uid="{44243F2E-5093-4E48-94DE-1D03AA6CA8EB}"/>
    <cellStyle name="Денежный 3 2 2 3 4" xfId="834" xr:uid="{7F962F8F-D172-4D61-890A-A9411C59C8FD}"/>
    <cellStyle name="Денежный 3 2 2 3 4 2" xfId="1885" xr:uid="{21B61BAD-F67A-4B16-A7D8-B9355B1F900C}"/>
    <cellStyle name="Денежный 3 2 2 3 4 3" xfId="3407" xr:uid="{C23CCCDF-53EC-4057-B73E-C016BC86EBD1}"/>
    <cellStyle name="Денежный 3 2 2 3 5" xfId="372" xr:uid="{6C35E5A2-3246-45B2-8653-926F35E61F41}"/>
    <cellStyle name="Денежный 3 2 2 3 5 2" xfId="2933" xr:uid="{B228AA3C-C973-45B4-9415-7BAFD6752901}"/>
    <cellStyle name="Денежный 3 2 2 3 6" xfId="1215" xr:uid="{A80AB067-C1A4-4CBB-867A-103B9111E979}"/>
    <cellStyle name="Денежный 3 2 2 3 7" xfId="2825" xr:uid="{68C0C1F7-AD9E-434D-A975-BCDEA970FC45}"/>
    <cellStyle name="Денежный 3 2 2 4" xfId="117" xr:uid="{5044FB20-F66F-455D-8964-6F8A5DEDB02D}"/>
    <cellStyle name="Денежный 3 2 2 4 2" xfId="227" xr:uid="{28E46D0D-D7F3-4165-AC0B-6BDDCFC8109D}"/>
    <cellStyle name="Денежный 3 2 2 4 2 2" xfId="967" xr:uid="{43DE9A12-EF81-4720-99E9-657300984778}"/>
    <cellStyle name="Денежный 3 2 2 4 2 2 2" xfId="2018" xr:uid="{F222554F-AFA9-4F5A-9FAA-DC8A12B34C10}"/>
    <cellStyle name="Денежный 3 2 2 4 2 2 3" xfId="3540" xr:uid="{C9309D79-83B2-4DD2-8B9C-6DE43BE93782}"/>
    <cellStyle name="Денежный 3 2 2 4 2 3" xfId="1348" xr:uid="{151FD12E-4EA1-47E9-854C-E5C1F8F26DD8}"/>
    <cellStyle name="Денежный 3 2 2 4 2 4" xfId="3159" xr:uid="{6A4E8559-4918-4300-A3E5-093B5A802A6B}"/>
    <cellStyle name="Денежный 3 2 2 4 3" xfId="494" xr:uid="{704437FE-4D51-4BCF-BA85-D88FE06B2015}"/>
    <cellStyle name="Денежный 3 2 2 4 3 2" xfId="1602" xr:uid="{9B91F0D8-68CD-44E5-B608-324EF81838DF}"/>
    <cellStyle name="Денежный 3 2 2 4 3 3" xfId="3041" xr:uid="{ACE8C742-0D73-4998-8591-497ED5A7458E}"/>
    <cellStyle name="Денежный 3 2 2 4 4" xfId="849" xr:uid="{50F7687C-C807-4A93-AB9B-FE91C9BB192D}"/>
    <cellStyle name="Денежный 3 2 2 4 4 2" xfId="1900" xr:uid="{46008017-A9E5-4F5D-8C9D-BF6DF302A4C0}"/>
    <cellStyle name="Денежный 3 2 2 4 4 3" xfId="3422" xr:uid="{6A8EA4D3-0D9B-4AC6-A751-A5E065B820DF}"/>
    <cellStyle name="Денежный 3 2 2 4 5" xfId="388" xr:uid="{1827368E-C6A2-46F8-A24D-B260EAA3773F}"/>
    <cellStyle name="Денежный 3 2 2 4 5 2" xfId="2949" xr:uid="{E732A54F-1D3F-49BA-9847-B5833A1DC247}"/>
    <cellStyle name="Денежный 3 2 2 4 6" xfId="1230" xr:uid="{8B1B6FB8-CDBA-4B96-83D8-535B852B6BDF}"/>
    <cellStyle name="Денежный 3 2 2 4 7" xfId="2841" xr:uid="{090FB130-85A3-4D70-A4CD-E414A0FE1945}"/>
    <cellStyle name="Денежный 3 2 2 5" xfId="133" xr:uid="{D34B8FB6-BC74-40BF-9CA5-10164300AC47}"/>
    <cellStyle name="Денежный 3 2 2 5 2" xfId="243" xr:uid="{DD72D286-3227-489F-B051-5057BC663783}"/>
    <cellStyle name="Денежный 3 2 2 5 2 2" xfId="983" xr:uid="{FECF7A35-417D-4178-8BCD-7B1D8DABED5B}"/>
    <cellStyle name="Денежный 3 2 2 5 2 2 2" xfId="2034" xr:uid="{2721BC9B-01AB-4763-BA1A-7C1A1BBF2CA4}"/>
    <cellStyle name="Денежный 3 2 2 5 2 2 3" xfId="3556" xr:uid="{05BBF6B2-0BD7-443D-AA01-2AA9237A9922}"/>
    <cellStyle name="Денежный 3 2 2 5 2 3" xfId="1364" xr:uid="{06F87B77-E690-46F2-87BC-3C7367233ADB}"/>
    <cellStyle name="Денежный 3 2 2 5 2 4" xfId="3175" xr:uid="{E7967C26-72B1-4447-AD90-5F48AAAC0296}"/>
    <cellStyle name="Денежный 3 2 2 5 3" xfId="510" xr:uid="{4EDDD3BB-FBDA-4B71-8BEF-1752111C166E}"/>
    <cellStyle name="Денежный 3 2 2 5 3 2" xfId="1618" xr:uid="{7C2CFBEE-03D8-4B3C-A378-1EE30A46C2CB}"/>
    <cellStyle name="Денежный 3 2 2 5 3 3" xfId="3057" xr:uid="{AF1767A7-CBB7-4A78-9D37-E83DB0F28664}"/>
    <cellStyle name="Денежный 3 2 2 5 4" xfId="865" xr:uid="{921722DA-EC47-4C2B-8945-46F14B5C2638}"/>
    <cellStyle name="Денежный 3 2 2 5 4 2" xfId="1916" xr:uid="{9227D96C-9F17-408D-8689-FA2FA3757ED4}"/>
    <cellStyle name="Денежный 3 2 2 5 4 3" xfId="3438" xr:uid="{CCE9EA4D-A96C-434E-9E5A-1FE65148D22F}"/>
    <cellStyle name="Денежный 3 2 2 5 5" xfId="404" xr:uid="{0FEB5359-29C9-4AA2-9C56-406FE3568474}"/>
    <cellStyle name="Денежный 3 2 2 5 5 2" xfId="2965" xr:uid="{BD963D4B-D537-4955-8AFE-2D46AE4E8DF3}"/>
    <cellStyle name="Денежный 3 2 2 5 6" xfId="1246" xr:uid="{CAC24E33-3AD6-4B83-B338-41C12A566EC6}"/>
    <cellStyle name="Денежный 3 2 2 5 7" xfId="2857" xr:uid="{45346D64-23BD-4A5D-BFDD-37FE836DA5C1}"/>
    <cellStyle name="Денежный 3 2 2 6" xfId="182" xr:uid="{8690110F-C42D-4485-974C-FBF9E7026D36}"/>
    <cellStyle name="Денежный 3 2 2 6 2" xfId="570" xr:uid="{82C6D009-944A-4B5A-AD25-E4AC6605EA5B}"/>
    <cellStyle name="Денежный 3 2 2 6 2 2" xfId="1657" xr:uid="{25C7E362-D8A3-43F5-AF05-115F2EE2EB0E}"/>
    <cellStyle name="Денежный 3 2 2 6 2 3" xfId="3114" xr:uid="{C0948D3B-1591-4648-A411-5F11D1B1D2E4}"/>
    <cellStyle name="Денежный 3 2 2 6 3" xfId="922" xr:uid="{889290FF-1BCD-4AF5-B320-4F42605B8A12}"/>
    <cellStyle name="Денежный 3 2 2 6 3 2" xfId="1973" xr:uid="{B3C18EFB-CB1A-427A-94DB-C0477278DE29}"/>
    <cellStyle name="Денежный 3 2 2 6 3 3" xfId="3495" xr:uid="{8108756E-0E0A-4BE8-94B4-6A909FD79A5D}"/>
    <cellStyle name="Денежный 3 2 2 6 4" xfId="340" xr:uid="{CB50D32F-4484-44D6-AB9C-78574641E7D1}"/>
    <cellStyle name="Денежный 3 2 2 6 4 2" xfId="2901" xr:uid="{3D4DCD6E-4941-426E-BC4D-13C732D2901B}"/>
    <cellStyle name="Денежный 3 2 2 6 5" xfId="1303" xr:uid="{6A58E61A-0B29-49F9-8D6C-2C05FFA3F80B}"/>
    <cellStyle name="Денежный 3 2 2 6 6" xfId="2793" xr:uid="{1FDB0769-91E9-426D-BC43-EBAD0855813C}"/>
    <cellStyle name="Денежный 3 2 2 7" xfId="449" xr:uid="{82CF0096-922E-4638-AAF4-F9B3BADCE177}"/>
    <cellStyle name="Денежный 3 2 2 7 2" xfId="1557" xr:uid="{6BC23DEA-A471-4D1F-8608-34643EC3ABBB}"/>
    <cellStyle name="Денежный 3 2 2 7 3" xfId="2996" xr:uid="{1D79ADA2-6B8C-427D-BD93-380A0EAE4E09}"/>
    <cellStyle name="Денежный 3 2 2 8" xfId="804" xr:uid="{B13CF975-41A4-4BF0-B76C-CF99ACAE5684}"/>
    <cellStyle name="Денежный 3 2 2 8 2" xfId="1855" xr:uid="{42F7B739-A68A-4905-AA30-837B89AAE7AD}"/>
    <cellStyle name="Денежный 3 2 2 8 3" xfId="3377" xr:uid="{BDD80D50-FB87-457D-AFBB-B16BB3A418FC}"/>
    <cellStyle name="Денежный 3 2 2 9" xfId="324" xr:uid="{3C9527EC-28DE-47A2-8B92-F18C8CADC59A}"/>
    <cellStyle name="Денежный 3 2 2 9 2" xfId="2885" xr:uid="{DFF5AF6D-BAE9-4B9B-8616-04D6ACF011F4}"/>
    <cellStyle name="Денежный 3 2 3" xfId="77" xr:uid="{22B72D73-DE98-4422-B090-7BEDF4E95D4E}"/>
    <cellStyle name="Денежный 3 2 3 2" xfId="189" xr:uid="{8FBAA4C0-7C4D-4326-9BFD-3E82429B79A5}"/>
    <cellStyle name="Денежный 3 2 3 2 2" xfId="929" xr:uid="{56F579FB-5FD5-47CD-905B-CF86E96C1C48}"/>
    <cellStyle name="Денежный 3 2 3 2 2 2" xfId="1980" xr:uid="{B8A3C5B1-0C59-4FFF-A4EF-6EFB11E1673E}"/>
    <cellStyle name="Денежный 3 2 3 2 2 3" xfId="3502" xr:uid="{21E1102D-7CB5-41F0-8DD5-B2188CD9DBED}"/>
    <cellStyle name="Денежный 3 2 3 2 3" xfId="1310" xr:uid="{6EBE95D7-DC2F-4B36-B248-ED8A593D8277}"/>
    <cellStyle name="Денежный 3 2 3 2 4" xfId="3121" xr:uid="{6614449F-A3E7-41FE-B221-EB1100FA6BFE}"/>
    <cellStyle name="Денежный 3 2 3 3" xfId="456" xr:uid="{B9137FB5-BB6A-4CB0-9414-63B1B24C7091}"/>
    <cellStyle name="Денежный 3 2 3 3 2" xfId="1564" xr:uid="{D52DC878-09FB-45B5-B8DC-DA9DE0018D61}"/>
    <cellStyle name="Денежный 3 2 3 3 3" xfId="3003" xr:uid="{F4DF189C-8A92-4316-A629-27557755B983}"/>
    <cellStyle name="Денежный 3 2 3 4" xfId="811" xr:uid="{87A5C772-0DA7-44AD-97DD-EDFBE63E4731}"/>
    <cellStyle name="Денежный 3 2 3 4 2" xfId="1862" xr:uid="{587E68E5-CDC2-4E2F-B535-65D23DA2A401}"/>
    <cellStyle name="Денежный 3 2 3 4 3" xfId="3384" xr:uid="{191FA4DB-A64D-46B9-BD70-7D0367145918}"/>
    <cellStyle name="Денежный 3 2 3 5" xfId="348" xr:uid="{8C1E40C1-D61D-41C2-87EE-FD6110F122B7}"/>
    <cellStyle name="Денежный 3 2 3 5 2" xfId="2909" xr:uid="{EC2EA673-A87F-4031-A6B2-7358F6708370}"/>
    <cellStyle name="Денежный 3 2 3 6" xfId="1192" xr:uid="{5033774B-EFB8-4767-84C2-F2154B98150D}"/>
    <cellStyle name="Денежный 3 2 3 7" xfId="2801" xr:uid="{32B4C0B1-47A9-4A8C-9B96-58A273CBC30A}"/>
    <cellStyle name="Денежный 3 2 4" xfId="93" xr:uid="{2AFC0A80-AA2A-4CF0-A550-3A2AB6659BED}"/>
    <cellStyle name="Денежный 3 2 4 2" xfId="204" xr:uid="{AE31037F-AD89-4B4C-AE10-173DB17A33CE}"/>
    <cellStyle name="Денежный 3 2 4 2 2" xfId="944" xr:uid="{3A262224-9F52-4080-8CAC-DFEC342B964A}"/>
    <cellStyle name="Денежный 3 2 4 2 2 2" xfId="1995" xr:uid="{EF59501F-3039-442C-B188-6155A99B055B}"/>
    <cellStyle name="Денежный 3 2 4 2 2 3" xfId="3517" xr:uid="{7D1C3093-CE2F-4F6B-BEF2-F817A7EF6995}"/>
    <cellStyle name="Денежный 3 2 4 2 3" xfId="1325" xr:uid="{F5FC50C0-8180-445A-945A-1CA5720816FF}"/>
    <cellStyle name="Денежный 3 2 4 2 4" xfId="3136" xr:uid="{8D311537-B48D-4F2F-ABD2-7483829357A5}"/>
    <cellStyle name="Денежный 3 2 4 3" xfId="471" xr:uid="{10E06E60-AC36-4E84-9A58-F99D37A0D661}"/>
    <cellStyle name="Денежный 3 2 4 3 2" xfId="1579" xr:uid="{AA99E856-F2AE-4108-8719-CE364D19152E}"/>
    <cellStyle name="Денежный 3 2 4 3 3" xfId="3018" xr:uid="{C5D99007-3768-4649-8FA3-EEEC86F52106}"/>
    <cellStyle name="Денежный 3 2 4 4" xfId="826" xr:uid="{C76A5995-234D-4BC0-8576-2EA470BC801C}"/>
    <cellStyle name="Денежный 3 2 4 4 2" xfId="1877" xr:uid="{38C9D976-AE51-48F5-B015-B9BE50A70DB9}"/>
    <cellStyle name="Денежный 3 2 4 4 3" xfId="3399" xr:uid="{09F6C7C9-A5E0-4E05-B293-838431A18237}"/>
    <cellStyle name="Денежный 3 2 4 5" xfId="364" xr:uid="{67E2ADAE-1A07-4B65-99BA-41AECB6238A1}"/>
    <cellStyle name="Денежный 3 2 4 5 2" xfId="2925" xr:uid="{4AD18176-03B7-41EA-AFA9-2F0188EB0B0C}"/>
    <cellStyle name="Денежный 3 2 4 6" xfId="1207" xr:uid="{E3B83663-5B73-42FE-B3BF-A81DD727617A}"/>
    <cellStyle name="Денежный 3 2 4 7" xfId="2817" xr:uid="{A3B86534-39A1-4487-A450-B79D572B2703}"/>
    <cellStyle name="Денежный 3 2 5" xfId="109" xr:uid="{20B39C28-8D52-47B7-B5A5-8CB4D4054BA3}"/>
    <cellStyle name="Денежный 3 2 5 2" xfId="219" xr:uid="{51F31FA5-0C49-412E-A5F7-5935B1900DD1}"/>
    <cellStyle name="Денежный 3 2 5 2 2" xfId="959" xr:uid="{C3E01D68-F895-4786-908F-C26A2857CAC3}"/>
    <cellStyle name="Денежный 3 2 5 2 2 2" xfId="2010" xr:uid="{E6D42634-C498-43CC-83DF-2DD7FE9F4E74}"/>
    <cellStyle name="Денежный 3 2 5 2 2 3" xfId="3532" xr:uid="{89984BD7-CD81-4365-B386-A74505B2F336}"/>
    <cellStyle name="Денежный 3 2 5 2 3" xfId="1340" xr:uid="{4D661E43-25C5-4F4D-8A46-AA4EAD0BDB62}"/>
    <cellStyle name="Денежный 3 2 5 2 4" xfId="3151" xr:uid="{2B6BE57B-0969-45B2-B3A1-49E50818405E}"/>
    <cellStyle name="Денежный 3 2 5 3" xfId="486" xr:uid="{33E8318E-EA85-48A7-9EAE-2D6CC7927575}"/>
    <cellStyle name="Денежный 3 2 5 3 2" xfId="1594" xr:uid="{AC1B7BE9-114F-4D50-9CC6-762891FEBFB9}"/>
    <cellStyle name="Денежный 3 2 5 3 3" xfId="3033" xr:uid="{7DBE1419-B70F-41F4-AA14-7D731E08D4FF}"/>
    <cellStyle name="Денежный 3 2 5 4" xfId="841" xr:uid="{B5D8AD4A-E088-4B2A-8FB8-DEB57ACAE2BF}"/>
    <cellStyle name="Денежный 3 2 5 4 2" xfId="1892" xr:uid="{A522C8A2-ECC1-4326-A004-CE296D750494}"/>
    <cellStyle name="Денежный 3 2 5 4 3" xfId="3414" xr:uid="{280416A0-ED9D-40D3-8A29-A97FF411601A}"/>
    <cellStyle name="Денежный 3 2 5 5" xfId="380" xr:uid="{052BDE9B-E1D3-4C38-88D1-754A4AA795B6}"/>
    <cellStyle name="Денежный 3 2 5 5 2" xfId="2941" xr:uid="{52424C6B-3FA7-45E4-A353-C8CFA7B305FC}"/>
    <cellStyle name="Денежный 3 2 5 6" xfId="1222" xr:uid="{5EA2700A-B208-46FB-A5B4-95AF483669DB}"/>
    <cellStyle name="Денежный 3 2 5 7" xfId="2833" xr:uid="{68929C48-E9B9-493E-A304-F887D6112362}"/>
    <cellStyle name="Денежный 3 2 6" xfId="125" xr:uid="{DE609FB6-77AA-4DB8-852A-FB1270E6325B}"/>
    <cellStyle name="Денежный 3 2 6 2" xfId="235" xr:uid="{2B9BFA13-671C-4ADE-8D7F-348815DDA82F}"/>
    <cellStyle name="Денежный 3 2 6 2 2" xfId="975" xr:uid="{1E4B77D3-D10A-4894-9AD3-E00958D2986B}"/>
    <cellStyle name="Денежный 3 2 6 2 2 2" xfId="2026" xr:uid="{69F18058-DAE8-4F25-A5E3-9E77C648A8D8}"/>
    <cellStyle name="Денежный 3 2 6 2 2 3" xfId="3548" xr:uid="{5718A8D5-D418-4B55-AD84-81C3C5F0471E}"/>
    <cellStyle name="Денежный 3 2 6 2 3" xfId="1356" xr:uid="{A480A74F-6722-4FBD-BC04-9D8A7F093E56}"/>
    <cellStyle name="Денежный 3 2 6 2 4" xfId="3167" xr:uid="{534D3B9D-59F0-4E98-B028-F0969572EE76}"/>
    <cellStyle name="Денежный 3 2 6 3" xfId="502" xr:uid="{5C1898F4-16CA-4F8E-B6CA-B8C5B440763A}"/>
    <cellStyle name="Денежный 3 2 6 3 2" xfId="1610" xr:uid="{B2E2097A-CF1B-48D6-8203-351D828EB06C}"/>
    <cellStyle name="Денежный 3 2 6 3 3" xfId="3049" xr:uid="{12A4E1EF-A439-4AAA-B729-C4591E2E4E96}"/>
    <cellStyle name="Денежный 3 2 6 4" xfId="857" xr:uid="{51A0B3A2-E9C3-4C5C-92D1-9BE9CE1DE370}"/>
    <cellStyle name="Денежный 3 2 6 4 2" xfId="1908" xr:uid="{F7251FB0-D6C0-4F99-B286-04A038746250}"/>
    <cellStyle name="Денежный 3 2 6 4 3" xfId="3430" xr:uid="{A28A60D0-4492-43C0-98C4-A61FAC87E53A}"/>
    <cellStyle name="Денежный 3 2 6 5" xfId="396" xr:uid="{E3BF78C1-892E-4528-978F-CFF1A9D473BC}"/>
    <cellStyle name="Денежный 3 2 6 5 2" xfId="2957" xr:uid="{92DC0AE5-1934-47C7-8375-BE6D2F328C5F}"/>
    <cellStyle name="Денежный 3 2 6 6" xfId="1238" xr:uid="{2A7002DD-4CBE-4660-9DB3-B2270E568E93}"/>
    <cellStyle name="Денежный 3 2 6 7" xfId="2849" xr:uid="{A28E7080-5F34-417E-9CE4-F33C3BFDE127}"/>
    <cellStyle name="Денежный 3 2 7" xfId="256" xr:uid="{C945CFF1-224A-46C4-A6AB-4398435272B0}"/>
    <cellStyle name="Денежный 3 2 7 2" xfId="519" xr:uid="{99D559B3-BE71-4829-A495-7AFA6D23B432}"/>
    <cellStyle name="Денежный 3 2 7 2 2" xfId="1625" xr:uid="{099FDBF0-F238-4D3D-83E5-CBF6783DF5C9}"/>
    <cellStyle name="Денежный 3 2 7 2 3" xfId="3067" xr:uid="{2F60E0E3-A46C-4993-9215-9EDFD11F2E3B}"/>
    <cellStyle name="Денежный 3 2 7 3" xfId="875" xr:uid="{C6D7D2D4-54CA-4093-9433-DD0029278D5D}"/>
    <cellStyle name="Денежный 3 2 7 3 2" xfId="1926" xr:uid="{DF459B7F-C5A3-4C45-B48C-6E0D5761E773}"/>
    <cellStyle name="Денежный 3 2 7 3 3" xfId="3448" xr:uid="{E96BFA8C-C731-4E32-980F-E66B72894BC3}"/>
    <cellStyle name="Денежный 3 2 7 4" xfId="332" xr:uid="{B0E91528-F826-4EA9-8EB3-AF39C61BE2AD}"/>
    <cellStyle name="Денежный 3 2 7 4 2" xfId="2893" xr:uid="{AE1FDE5E-C449-4BE0-926B-145F0FCD74AB}"/>
    <cellStyle name="Денежный 3 2 7 5" xfId="1256" xr:uid="{692F08F3-BC7B-4729-8BF5-F46C80BE6611}"/>
    <cellStyle name="Денежный 3 2 7 6" xfId="2785" xr:uid="{8A4640BA-7772-4828-BEDB-A705BA1296EC}"/>
    <cellStyle name="Денежный 3 2 8" xfId="148" xr:uid="{0C0D1B17-5529-450C-B9CD-2228365982C5}"/>
    <cellStyle name="Денежный 3 2 8 2" xfId="903" xr:uid="{C9441240-AFAC-457F-B226-FA43414C1F39}"/>
    <cellStyle name="Денежный 3 2 8 2 2" xfId="1954" xr:uid="{92FC564D-CF19-4681-AAAC-79807E4F74B9}"/>
    <cellStyle name="Денежный 3 2 8 2 3" xfId="3476" xr:uid="{9AB4ABF0-1EBE-4A8C-A455-FBCB94D0AF0B}"/>
    <cellStyle name="Денежный 3 2 8 3" xfId="1284" xr:uid="{18BB1FF1-9910-42BD-B44A-811FFB44839B}"/>
    <cellStyle name="Денежный 3 2 8 4" xfId="3095" xr:uid="{C9DA69DD-6267-40E5-B8EA-89220D9B06C7}"/>
    <cellStyle name="Денежный 3 2 9" xfId="628" xr:uid="{9DC2382B-0B5B-47C2-BC84-77821B0673C7}"/>
    <cellStyle name="Денежный 3 2 9 2" xfId="1022" xr:uid="{F6BA6C96-A25E-419F-AAD8-F8BDFF519066}"/>
    <cellStyle name="Денежный 3 2 9 2 2" xfId="2073" xr:uid="{286168C1-752C-4988-BC9F-3CBCDAB6F635}"/>
    <cellStyle name="Денежный 3 2 9 2 3" xfId="3595" xr:uid="{26D66836-1036-48E9-B0F2-A47A49DDA32C}"/>
    <cellStyle name="Денежный 3 2 9 3" xfId="1403" xr:uid="{F915D130-262A-4532-9D06-525F2C4F1970}"/>
    <cellStyle name="Денежный 3 2 9 4" xfId="3214" xr:uid="{FF9AEA41-C342-4D44-9DF6-3807931D8FF4}"/>
    <cellStyle name="Денежный 3 3" xfId="67" xr:uid="{376AD8A3-2D5F-4EA6-ACAA-2839771E6D0F}"/>
    <cellStyle name="Денежный 3 3 10" xfId="1183" xr:uid="{EE1A2CF3-2304-4B47-9C2F-84831009226C}"/>
    <cellStyle name="Денежный 3 3 11" xfId="2774" xr:uid="{E3A7102A-5F40-4980-BF79-6AD9D81C0AB2}"/>
    <cellStyle name="Денежный 3 3 2" xfId="82" xr:uid="{B3F1E646-4918-4513-B5BF-C9F3BEF455A6}"/>
    <cellStyle name="Денежный 3 3 2 2" xfId="194" xr:uid="{6524A7D7-8054-4FF1-87CB-083E7FE19F46}"/>
    <cellStyle name="Денежный 3 3 2 2 2" xfId="934" xr:uid="{99ED7EE6-0246-438E-A1D8-DAB36D16DFD9}"/>
    <cellStyle name="Денежный 3 3 2 2 2 2" xfId="1985" xr:uid="{FF4F3B46-6646-49CB-BFF6-59E5065707DE}"/>
    <cellStyle name="Денежный 3 3 2 2 2 3" xfId="3507" xr:uid="{F4A4E8BB-DD5C-460E-A9B9-7F2680CE25DE}"/>
    <cellStyle name="Денежный 3 3 2 2 3" xfId="1315" xr:uid="{59752F64-8B8A-4F0E-B1E3-0A71E39A5EC3}"/>
    <cellStyle name="Денежный 3 3 2 2 4" xfId="3126" xr:uid="{2533D5DA-3164-4A0E-BDD6-6E70C00DFAAC}"/>
    <cellStyle name="Денежный 3 3 2 3" xfId="461" xr:uid="{677174EF-C201-4622-A738-8F30E3391AD0}"/>
    <cellStyle name="Денежный 3 3 2 3 2" xfId="1569" xr:uid="{073955D2-1123-423A-AD21-4AA8EFE150F7}"/>
    <cellStyle name="Денежный 3 3 2 3 3" xfId="3008" xr:uid="{F2093A53-6AC7-4A22-AF07-F006F19EB905}"/>
    <cellStyle name="Денежный 3 3 2 4" xfId="816" xr:uid="{25BE87A6-CF26-4C65-923B-EF9F81CC7508}"/>
    <cellStyle name="Денежный 3 3 2 4 2" xfId="1867" xr:uid="{F51E2A1E-B28B-4610-A304-5DF75E784B9B}"/>
    <cellStyle name="Денежный 3 3 2 4 3" xfId="3389" xr:uid="{A745FEEF-FD9C-4531-BD51-86D89500A84A}"/>
    <cellStyle name="Денежный 3 3 2 5" xfId="353" xr:uid="{9F90F017-1AB7-484E-B96D-D6DEB90A43F8}"/>
    <cellStyle name="Денежный 3 3 2 5 2" xfId="2914" xr:uid="{AC2389F2-3F28-4C75-BA8C-33A62CD04E42}"/>
    <cellStyle name="Денежный 3 3 2 6" xfId="1197" xr:uid="{82A3AB01-38F6-4A82-A8C6-F3080CB8C3D8}"/>
    <cellStyle name="Денежный 3 3 2 7" xfId="2806" xr:uid="{D7615C2D-6A10-461B-9C1F-237FC2B8544A}"/>
    <cellStyle name="Денежный 3 3 3" xfId="98" xr:uid="{82EC631D-3B7E-4BF5-8035-DE076AB8C4F1}"/>
    <cellStyle name="Денежный 3 3 3 2" xfId="209" xr:uid="{8A445A51-9FCB-4B48-B840-322B13ED2987}"/>
    <cellStyle name="Денежный 3 3 3 2 2" xfId="949" xr:uid="{32AA73F5-3E6F-4DC1-8933-19733F8B2863}"/>
    <cellStyle name="Денежный 3 3 3 2 2 2" xfId="2000" xr:uid="{25E2C3E0-B7C7-475E-A8BD-CBA55F28D24A}"/>
    <cellStyle name="Денежный 3 3 3 2 2 3" xfId="3522" xr:uid="{C0A9ECD0-2D0C-49EB-A73E-EB2E710C0AF1}"/>
    <cellStyle name="Денежный 3 3 3 2 3" xfId="1330" xr:uid="{5B822539-8C36-48E0-9CF2-7FF30F3848B0}"/>
    <cellStyle name="Денежный 3 3 3 2 4" xfId="3141" xr:uid="{1B3B2535-9E0C-428B-AD92-B5A5630F4F02}"/>
    <cellStyle name="Денежный 3 3 3 3" xfId="476" xr:uid="{DD3BF583-F7B2-4F27-96A3-88C7270C0F50}"/>
    <cellStyle name="Денежный 3 3 3 3 2" xfId="1584" xr:uid="{96EB8EE1-D1B0-42E2-A145-791305EB6D5E}"/>
    <cellStyle name="Денежный 3 3 3 3 3" xfId="3023" xr:uid="{DE559825-4763-44E4-BEA7-1CC3FE6D05AE}"/>
    <cellStyle name="Денежный 3 3 3 4" xfId="831" xr:uid="{EB426805-8297-4AF1-9111-A803E84ECA63}"/>
    <cellStyle name="Денежный 3 3 3 4 2" xfId="1882" xr:uid="{18CD88A8-EE21-4F85-BCC8-A140E87D53E1}"/>
    <cellStyle name="Денежный 3 3 3 4 3" xfId="3404" xr:uid="{223E9BBA-1008-4AD4-B307-DA0B75A12600}"/>
    <cellStyle name="Денежный 3 3 3 5" xfId="369" xr:uid="{FF5F0D00-C299-4EE4-913F-EFEEFFB91CD7}"/>
    <cellStyle name="Денежный 3 3 3 5 2" xfId="2930" xr:uid="{B43FB7CE-EF61-49DB-AFFB-6151EE405BBF}"/>
    <cellStyle name="Денежный 3 3 3 6" xfId="1212" xr:uid="{B298A882-6F29-4351-9661-534896068F55}"/>
    <cellStyle name="Денежный 3 3 3 7" xfId="2822" xr:uid="{CBC9D1AC-EE03-4315-A947-507942C86B89}"/>
    <cellStyle name="Денежный 3 3 4" xfId="114" xr:uid="{CB910841-8003-4802-831C-F1A91E2B5C07}"/>
    <cellStyle name="Денежный 3 3 4 2" xfId="224" xr:uid="{11C47157-92B5-4DB0-800E-1C7A4A0A43A3}"/>
    <cellStyle name="Денежный 3 3 4 2 2" xfId="964" xr:uid="{56161C87-1B79-485C-BA8E-3A3AC87AC53E}"/>
    <cellStyle name="Денежный 3 3 4 2 2 2" xfId="2015" xr:uid="{80696B41-D272-4EED-914D-79C2F20E589C}"/>
    <cellStyle name="Денежный 3 3 4 2 2 3" xfId="3537" xr:uid="{8B202867-2483-427C-853B-6D7E2CA5AA7C}"/>
    <cellStyle name="Денежный 3 3 4 2 3" xfId="1345" xr:uid="{73C2935F-3BD8-495F-96F9-3BA3673F3592}"/>
    <cellStyle name="Денежный 3 3 4 2 4" xfId="3156" xr:uid="{4CABDA48-577B-48AF-A16C-AF3B0192928B}"/>
    <cellStyle name="Денежный 3 3 4 3" xfId="491" xr:uid="{61124895-0BBA-413C-B8B3-7DBE79AFB0A1}"/>
    <cellStyle name="Денежный 3 3 4 3 2" xfId="1599" xr:uid="{8A0B127A-8B33-4215-B63B-40D67E79BA22}"/>
    <cellStyle name="Денежный 3 3 4 3 3" xfId="3038" xr:uid="{404A3ECD-C04C-4788-A696-1580C6E41F1E}"/>
    <cellStyle name="Денежный 3 3 4 4" xfId="846" xr:uid="{408B3613-B715-4DD5-8A7A-A293EBB8EEAF}"/>
    <cellStyle name="Денежный 3 3 4 4 2" xfId="1897" xr:uid="{AE117791-506E-42F4-B22D-18F2302A3608}"/>
    <cellStyle name="Денежный 3 3 4 4 3" xfId="3419" xr:uid="{1DEC9BEC-A468-4F96-9B54-41C0DBFCECA9}"/>
    <cellStyle name="Денежный 3 3 4 5" xfId="385" xr:uid="{CE6FF214-F22B-4E8D-99E9-47D1B58B866E}"/>
    <cellStyle name="Денежный 3 3 4 5 2" xfId="2946" xr:uid="{EA465827-D12F-40FD-9736-DAE401CC4B90}"/>
    <cellStyle name="Денежный 3 3 4 6" xfId="1227" xr:uid="{B2D0CAC7-F531-4E94-8309-695A5929D86F}"/>
    <cellStyle name="Денежный 3 3 4 7" xfId="2838" xr:uid="{F7D97DB1-70FF-410C-AEBD-7F00B1775DCE}"/>
    <cellStyle name="Денежный 3 3 5" xfId="130" xr:uid="{CB7A9B94-8FD4-4841-A0E4-28A9858B1A95}"/>
    <cellStyle name="Денежный 3 3 5 2" xfId="240" xr:uid="{9EE76E20-CB26-41A0-A65D-75C8BE77FCA5}"/>
    <cellStyle name="Денежный 3 3 5 2 2" xfId="980" xr:uid="{AE630FE3-183E-4968-80C8-1BF5073B03DA}"/>
    <cellStyle name="Денежный 3 3 5 2 2 2" xfId="2031" xr:uid="{977CBFD7-1FD9-4754-B44E-F942C483121F}"/>
    <cellStyle name="Денежный 3 3 5 2 2 3" xfId="3553" xr:uid="{39463B70-8038-46F5-BFD2-FC87316741F6}"/>
    <cellStyle name="Денежный 3 3 5 2 3" xfId="1361" xr:uid="{65A28F0F-9B83-4789-81AE-61706CC8A4AF}"/>
    <cellStyle name="Денежный 3 3 5 2 4" xfId="3172" xr:uid="{6F312A18-2CAB-4015-8424-BA8E0584F682}"/>
    <cellStyle name="Денежный 3 3 5 3" xfId="507" xr:uid="{2A8259E0-2ED7-48D0-99B5-172834544318}"/>
    <cellStyle name="Денежный 3 3 5 3 2" xfId="1615" xr:uid="{214B290B-2D4F-4E0B-8A33-DDDEA035E37F}"/>
    <cellStyle name="Денежный 3 3 5 3 3" xfId="3054" xr:uid="{FBCF3083-5352-4B1D-AEFF-792DECD94411}"/>
    <cellStyle name="Денежный 3 3 5 4" xfId="862" xr:uid="{3A20BDE4-504B-4BE6-9CB8-D15CAEC48460}"/>
    <cellStyle name="Денежный 3 3 5 4 2" xfId="1913" xr:uid="{3E5FD30A-CCF7-4CCF-A80E-B66BB8774864}"/>
    <cellStyle name="Денежный 3 3 5 4 3" xfId="3435" xr:uid="{FCF6BF04-A8C4-4C97-BCF5-99382202B464}"/>
    <cellStyle name="Денежный 3 3 5 5" xfId="401" xr:uid="{43DC8AA9-1310-4859-BB5C-4FF416D87BDA}"/>
    <cellStyle name="Денежный 3 3 5 5 2" xfId="2962" xr:uid="{B02B82AB-E5FF-4B23-AE7A-B1C1FA0D43F7}"/>
    <cellStyle name="Денежный 3 3 5 6" xfId="1243" xr:uid="{D437FDB2-FD2C-4F24-B7AA-17A9837506A6}"/>
    <cellStyle name="Денежный 3 3 5 7" xfId="2854" xr:uid="{4C2ED8BC-E935-455E-959F-0F26460E1232}"/>
    <cellStyle name="Денежный 3 3 6" xfId="180" xr:uid="{55820D76-7AE5-4279-87C1-1B7BB5BD067C}"/>
    <cellStyle name="Денежный 3 3 6 2" xfId="569" xr:uid="{7E6EFBD5-3E7A-47E8-9241-24B38E64D42D}"/>
    <cellStyle name="Денежный 3 3 6 2 2" xfId="1656" xr:uid="{D144ED43-B119-4694-B0CD-9D32F647F9FE}"/>
    <cellStyle name="Денежный 3 3 6 2 3" xfId="3113" xr:uid="{E38EC593-2FF7-468A-9DDE-2BCA575C9FA5}"/>
    <cellStyle name="Денежный 3 3 6 3" xfId="921" xr:uid="{4D9646DC-544F-44C3-AE72-2D22223A64DE}"/>
    <cellStyle name="Денежный 3 3 6 3 2" xfId="1972" xr:uid="{CD98A962-5923-45EC-A20E-F5A08F12D701}"/>
    <cellStyle name="Денежный 3 3 6 3 3" xfId="3494" xr:uid="{EFA3EA0C-B082-4EE0-B2D9-842122C69232}"/>
    <cellStyle name="Денежный 3 3 6 4" xfId="337" xr:uid="{5462B902-E7FF-47AF-8D3C-27AF5C200F8E}"/>
    <cellStyle name="Денежный 3 3 6 4 2" xfId="2898" xr:uid="{AA028F46-72ED-4A6D-BFF6-7B766AA511E0}"/>
    <cellStyle name="Денежный 3 3 6 5" xfId="1302" xr:uid="{2AFF677A-A8F9-43F7-8ECF-CD471BCA6DA5}"/>
    <cellStyle name="Денежный 3 3 6 6" xfId="2790" xr:uid="{1DA471B7-1EEA-4AB9-AD91-057CBECD1D4C}"/>
    <cellStyle name="Денежный 3 3 7" xfId="447" xr:uid="{117ACB88-11CE-4644-959E-A1F6034333F0}"/>
    <cellStyle name="Денежный 3 3 7 2" xfId="1555" xr:uid="{5CD8D2BC-01E3-4920-B4E0-FD47C4AEFFDB}"/>
    <cellStyle name="Денежный 3 3 7 3" xfId="2994" xr:uid="{3C113B20-4F98-4CD6-83FF-FBDB12443B38}"/>
    <cellStyle name="Денежный 3 3 8" xfId="802" xr:uid="{0307D5FC-2D8E-4B49-9FFA-21590C9FC92B}"/>
    <cellStyle name="Денежный 3 3 8 2" xfId="1853" xr:uid="{DDC6A621-CE14-4AFC-A6AD-27796C3E9F0E}"/>
    <cellStyle name="Денежный 3 3 8 3" xfId="3375" xr:uid="{4BCD2693-96D7-409E-93FC-B4EB4F790B12}"/>
    <cellStyle name="Денежный 3 3 9" xfId="321" xr:uid="{68A682B0-4D15-40F2-A813-47F7FA90E403}"/>
    <cellStyle name="Денежный 3 3 9 2" xfId="2882" xr:uid="{CD438163-AA07-40DC-958A-A82001FA94A5}"/>
    <cellStyle name="Денежный 3 4" xfId="74" xr:uid="{9A7D2590-4155-4150-AEAA-DD907B75B22C}"/>
    <cellStyle name="Денежный 3 4 2" xfId="187" xr:uid="{663CD4A2-EB98-419B-B53E-A500E7991806}"/>
    <cellStyle name="Денежный 3 4 2 2" xfId="927" xr:uid="{B02DD2CE-8ECD-4048-9180-0A3A173CB9C9}"/>
    <cellStyle name="Денежный 3 4 2 2 2" xfId="1978" xr:uid="{82FA8F1F-FF5E-4E53-928A-32A84F7EE637}"/>
    <cellStyle name="Денежный 3 4 2 2 3" xfId="3500" xr:uid="{99D9E19C-0A62-4A49-A760-903D3B78DEBA}"/>
    <cellStyle name="Денежный 3 4 2 3" xfId="1308" xr:uid="{265FA182-40B3-4108-AC87-38738C4D66C2}"/>
    <cellStyle name="Денежный 3 4 2 4" xfId="3119" xr:uid="{5D8F3BD0-1323-481B-AF09-FEBAAEAA8A6D}"/>
    <cellStyle name="Денежный 3 4 3" xfId="454" xr:uid="{7D733508-29BC-4716-8E82-3D9A706644F3}"/>
    <cellStyle name="Денежный 3 4 3 2" xfId="1562" xr:uid="{4F50F3BB-3622-4BC5-A995-DC1078B81E81}"/>
    <cellStyle name="Денежный 3 4 3 3" xfId="3001" xr:uid="{12EFA27A-4A6C-497E-B6BF-969F2F3E8B81}"/>
    <cellStyle name="Денежный 3 4 4" xfId="809" xr:uid="{AA9C57D7-A181-434B-BA27-B5B7039F8375}"/>
    <cellStyle name="Денежный 3 4 4 2" xfId="1860" xr:uid="{E04FDA31-E907-47C0-8D80-85653155A32D}"/>
    <cellStyle name="Денежный 3 4 4 3" xfId="3382" xr:uid="{CFD316E6-8952-40AD-8DC8-AEDB7BE91A8F}"/>
    <cellStyle name="Денежный 3 4 5" xfId="345" xr:uid="{F137D7E6-4004-4BF4-B545-120CB53F4D1B}"/>
    <cellStyle name="Денежный 3 4 5 2" xfId="2906" xr:uid="{AAE0A689-160C-4BA5-884A-019A8B37CCF5}"/>
    <cellStyle name="Денежный 3 4 6" xfId="1190" xr:uid="{D417AAC4-4C0E-4926-A9D3-9FF3B256F45E}"/>
    <cellStyle name="Денежный 3 4 7" xfId="2798" xr:uid="{3C72B6E7-CFCD-4330-BE66-D324596290EF}"/>
    <cellStyle name="Денежный 3 5" xfId="90" xr:uid="{36408BF5-6227-4DBB-B19C-375E161EAF34}"/>
    <cellStyle name="Денежный 3 5 2" xfId="201" xr:uid="{63944216-0158-417A-A6C8-559BE11BB765}"/>
    <cellStyle name="Денежный 3 5 2 2" xfId="941" xr:uid="{1352A616-D115-44FA-8D8C-BD7F481CBF9E}"/>
    <cellStyle name="Денежный 3 5 2 2 2" xfId="1992" xr:uid="{9E127D96-1001-4E57-A57A-AFFB411FA764}"/>
    <cellStyle name="Денежный 3 5 2 2 3" xfId="3514" xr:uid="{88B2819C-1625-4164-BB8B-6F20ECD6EA2F}"/>
    <cellStyle name="Денежный 3 5 2 3" xfId="1322" xr:uid="{44E63896-6498-4656-9A02-37CC26B88322}"/>
    <cellStyle name="Денежный 3 5 2 4" xfId="3133" xr:uid="{CB1F8542-2A20-4B4A-BB6D-C51AC98F3CF5}"/>
    <cellStyle name="Денежный 3 5 3" xfId="468" xr:uid="{43C8DB56-3F8B-4D55-9136-FAEF4162A95A}"/>
    <cellStyle name="Денежный 3 5 3 2" xfId="1576" xr:uid="{68CFEE9C-788F-45E1-BE77-B4FE1476653F}"/>
    <cellStyle name="Денежный 3 5 3 3" xfId="3015" xr:uid="{634F1811-747A-4C95-B8AF-7AEFB27F2AD0}"/>
    <cellStyle name="Денежный 3 5 4" xfId="823" xr:uid="{FBA26E2D-95CE-4B81-83EC-935DEEA7C42C}"/>
    <cellStyle name="Денежный 3 5 4 2" xfId="1874" xr:uid="{2FA218DD-FDA3-48AB-A897-05096EAE9C89}"/>
    <cellStyle name="Денежный 3 5 4 3" xfId="3396" xr:uid="{21F647B0-EE71-4AEA-8325-2D8BF2F154AD}"/>
    <cellStyle name="Денежный 3 5 5" xfId="361" xr:uid="{9231FEB5-A77F-4E86-9126-7AC740B8FFB6}"/>
    <cellStyle name="Денежный 3 5 5 2" xfId="2922" xr:uid="{F6FC18FA-1B43-430D-A69A-7E8D36C95BFB}"/>
    <cellStyle name="Денежный 3 5 6" xfId="1204" xr:uid="{8C702214-80CD-48A7-921F-50A228CA54DB}"/>
    <cellStyle name="Денежный 3 5 7" xfId="2814" xr:uid="{C488B972-A820-41A6-8666-97B23DAFD5AE}"/>
    <cellStyle name="Денежный 3 6" xfId="106" xr:uid="{B298707C-3C3B-483B-9280-B3F9BF371CF1}"/>
    <cellStyle name="Денежный 3 6 2" xfId="217" xr:uid="{ED56D0B9-A2EC-4D7B-839B-27AAD3D07E18}"/>
    <cellStyle name="Денежный 3 6 2 2" xfId="957" xr:uid="{A87BC7A4-320E-4A5C-AAD8-2CF303915459}"/>
    <cellStyle name="Денежный 3 6 2 2 2" xfId="2008" xr:uid="{9B4A4355-5DC3-41E5-A115-517BFE71A1E9}"/>
    <cellStyle name="Денежный 3 6 2 2 3" xfId="3530" xr:uid="{DAF90DDC-2E3A-4CAD-9339-F355DE7D2109}"/>
    <cellStyle name="Денежный 3 6 2 3" xfId="1338" xr:uid="{718F59A3-0FF4-4F94-910C-D4B4F1AA9DDA}"/>
    <cellStyle name="Денежный 3 6 2 4" xfId="3149" xr:uid="{AE7CAFD9-635A-42D7-B92A-8E5F4A4BFCE8}"/>
    <cellStyle name="Денежный 3 6 3" xfId="484" xr:uid="{B746AADB-101D-400F-9381-5337F41272C7}"/>
    <cellStyle name="Денежный 3 6 3 2" xfId="1592" xr:uid="{5262D2B4-860E-4B92-9009-D7AB21CEB8AD}"/>
    <cellStyle name="Денежный 3 6 3 3" xfId="3031" xr:uid="{7C290364-A1EB-4DA1-9977-AFAD3431A97C}"/>
    <cellStyle name="Денежный 3 6 4" xfId="839" xr:uid="{5A66B1FC-63D0-4E50-9EC8-C8840873BF00}"/>
    <cellStyle name="Денежный 3 6 4 2" xfId="1890" xr:uid="{B7058AA0-65BA-4C8D-BFD7-73E6A937A112}"/>
    <cellStyle name="Денежный 3 6 4 3" xfId="3412" xr:uid="{B34DE5A4-7993-46A6-B7D4-28F48AFAFAEE}"/>
    <cellStyle name="Денежный 3 6 5" xfId="377" xr:uid="{5EBB7176-C03C-4448-BCCD-947954F2C0D3}"/>
    <cellStyle name="Денежный 3 6 5 2" xfId="2938" xr:uid="{32643D7D-B4B2-4DAE-A3C6-65EC9455318E}"/>
    <cellStyle name="Денежный 3 6 6" xfId="1220" xr:uid="{43E45768-23CC-4CC0-96A3-10B06100955B}"/>
    <cellStyle name="Денежный 3 6 7" xfId="2830" xr:uid="{EEF47924-1492-4E69-A7F8-070970FBAB6C}"/>
    <cellStyle name="Денежный 3 7" xfId="122" xr:uid="{74456579-438D-4EEB-AFC3-B4640D868E19}"/>
    <cellStyle name="Денежный 3 7 2" xfId="232" xr:uid="{5EB848E2-A44E-48A7-82A9-D4DB466D9DCE}"/>
    <cellStyle name="Денежный 3 7 2 2" xfId="972" xr:uid="{D05A8A64-D3ED-496C-8DFF-C0B5A4105A50}"/>
    <cellStyle name="Денежный 3 7 2 2 2" xfId="2023" xr:uid="{6E46B902-B656-47CE-8A56-19377E6ED3AE}"/>
    <cellStyle name="Денежный 3 7 2 2 3" xfId="3545" xr:uid="{3C5D09D8-9C47-43C9-A9D1-B61FEABB3C6E}"/>
    <cellStyle name="Денежный 3 7 2 3" xfId="1353" xr:uid="{ED7C80E5-24C2-4AD2-95C2-FC7D55740BA6}"/>
    <cellStyle name="Денежный 3 7 2 4" xfId="3164" xr:uid="{F0B7C8AB-1D51-4A58-93C6-8205DFD9F953}"/>
    <cellStyle name="Денежный 3 7 3" xfId="499" xr:uid="{9A10EBDD-EF5E-4AF7-AD37-032191190C92}"/>
    <cellStyle name="Денежный 3 7 3 2" xfId="1607" xr:uid="{F9E3831F-C2EE-4D83-97C3-66E6B4392BA4}"/>
    <cellStyle name="Денежный 3 7 3 3" xfId="3046" xr:uid="{9388C1C8-A758-492F-9EF2-2532EB29F675}"/>
    <cellStyle name="Денежный 3 7 4" xfId="854" xr:uid="{BA7B8FCA-930B-43AB-B736-2738A5A25E5D}"/>
    <cellStyle name="Денежный 3 7 4 2" xfId="1905" xr:uid="{8FB9B0C3-F5E3-4042-9E6A-22EF035ACF90}"/>
    <cellStyle name="Денежный 3 7 4 3" xfId="3427" xr:uid="{BB29DF9B-BBF4-48A3-8A5D-ECE74950FACF}"/>
    <cellStyle name="Денежный 3 7 5" xfId="393" xr:uid="{47C867F2-D2E2-4C27-A7A4-D032A43130C3}"/>
    <cellStyle name="Денежный 3 7 5 2" xfId="2954" xr:uid="{C3998438-424F-4339-8C12-06708F772F6B}"/>
    <cellStyle name="Денежный 3 7 6" xfId="1235" xr:uid="{FE6D33D1-2BBE-4F31-8A57-63471A5E4B80}"/>
    <cellStyle name="Денежный 3 7 7" xfId="2846" xr:uid="{3741AFA7-442B-4583-8AEE-F2A0EA252FCF}"/>
    <cellStyle name="Денежный 3 8" xfId="249" xr:uid="{0687FF28-72A1-4A2A-9DF5-D375A784318B}"/>
    <cellStyle name="Денежный 3 8 2" xfId="514" xr:uid="{AE026CA0-B0D7-48CB-B24E-ECBF9F79A29A}"/>
    <cellStyle name="Денежный 3 8 2 2" xfId="1621" xr:uid="{5BAEA609-0CD6-4AA0-A542-7C1E5476E60E}"/>
    <cellStyle name="Денежный 3 8 2 3" xfId="3062" xr:uid="{86D3C35B-4B70-4844-B8EC-B87CAD7B7FCA}"/>
    <cellStyle name="Денежный 3 8 3" xfId="870" xr:uid="{8A233F71-543C-4580-9F78-0ACE4A235240}"/>
    <cellStyle name="Денежный 3 8 3 2" xfId="1921" xr:uid="{F8309D82-7F79-457C-ACEC-831652F33F7B}"/>
    <cellStyle name="Денежный 3 8 3 3" xfId="3443" xr:uid="{A640E78B-A9B3-4A41-93B8-9F2658A16985}"/>
    <cellStyle name="Денежный 3 8 4" xfId="329" xr:uid="{3481CB27-3237-484C-B7DB-3F5E517FA37C}"/>
    <cellStyle name="Денежный 3 8 4 2" xfId="2890" xr:uid="{615CBC80-D68C-4F0A-8ED8-E08B92FF07F4}"/>
    <cellStyle name="Денежный 3 8 5" xfId="1251" xr:uid="{829753BB-5210-47F3-8E55-4BCD9750E053}"/>
    <cellStyle name="Денежный 3 8 6" xfId="2782" xr:uid="{9BF0824D-F87D-49FD-997E-37986B950188}"/>
    <cellStyle name="Денежный 3 9" xfId="140" xr:uid="{B6AD69D1-71A6-42B2-9C0C-98407438F47F}"/>
    <cellStyle name="Денежный 3 9 2" xfId="897" xr:uid="{976E1E0F-5AE2-4200-B809-C0F22657D624}"/>
    <cellStyle name="Денежный 3 9 2 2" xfId="1948" xr:uid="{CE2116EE-68DC-4D0E-A49B-0F642E82FBEE}"/>
    <cellStyle name="Денежный 3 9 2 3" xfId="3470" xr:uid="{552B2991-0C29-43EE-A73C-FEE43B1C91EF}"/>
    <cellStyle name="Денежный 3 9 3" xfId="1278" xr:uid="{FA7061B5-7559-49C6-8F77-131DF68272BD}"/>
    <cellStyle name="Денежный 3 9 4" xfId="3089" xr:uid="{ACE18476-6329-471E-8620-66D62EA30672}"/>
    <cellStyle name="Денежный 4" xfId="14" xr:uid="{00000000-0005-0000-0000-000036000000}"/>
    <cellStyle name="Денежный 4 10" xfId="413" xr:uid="{10ECEBE0-94AF-45B5-80D5-3D237AA88D96}"/>
    <cellStyle name="Денежный 4 11" xfId="315" xr:uid="{4772D719-1DBC-4317-9DCE-4C29538883F7}"/>
    <cellStyle name="Денежный 4 11 2" xfId="2876" xr:uid="{AC7B1D77-19D4-48B8-9123-E0AEFB7682A9}"/>
    <cellStyle name="Денежный 4 12" xfId="2768" xr:uid="{5EE8D9F1-8F90-4DE2-91E0-353CDF7DBE15}"/>
    <cellStyle name="Денежный 4 2" xfId="19" xr:uid="{00000000-0005-0000-0000-000037000000}"/>
    <cellStyle name="Денежный 4 2 10" xfId="631" xr:uid="{B56FCEEC-B1FB-4FBE-B9BC-BC0BBB4EAE1B}"/>
    <cellStyle name="Денежный 4 2 10 2" xfId="1025" xr:uid="{30B1D705-4E4F-4383-BFC8-0B1DCE285EA4}"/>
    <cellStyle name="Денежный 4 2 10 2 2" xfId="2637" xr:uid="{C7E79EDE-9ACA-4BEA-A222-B767CB04B164}"/>
    <cellStyle name="Денежный 4 2 10 2 3" xfId="2076" xr:uid="{202C8AFD-99D8-4153-BBA3-925FA9591651}"/>
    <cellStyle name="Денежный 4 2 10 2 4" xfId="3598" xr:uid="{F1BC25D1-F912-48F5-B8FC-EC90FAB574F2}"/>
    <cellStyle name="Денежный 4 2 10 3" xfId="1695" xr:uid="{2B80C5EA-A818-40E0-A59B-23508D322BF6}"/>
    <cellStyle name="Денежный 4 2 10 3 2" xfId="2453" xr:uid="{EA44A6F9-C168-45D6-9E90-224C83053158}"/>
    <cellStyle name="Денежный 4 2 10 4" xfId="2269" xr:uid="{A7C17D8E-513D-4693-9C14-24FD943233C1}"/>
    <cellStyle name="Денежный 4 2 10 5" xfId="1406" xr:uid="{51C625B2-EE04-4206-AC31-F8E5D9B7440F}"/>
    <cellStyle name="Денежный 4 2 10 6" xfId="3217" xr:uid="{937EF867-7B72-4EFC-A322-75E22451A09E}"/>
    <cellStyle name="Денежный 4 2 11" xfId="418" xr:uid="{6D8F9BFC-B39E-45D1-81C3-7F3DE1F78520}"/>
    <cellStyle name="Денежный 4 2 11 2" xfId="2389" xr:uid="{00AF5F97-D914-4A28-BB19-536197DE8047}"/>
    <cellStyle name="Денежный 4 2 11 3" xfId="1540" xr:uid="{472E91C2-77F2-4590-BECB-91D074C2AC0B}"/>
    <cellStyle name="Денежный 4 2 11 4" xfId="2978" xr:uid="{D610D49C-1A42-4AFD-AF5B-1577132E86F6}"/>
    <cellStyle name="Денежный 4 2 12" xfId="774" xr:uid="{C14C352F-36A7-4C8B-98EF-89D73BD8E738}"/>
    <cellStyle name="Денежный 4 2 12 2" xfId="2573" xr:uid="{1CC4D429-05F2-4A10-9A6F-8CB7CE0BE9DC}"/>
    <cellStyle name="Денежный 4 2 12 3" xfId="1825" xr:uid="{747E2CB6-8E5F-4E13-9947-7F65B8A18575}"/>
    <cellStyle name="Денежный 4 2 12 4" xfId="3347" xr:uid="{07D8AD17-85DF-4498-9A02-BFEAE2D89948}"/>
    <cellStyle name="Денежный 4 2 13" xfId="323" xr:uid="{9E6B1EF5-82E4-4B71-8440-1DA71726B6DB}"/>
    <cellStyle name="Денежный 4 2 13 2" xfId="2198" xr:uid="{E0ACFD2D-1885-4697-A444-18998AEB4244}"/>
    <cellStyle name="Денежный 4 2 13 3" xfId="2884" xr:uid="{C7AAE4F0-5958-4E5B-877F-0834A1D58E7F}"/>
    <cellStyle name="Денежный 4 2 14" xfId="1155" xr:uid="{53425634-A87B-438A-ADD4-AAB4CA48DB48}"/>
    <cellStyle name="Денежный 4 2 15" xfId="2776" xr:uid="{1DD30CD8-EEE7-4F77-87FE-3E39BDA33B23}"/>
    <cellStyle name="Денежный 4 2 2" xfId="84" xr:uid="{34B9D32E-CEF2-4B59-9C0E-4E95BA38A9CF}"/>
    <cellStyle name="Денежный 4 2 2 2" xfId="195" xr:uid="{71BB317D-9909-4AB5-9EE6-50ACA4F18B62}"/>
    <cellStyle name="Денежный 4 2 2 2 2" xfId="935" xr:uid="{3388C223-D501-4850-AF25-B356CEDC0F0D}"/>
    <cellStyle name="Денежный 4 2 2 2 2 2" xfId="1986" xr:uid="{B0199D42-7364-4FF0-883B-7F66EA57848E}"/>
    <cellStyle name="Денежный 4 2 2 2 2 3" xfId="3508" xr:uid="{FCE3BA79-6C14-4F2C-9EF7-F1DAFDDF5B19}"/>
    <cellStyle name="Денежный 4 2 2 2 3" xfId="1316" xr:uid="{F0A93B9D-6FD3-4281-B070-3FAE19234DFC}"/>
    <cellStyle name="Денежный 4 2 2 2 4" xfId="3127" xr:uid="{FA287C29-6C90-4DCB-8D76-A9292CBAD952}"/>
    <cellStyle name="Денежный 4 2 2 3" xfId="462" xr:uid="{590F4A50-783D-4D34-A73C-6335558683B4}"/>
    <cellStyle name="Денежный 4 2 2 3 2" xfId="1570" xr:uid="{4F1C5AE1-E42A-4381-A613-B8D8A495B9EB}"/>
    <cellStyle name="Денежный 4 2 2 3 3" xfId="3009" xr:uid="{606DCC00-6CC4-4EA7-85FE-48680FBEDEAF}"/>
    <cellStyle name="Денежный 4 2 2 4" xfId="817" xr:uid="{E134ED38-B8FF-4F66-A8B1-7751F4A790D2}"/>
    <cellStyle name="Денежный 4 2 2 4 2" xfId="1868" xr:uid="{CED414D6-60D0-49B9-8068-65923F4A9B64}"/>
    <cellStyle name="Денежный 4 2 2 4 3" xfId="3390" xr:uid="{BD41D82A-59E5-46CF-926F-60BFCCF07860}"/>
    <cellStyle name="Денежный 4 2 2 5" xfId="355" xr:uid="{CC1FA056-1013-4989-B22E-C7D857B01ECA}"/>
    <cellStyle name="Денежный 4 2 2 5 2" xfId="2916" xr:uid="{BB62FDD9-AD8C-43F5-9A2F-4E55879503F0}"/>
    <cellStyle name="Денежный 4 2 2 6" xfId="1198" xr:uid="{23AB8A11-945A-4BE8-B3F4-3C86BECF3F90}"/>
    <cellStyle name="Денежный 4 2 2 7" xfId="2808" xr:uid="{53E9A5D9-D8A9-4977-AAC0-A4CFDCAC78B5}"/>
    <cellStyle name="Денежный 4 2 3" xfId="100" xr:uid="{487E9307-FC91-472A-B9C0-FD3365B93958}"/>
    <cellStyle name="Денежный 4 2 3 2" xfId="211" xr:uid="{3A70B39D-C20E-4239-954B-51B8977C10E1}"/>
    <cellStyle name="Денежный 4 2 3 2 2" xfId="951" xr:uid="{21FA5D11-FE4B-4E78-8386-59BECA9A4997}"/>
    <cellStyle name="Денежный 4 2 3 2 2 2" xfId="2002" xr:uid="{69B1EEA9-3287-43F1-A093-DF2A79BC4FF2}"/>
    <cellStyle name="Денежный 4 2 3 2 2 3" xfId="3524" xr:uid="{A8EDEAEE-3645-4400-839D-D3C99EA23CAA}"/>
    <cellStyle name="Денежный 4 2 3 2 3" xfId="1332" xr:uid="{1925106B-DE1F-47E8-B056-265ACBA3F0E9}"/>
    <cellStyle name="Денежный 4 2 3 2 4" xfId="3143" xr:uid="{65D56085-97B6-4A52-8302-68623D6704F6}"/>
    <cellStyle name="Денежный 4 2 3 3" xfId="478" xr:uid="{F6E34A13-A2D5-40AC-A0A5-8CA9C82245FE}"/>
    <cellStyle name="Денежный 4 2 3 3 2" xfId="1586" xr:uid="{102FFE22-9677-4323-A813-57A99A8DB6E4}"/>
    <cellStyle name="Денежный 4 2 3 3 3" xfId="3025" xr:uid="{E3AA6ED3-722B-41F3-9DE9-2DD14411DCDB}"/>
    <cellStyle name="Денежный 4 2 3 4" xfId="833" xr:uid="{4CC14BFA-D1D5-4EF0-8A4E-B9AAAA5D846A}"/>
    <cellStyle name="Денежный 4 2 3 4 2" xfId="1884" xr:uid="{D8B68012-2D15-4F0A-A57E-7297D168545B}"/>
    <cellStyle name="Денежный 4 2 3 4 3" xfId="3406" xr:uid="{E29689D4-B897-42B8-B4B0-8413C72424E3}"/>
    <cellStyle name="Денежный 4 2 3 5" xfId="371" xr:uid="{FEE98E6C-3E86-4D2A-9263-2D8CA2B45535}"/>
    <cellStyle name="Денежный 4 2 3 5 2" xfId="2932" xr:uid="{1B6F7B9F-E784-48BA-821D-42B408E35685}"/>
    <cellStyle name="Денежный 4 2 3 6" xfId="1214" xr:uid="{CCA5CBE7-D562-4E78-8B75-907C5C1194F1}"/>
    <cellStyle name="Денежный 4 2 3 7" xfId="2824" xr:uid="{6BDD7527-67E8-41AE-8D07-031E97F48ADA}"/>
    <cellStyle name="Денежный 4 2 4" xfId="116" xr:uid="{E031588C-503D-4309-A0EE-E8C8A23E67F8}"/>
    <cellStyle name="Денежный 4 2 4 2" xfId="226" xr:uid="{D8F30BCC-B321-4B95-962C-42AAC8546C99}"/>
    <cellStyle name="Денежный 4 2 4 2 2" xfId="966" xr:uid="{16CC2B6D-FB26-4F4F-AC1E-5618816AB711}"/>
    <cellStyle name="Денежный 4 2 4 2 2 2" xfId="2017" xr:uid="{4B1A794A-E7C9-4297-9F03-A6385CA4B221}"/>
    <cellStyle name="Денежный 4 2 4 2 2 3" xfId="3539" xr:uid="{9C375FBC-39C8-4E49-AA78-34922D2AFFDE}"/>
    <cellStyle name="Денежный 4 2 4 2 3" xfId="1347" xr:uid="{1DA1CBFD-28F4-44F6-84E6-FFAE86CEF002}"/>
    <cellStyle name="Денежный 4 2 4 2 4" xfId="3158" xr:uid="{F037587A-38C1-4F92-AE9B-64FCB4EE5431}"/>
    <cellStyle name="Денежный 4 2 4 3" xfId="493" xr:uid="{8BEF9C7A-D217-4F2F-B9C1-004B9C93BB8F}"/>
    <cellStyle name="Денежный 4 2 4 3 2" xfId="1601" xr:uid="{FFA9CA90-334B-4EAF-9AEB-2777A22DF142}"/>
    <cellStyle name="Денежный 4 2 4 3 3" xfId="3040" xr:uid="{0BD3F9C3-A360-471C-BDA2-9499EA44D64B}"/>
    <cellStyle name="Денежный 4 2 4 4" xfId="848" xr:uid="{F0142CB7-1235-469B-A108-DD43C440BF83}"/>
    <cellStyle name="Денежный 4 2 4 4 2" xfId="1899" xr:uid="{2C1E2396-DBB5-461F-86E4-02D63B78AD65}"/>
    <cellStyle name="Денежный 4 2 4 4 3" xfId="3421" xr:uid="{6F6F5647-BC82-412A-B82F-030B8ABCB0DD}"/>
    <cellStyle name="Денежный 4 2 4 5" xfId="387" xr:uid="{049BAFE6-F15F-41EB-ABE2-CB0A2B301B54}"/>
    <cellStyle name="Денежный 4 2 4 5 2" xfId="2948" xr:uid="{F2082B7F-46A4-42BC-9060-A93EA57D0065}"/>
    <cellStyle name="Денежный 4 2 4 6" xfId="1229" xr:uid="{1E36ED98-9FCF-4F7B-BDEF-C7C9EC879904}"/>
    <cellStyle name="Денежный 4 2 4 7" xfId="2840" xr:uid="{68F53A12-F005-4C3F-8BDD-182A41834302}"/>
    <cellStyle name="Денежный 4 2 5" xfId="132" xr:uid="{5332229C-E280-4185-BD61-B584DCC11BBC}"/>
    <cellStyle name="Денежный 4 2 5 2" xfId="242" xr:uid="{1E54D309-0F62-497E-8F5D-36A639A1B528}"/>
    <cellStyle name="Денежный 4 2 5 2 2" xfId="982" xr:uid="{FCF5D0C1-FE98-4D91-AE5A-88FD4B6AD4D9}"/>
    <cellStyle name="Денежный 4 2 5 2 2 2" xfId="2033" xr:uid="{C5621D28-CDF1-4A2C-8166-582258EDD501}"/>
    <cellStyle name="Денежный 4 2 5 2 2 3" xfId="3555" xr:uid="{3E609189-C3BE-42C6-8400-942496667EFA}"/>
    <cellStyle name="Денежный 4 2 5 2 3" xfId="1363" xr:uid="{4749076F-6B06-427B-8D34-6DCAE5599722}"/>
    <cellStyle name="Денежный 4 2 5 2 4" xfId="3174" xr:uid="{708CF2B2-DB75-4332-B665-A1F028B6DD3D}"/>
    <cellStyle name="Денежный 4 2 5 3" xfId="509" xr:uid="{9B93A2C5-8821-4E6C-A1B4-2543746DFCCA}"/>
    <cellStyle name="Денежный 4 2 5 3 2" xfId="1617" xr:uid="{C7A57CC5-D6FA-4810-B01C-3E7BC9072169}"/>
    <cellStyle name="Денежный 4 2 5 3 3" xfId="3056" xr:uid="{12E71E47-05E1-4D2C-BC43-BBF712D33398}"/>
    <cellStyle name="Денежный 4 2 5 4" xfId="864" xr:uid="{3A66454D-A88F-461E-91BB-B1DA2BDC6E82}"/>
    <cellStyle name="Денежный 4 2 5 4 2" xfId="1915" xr:uid="{F5EC257D-30CC-4C6B-92E2-A0EC4C09D223}"/>
    <cellStyle name="Денежный 4 2 5 4 3" xfId="3437" xr:uid="{F4273777-243E-46E6-9191-82C33564ED2A}"/>
    <cellStyle name="Денежный 4 2 5 5" xfId="403" xr:uid="{FF792F45-209D-4021-B1FA-67DD95687F6B}"/>
    <cellStyle name="Денежный 4 2 5 5 2" xfId="2964" xr:uid="{72855512-2A69-4BCE-AB60-F7564DE2852B}"/>
    <cellStyle name="Денежный 4 2 5 6" xfId="1245" xr:uid="{B28D20AE-4343-436C-8B4C-54C37736A62A}"/>
    <cellStyle name="Денежный 4 2 5 7" xfId="2856" xr:uid="{CC7379BD-AAB1-4C0C-B558-9A54193EB81E}"/>
    <cellStyle name="Денежный 4 2 6" xfId="181" xr:uid="{58ADB6AD-C545-4125-B618-968BFA928D3B}"/>
    <cellStyle name="Денежный 4 2 6 2" xfId="448" xr:uid="{C3359DA6-3533-4823-A56E-FA8F6DA03D40}"/>
    <cellStyle name="Денежный 4 2 6 2 2" xfId="1556" xr:uid="{B4F8C3FC-C9B7-4F73-99FB-9BFCC9F097AF}"/>
    <cellStyle name="Денежный 4 2 6 2 3" xfId="2995" xr:uid="{DEC3E1A5-E504-4D1C-865F-F0EC1527079E}"/>
    <cellStyle name="Денежный 4 2 6 3" xfId="803" xr:uid="{7CD677E3-1A38-44AF-A629-82343AB6F2A1}"/>
    <cellStyle name="Денежный 4 2 6 3 2" xfId="1854" xr:uid="{9BC173CC-20C5-4A7D-B5DC-5A135F25C155}"/>
    <cellStyle name="Денежный 4 2 6 3 3" xfId="3376" xr:uid="{F96FC475-A63F-4F81-BB39-F2A9A94F67C3}"/>
    <cellStyle name="Денежный 4 2 6 4" xfId="339" xr:uid="{43AE7C3D-E761-421F-AB42-FEED087D2975}"/>
    <cellStyle name="Денежный 4 2 6 4 2" xfId="2900" xr:uid="{79B04266-A090-45E1-91D7-1823A2B5B87F}"/>
    <cellStyle name="Денежный 4 2 6 5" xfId="1184" xr:uid="{4DBA7125-61C4-412B-B010-85AF6E61FE40}"/>
    <cellStyle name="Денежный 4 2 6 6" xfId="2792" xr:uid="{09F701EB-7799-4C93-8EA8-4AE3617CA748}"/>
    <cellStyle name="Денежный 4 2 7" xfId="259" xr:uid="{38051547-8497-402C-947C-8C4C80A1E33D}"/>
    <cellStyle name="Денежный 4 2 7 10" xfId="3070" xr:uid="{EF2282BC-C243-4CD6-9E21-1C0A5A422F7F}"/>
    <cellStyle name="Денежный 4 2 7 11" xfId="522" xr:uid="{C17601C3-B801-4F3E-BE4F-5ACAEA4E0F07}"/>
    <cellStyle name="Денежный 4 2 7 2" xfId="291" xr:uid="{C2210B2B-A8A4-45BE-90DB-CD6FF5AA31CB}"/>
    <cellStyle name="Денежный 4 2 7 2 2" xfId="737" xr:uid="{D5200731-2DDE-46EB-B055-B2EB310BDEA3}"/>
    <cellStyle name="Денежный 4 2 7 2 2 2" xfId="1117" xr:uid="{EC0A2854-2AAD-4247-8453-C808EE8FC402}"/>
    <cellStyle name="Денежный 4 2 7 2 2 2 2" xfId="2729" xr:uid="{8213AAEC-6224-4C87-B8A5-83BAA3F5C32A}"/>
    <cellStyle name="Денежный 4 2 7 2 2 2 3" xfId="2168" xr:uid="{7AF65FD9-F58A-4935-8306-9685CE291536}"/>
    <cellStyle name="Денежный 4 2 7 2 2 2 4" xfId="3690" xr:uid="{B8310A01-5116-40E5-8899-3E540387FA27}"/>
    <cellStyle name="Денежный 4 2 7 2 2 3" xfId="1787" xr:uid="{30473760-02F6-4C7A-AB5E-935A03AE360B}"/>
    <cellStyle name="Денежный 4 2 7 2 2 3 2" xfId="2545" xr:uid="{989D05E1-3180-4CC0-A162-28D1DDEA8BE2}"/>
    <cellStyle name="Денежный 4 2 7 2 2 4" xfId="2361" xr:uid="{2120D276-27EC-4DAB-AD3C-58B8CBA8A5B3}"/>
    <cellStyle name="Денежный 4 2 7 2 2 5" xfId="1498" xr:uid="{BEB13816-8215-4EDF-BAA2-64388A400D7F}"/>
    <cellStyle name="Денежный 4 2 7 2 2 6" xfId="3309" xr:uid="{4A267133-48C4-4049-95D1-3078EBA18FDA}"/>
    <cellStyle name="Денежный 4 2 7 2 3" xfId="677" xr:uid="{BB488962-7CB2-43AC-AD24-B9482B262D10}"/>
    <cellStyle name="Денежный 4 2 7 2 3 2" xfId="1057" xr:uid="{9B80058C-1F95-4D16-ADC2-91DB4BD39DEC}"/>
    <cellStyle name="Денежный 4 2 7 2 3 2 2" xfId="2669" xr:uid="{11F37DE3-291B-41B9-9954-4F9927A07C11}"/>
    <cellStyle name="Денежный 4 2 7 2 3 2 3" xfId="2108" xr:uid="{BA357E0F-37CE-4BCE-AD57-47EDE6B533C0}"/>
    <cellStyle name="Денежный 4 2 7 2 3 2 4" xfId="3630" xr:uid="{EDCE7159-3DB8-4235-87C4-05CD5EB6C822}"/>
    <cellStyle name="Денежный 4 2 7 2 3 3" xfId="1727" xr:uid="{6B7F5A9A-D58C-46D6-9E98-172B20F52BEB}"/>
    <cellStyle name="Денежный 4 2 7 2 3 3 2" xfId="2485" xr:uid="{C39D8C50-C3AE-4DA3-B630-E14332B623C9}"/>
    <cellStyle name="Денежный 4 2 7 2 3 4" xfId="2301" xr:uid="{E64AD5FF-5E7B-465D-BE60-456D0BD67929}"/>
    <cellStyle name="Денежный 4 2 7 2 3 5" xfId="1438" xr:uid="{987E0715-7CCB-481F-AC2B-29553748F255}"/>
    <cellStyle name="Денежный 4 2 7 2 3 6" xfId="3249" xr:uid="{A8B73EFD-C111-4742-B29D-9B04C42F14C3}"/>
    <cellStyle name="Денежный 4 2 7 2 4" xfId="986" xr:uid="{F4883B64-7072-411F-A8AA-26B41AB93626}"/>
    <cellStyle name="Денежный 4 2 7 2 4 2" xfId="2605" xr:uid="{879D32FE-50A1-4475-AECD-1B406544779B}"/>
    <cellStyle name="Денежный 4 2 7 2 4 3" xfId="2037" xr:uid="{A4DEE6C0-71C6-426D-A60A-BC210A2B44D6}"/>
    <cellStyle name="Денежный 4 2 7 2 4 4" xfId="3559" xr:uid="{683FB6A1-2CD7-489D-8078-06A77A88F65C}"/>
    <cellStyle name="Денежный 4 2 7 2 5" xfId="1660" xr:uid="{F7D2A9F3-A79A-4EF1-9A0C-4126CBB45C48}"/>
    <cellStyle name="Денежный 4 2 7 2 5 2" xfId="2421" xr:uid="{665EE7B3-C2E2-4D46-BDB2-737965DAEC89}"/>
    <cellStyle name="Денежный 4 2 7 2 6" xfId="2237" xr:uid="{49280927-6459-4315-B921-3FAC59862D87}"/>
    <cellStyle name="Денежный 4 2 7 2 7" xfId="1367" xr:uid="{CEAE0CF4-FECB-4AD4-B8B2-81E8DFC9F500}"/>
    <cellStyle name="Денежный 4 2 7 2 8" xfId="3178" xr:uid="{2C1FF088-EB6A-489F-B351-0791480ECCB2}"/>
    <cellStyle name="Денежный 4 2 7 2 9" xfId="576" xr:uid="{F765037B-7B85-4B07-B8B4-9D9792ABA27A}"/>
    <cellStyle name="Денежный 4 2 7 3" xfId="601" xr:uid="{B80E6501-313B-45E5-9501-36758956E0DF}"/>
    <cellStyle name="Денежный 4 2 7 3 2" xfId="756" xr:uid="{DA2BDC35-A639-4F51-B5E8-0EE7C9CE54C4}"/>
    <cellStyle name="Денежный 4 2 7 3 2 2" xfId="1136" xr:uid="{DCBD234E-CE05-46B6-908E-DE0E20CE8055}"/>
    <cellStyle name="Денежный 4 2 7 3 2 2 2" xfId="2748" xr:uid="{6009BABE-4251-451A-9FFE-D581F1F492D8}"/>
    <cellStyle name="Денежный 4 2 7 3 2 2 3" xfId="2187" xr:uid="{F93C0AE4-571A-41CD-9CF2-D5F1BEBB94E5}"/>
    <cellStyle name="Денежный 4 2 7 3 2 2 4" xfId="3709" xr:uid="{1603B487-2B6E-4C39-BEA0-AAE225E4CD79}"/>
    <cellStyle name="Денежный 4 2 7 3 2 3" xfId="1806" xr:uid="{4CC35EE2-4C18-4A73-BB6D-DD122703B868}"/>
    <cellStyle name="Денежный 4 2 7 3 2 3 2" xfId="2564" xr:uid="{E522792A-E7C1-4ED6-8A1C-7A72E0F365CC}"/>
    <cellStyle name="Денежный 4 2 7 3 2 4" xfId="2380" xr:uid="{ADC53A15-E57C-443D-A9B8-82C69B92B6E0}"/>
    <cellStyle name="Денежный 4 2 7 3 2 5" xfId="1517" xr:uid="{56F2368E-CAAB-4545-9C4C-6151E85E5D0D}"/>
    <cellStyle name="Денежный 4 2 7 3 2 6" xfId="3328" xr:uid="{4AED793D-6432-492A-B5BF-0CFC58E10FFC}"/>
    <cellStyle name="Денежный 4 2 7 3 3" xfId="696" xr:uid="{93FB4E1B-F560-4961-B59C-0EF077935842}"/>
    <cellStyle name="Денежный 4 2 7 3 3 2" xfId="1076" xr:uid="{3162C938-42E9-4B52-980C-0C67C2BDB578}"/>
    <cellStyle name="Денежный 4 2 7 3 3 2 2" xfId="2688" xr:uid="{3ACE7E1E-AA2F-42E3-BE2B-89CB5B5C1188}"/>
    <cellStyle name="Денежный 4 2 7 3 3 2 3" xfId="2127" xr:uid="{B3C3556E-6697-4912-92DE-AB3E6D5701C8}"/>
    <cellStyle name="Денежный 4 2 7 3 3 2 4" xfId="3649" xr:uid="{2A121315-5045-41BB-BAFD-685D66850CFC}"/>
    <cellStyle name="Денежный 4 2 7 3 3 3" xfId="1746" xr:uid="{0B9DD04F-887C-4621-B0B7-DDBA30D15481}"/>
    <cellStyle name="Денежный 4 2 7 3 3 3 2" xfId="2504" xr:uid="{517FA71C-6D75-4915-83DD-1FE906F1CF8D}"/>
    <cellStyle name="Денежный 4 2 7 3 3 4" xfId="2320" xr:uid="{3369D78D-9EFA-46A8-959D-0E7492AA817D}"/>
    <cellStyle name="Денежный 4 2 7 3 3 5" xfId="1457" xr:uid="{6A33FFA1-1D6B-4DF8-9AB5-9C0A12B34F07}"/>
    <cellStyle name="Денежный 4 2 7 3 3 6" xfId="3268" xr:uid="{AC81D383-2F5E-4E1C-B7B5-A4D6C2C05A31}"/>
    <cellStyle name="Денежный 4 2 7 3 4" xfId="1005" xr:uid="{F77737FE-06C7-4A53-8160-436C08646683}"/>
    <cellStyle name="Денежный 4 2 7 3 4 2" xfId="2624" xr:uid="{D4360E10-D781-417B-B6BA-73ECD9EF8020}"/>
    <cellStyle name="Денежный 4 2 7 3 4 3" xfId="2056" xr:uid="{F35E8E01-3106-4813-A327-B191017C7347}"/>
    <cellStyle name="Денежный 4 2 7 3 4 4" xfId="3578" xr:uid="{16DD1B88-9BB6-44E5-A09C-500A0A7EF7CB}"/>
    <cellStyle name="Денежный 4 2 7 3 5" xfId="1679" xr:uid="{4DB267A2-D850-4FC7-B315-5BD2E2DEC815}"/>
    <cellStyle name="Денежный 4 2 7 3 5 2" xfId="2440" xr:uid="{0BB2CE6F-DFDB-4DFC-A7EB-A5B399C6DF5A}"/>
    <cellStyle name="Денежный 4 2 7 3 6" xfId="2256" xr:uid="{F0D80533-EC4D-473E-960E-C8A4DF146C11}"/>
    <cellStyle name="Денежный 4 2 7 3 7" xfId="1386" xr:uid="{1408F947-9FD4-458D-B036-629A856EC0CE}"/>
    <cellStyle name="Денежный 4 2 7 3 8" xfId="3197" xr:uid="{23965DE0-FBC8-45A3-BD31-FC8FEFA557D1}"/>
    <cellStyle name="Денежный 4 2 7 4" xfId="713" xr:uid="{1EAF7CA5-3890-4B60-ADEE-90A48894ACBF}"/>
    <cellStyle name="Денежный 4 2 7 4 2" xfId="1093" xr:uid="{72FACAFB-3314-48B4-A2D5-F15C629C4CF7}"/>
    <cellStyle name="Денежный 4 2 7 4 2 2" xfId="2705" xr:uid="{9A43333F-B2A8-43F7-B5FC-FD747788E101}"/>
    <cellStyle name="Денежный 4 2 7 4 2 3" xfId="2144" xr:uid="{93B53BA5-2345-4ACA-A50A-A80832BF6A2F}"/>
    <cellStyle name="Денежный 4 2 7 4 2 4" xfId="3666" xr:uid="{AB2C7946-25F4-447E-9843-D86E1EE25BDA}"/>
    <cellStyle name="Денежный 4 2 7 4 3" xfId="1763" xr:uid="{746DC379-4A85-4A50-BEB8-02D0E51E1F9F}"/>
    <cellStyle name="Денежный 4 2 7 4 3 2" xfId="2521" xr:uid="{C7820058-4672-4BE1-9DDC-6E61A2AAC8C7}"/>
    <cellStyle name="Денежный 4 2 7 4 4" xfId="2337" xr:uid="{B2A2C8AA-0782-4691-8F24-6A28AA8C3F7F}"/>
    <cellStyle name="Денежный 4 2 7 4 5" xfId="1474" xr:uid="{C7727307-E182-4035-8665-D5E10509E55F}"/>
    <cellStyle name="Денежный 4 2 7 4 6" xfId="3285" xr:uid="{CE8D6D92-C232-4623-8E36-3191A2229A28}"/>
    <cellStyle name="Денежный 4 2 7 5" xfId="651" xr:uid="{6207919A-8396-468D-9A7C-5F872B8D2334}"/>
    <cellStyle name="Денежный 4 2 7 5 2" xfId="1033" xr:uid="{5DE5D84A-35CA-47B0-82AE-C483C17B7FC1}"/>
    <cellStyle name="Денежный 4 2 7 5 2 2" xfId="2645" xr:uid="{5123215B-FFAF-4B66-B3FC-AC71E0ED6058}"/>
    <cellStyle name="Денежный 4 2 7 5 2 3" xfId="2084" xr:uid="{1B66010B-F209-4510-BBEC-9896564A7AED}"/>
    <cellStyle name="Денежный 4 2 7 5 2 4" xfId="3606" xr:uid="{9174FF8D-4D75-4FD4-9283-65823E96DA93}"/>
    <cellStyle name="Денежный 4 2 7 5 3" xfId="1703" xr:uid="{E10BA872-3367-4D24-B0F0-2CBBB2C436D4}"/>
    <cellStyle name="Денежный 4 2 7 5 3 2" xfId="2461" xr:uid="{2119C7E4-298D-4C50-B897-864FDA4F19A7}"/>
    <cellStyle name="Денежный 4 2 7 5 4" xfId="2277" xr:uid="{B4882E5D-2F39-44C3-B062-4D83C44EDDE8}"/>
    <cellStyle name="Денежный 4 2 7 5 5" xfId="1414" xr:uid="{0770747C-81A1-47A8-88F5-476D136F305D}"/>
    <cellStyle name="Денежный 4 2 7 5 6" xfId="3225" xr:uid="{6E8065AE-5FE3-46F6-B91A-5ED227EFEC2A}"/>
    <cellStyle name="Денежный 4 2 7 6" xfId="878" xr:uid="{6A214C5D-AD79-4185-B7FF-7A5C7DD2CB9A}"/>
    <cellStyle name="Денежный 4 2 7 6 2" xfId="2581" xr:uid="{E11A916B-B1F4-4E00-A3A5-4D67FE846C83}"/>
    <cellStyle name="Денежный 4 2 7 6 3" xfId="1929" xr:uid="{B1A42D9E-8352-4467-8216-C90A3614498E}"/>
    <cellStyle name="Денежный 4 2 7 6 4" xfId="3451" xr:uid="{DF64659E-B5A3-4678-A28D-E980132977CF}"/>
    <cellStyle name="Денежный 4 2 7 7" xfId="1628" xr:uid="{E799868F-D6D2-461E-9AA7-EFA7A83D7230}"/>
    <cellStyle name="Денежный 4 2 7 7 2" xfId="2397" xr:uid="{C82B2ADC-E2E8-4200-8E76-4493CF5E27B9}"/>
    <cellStyle name="Денежный 4 2 7 8" xfId="2213" xr:uid="{038AFF1C-89FD-49B2-A78D-0C630BC023E8}"/>
    <cellStyle name="Денежный 4 2 7 9" xfId="1259" xr:uid="{58F7F42C-8411-4299-8C1F-EA329B690277}"/>
    <cellStyle name="Денежный 4 2 8" xfId="151" xr:uid="{57DABD66-E6EA-47B3-ACF9-BE5E7274C590}"/>
    <cellStyle name="Денежный 4 2 8 10" xfId="3085" xr:uid="{9F0BC42F-7BC4-47E8-9755-92F81A6D3BB1}"/>
    <cellStyle name="Денежный 4 2 8 11" xfId="541" xr:uid="{AC957D26-9227-403E-81D3-9FC7EB503320}"/>
    <cellStyle name="Денежный 4 2 8 2" xfId="283" xr:uid="{8D369915-C51C-4474-A69D-1A04BFF74840}"/>
    <cellStyle name="Денежный 4 2 8 2 2" xfId="729" xr:uid="{EA64C13A-6B65-4E7B-A009-B3FBA8A654A6}"/>
    <cellStyle name="Денежный 4 2 8 2 2 2" xfId="1109" xr:uid="{813DF2A7-AC03-43FD-9CFA-30122AC95042}"/>
    <cellStyle name="Денежный 4 2 8 2 2 2 2" xfId="2721" xr:uid="{8EA2CAE8-6A53-454A-9F82-E0F6D8483E2F}"/>
    <cellStyle name="Денежный 4 2 8 2 2 2 3" xfId="2160" xr:uid="{3A5637C7-E3C3-4229-8889-EB9B060DEC9C}"/>
    <cellStyle name="Денежный 4 2 8 2 2 2 4" xfId="3682" xr:uid="{054A0308-8AF4-4D89-89A3-DFBDDBB2B749}"/>
    <cellStyle name="Денежный 4 2 8 2 2 3" xfId="1779" xr:uid="{A56BD14D-E084-4BA3-86D3-1922D0BFFE8D}"/>
    <cellStyle name="Денежный 4 2 8 2 2 3 2" xfId="2537" xr:uid="{34B011F3-EB0B-44AB-93F6-B90C0F3EBB90}"/>
    <cellStyle name="Денежный 4 2 8 2 2 4" xfId="2353" xr:uid="{B3B918E3-391D-4B55-B440-290D1A05468F}"/>
    <cellStyle name="Денежный 4 2 8 2 2 5" xfId="1490" xr:uid="{00A673AA-2EC7-49EE-8E92-8712D69E36B1}"/>
    <cellStyle name="Денежный 4 2 8 2 2 6" xfId="3301" xr:uid="{6FEF78ED-34AF-4157-8132-25628E8FC2EB}"/>
    <cellStyle name="Денежный 4 2 8 2 3" xfId="668" xr:uid="{8DD3BAB5-A6D8-413F-A90C-7DA9CC385D6A}"/>
    <cellStyle name="Денежный 4 2 8 2 3 2" xfId="1049" xr:uid="{6197F393-DF4A-49DC-A51E-AF751FE9E505}"/>
    <cellStyle name="Денежный 4 2 8 2 3 2 2" xfId="2661" xr:uid="{70424ABA-E122-4B6A-A692-8205B1DD7BDD}"/>
    <cellStyle name="Денежный 4 2 8 2 3 2 3" xfId="2100" xr:uid="{6663C7B3-1D03-4EA8-9DFB-3954201244A1}"/>
    <cellStyle name="Денежный 4 2 8 2 3 2 4" xfId="3622" xr:uid="{FAB7B80D-DEB3-417C-B474-0A49D889CAB2}"/>
    <cellStyle name="Денежный 4 2 8 2 3 3" xfId="1719" xr:uid="{018785A3-2D21-4D1D-B283-EB3A001A13DD}"/>
    <cellStyle name="Денежный 4 2 8 2 3 3 2" xfId="2477" xr:uid="{E5C44BDC-B983-4B4A-B8C4-E8C664F98788}"/>
    <cellStyle name="Денежный 4 2 8 2 3 4" xfId="2293" xr:uid="{3E5EF250-C831-412A-82F2-38F492223B30}"/>
    <cellStyle name="Денежный 4 2 8 2 3 5" xfId="1430" xr:uid="{94817377-96E1-447B-965F-B13E91274B54}"/>
    <cellStyle name="Денежный 4 2 8 2 3 6" xfId="3241" xr:uid="{CB070EA1-2B1F-4EBD-9B98-FEB2E005BC61}"/>
    <cellStyle name="Денежный 4 2 8 2 4" xfId="906" xr:uid="{7301D26A-A6AF-4190-95F6-E7E96AECF692}"/>
    <cellStyle name="Денежный 4 2 8 2 4 2" xfId="2597" xr:uid="{C8D683F3-2B8D-4455-A119-0D7DAAA1B15D}"/>
    <cellStyle name="Денежный 4 2 8 2 4 3" xfId="1957" xr:uid="{CFC9070D-8992-4798-9710-5DF8A4141B0C}"/>
    <cellStyle name="Денежный 4 2 8 2 4 4" xfId="3479" xr:uid="{9D461BF6-0775-4054-A883-BB76A8B9C153}"/>
    <cellStyle name="Денежный 4 2 8 2 5" xfId="1646" xr:uid="{C80BFBDC-8513-47C1-B6BB-35534FD83AAB}"/>
    <cellStyle name="Денежный 4 2 8 2 5 2" xfId="2413" xr:uid="{504BFF11-D327-4550-B346-6A62E861017B}"/>
    <cellStyle name="Денежный 4 2 8 2 6" xfId="2229" xr:uid="{044D24F4-2F41-4377-8296-E4A01DF84475}"/>
    <cellStyle name="Денежный 4 2 8 2 7" xfId="1287" xr:uid="{DE11927F-41C6-4A1E-86DB-0D34161E1F6D}"/>
    <cellStyle name="Денежный 4 2 8 2 8" xfId="3098" xr:uid="{49589D19-BBAD-4D73-BDBD-02BF3AB57F46}"/>
    <cellStyle name="Денежный 4 2 8 2 9" xfId="552" xr:uid="{2C569FEA-C327-423F-A526-3F862C59C0F1}"/>
    <cellStyle name="Денежный 4 2 8 3" xfId="593" xr:uid="{3B8866B8-2216-48AF-B8E8-DFAFFA8260CF}"/>
    <cellStyle name="Денежный 4 2 8 3 2" xfId="748" xr:uid="{0F45350D-EC7A-42E0-AADA-3173B3E3A815}"/>
    <cellStyle name="Денежный 4 2 8 3 2 2" xfId="1128" xr:uid="{779B0A04-C67C-4F7A-8E82-FD5F279AEC1E}"/>
    <cellStyle name="Денежный 4 2 8 3 2 2 2" xfId="2740" xr:uid="{DAD116F7-A8DF-482D-9D81-4D5C8635B9EF}"/>
    <cellStyle name="Денежный 4 2 8 3 2 2 3" xfId="2179" xr:uid="{353424E3-52D4-497B-BCF2-86DC2764060C}"/>
    <cellStyle name="Денежный 4 2 8 3 2 2 4" xfId="3701" xr:uid="{D89E9D74-38B2-4128-A801-4B6184B5921C}"/>
    <cellStyle name="Денежный 4 2 8 3 2 3" xfId="1798" xr:uid="{C8ABF874-0AA7-46E8-87BF-E809829A2FD5}"/>
    <cellStyle name="Денежный 4 2 8 3 2 3 2" xfId="2556" xr:uid="{AADE6F9E-466F-45AC-9084-435C7EE7472B}"/>
    <cellStyle name="Денежный 4 2 8 3 2 4" xfId="2372" xr:uid="{FC024893-D51D-4E6B-A954-6FB2B596085A}"/>
    <cellStyle name="Денежный 4 2 8 3 2 5" xfId="1509" xr:uid="{0DE86D4F-3D4C-49D6-A3E2-0BB03CE3343D}"/>
    <cellStyle name="Денежный 4 2 8 3 2 6" xfId="3320" xr:uid="{84AA603D-5CB9-4D9F-8206-B50C4740F67E}"/>
    <cellStyle name="Денежный 4 2 8 3 3" xfId="688" xr:uid="{BF22B72D-C22D-4C1C-ABF6-47CAC4F8415D}"/>
    <cellStyle name="Денежный 4 2 8 3 3 2" xfId="1068" xr:uid="{00926D9F-B354-4036-8ABB-C07360AEE896}"/>
    <cellStyle name="Денежный 4 2 8 3 3 2 2" xfId="2680" xr:uid="{D90FB398-C892-4F61-9735-33CD8103958E}"/>
    <cellStyle name="Денежный 4 2 8 3 3 2 3" xfId="2119" xr:uid="{3181F2D5-CA73-4EB5-98D2-8035B91B5C48}"/>
    <cellStyle name="Денежный 4 2 8 3 3 2 4" xfId="3641" xr:uid="{6C312C50-BCB5-4067-AC74-D81B17B25EE5}"/>
    <cellStyle name="Денежный 4 2 8 3 3 3" xfId="1738" xr:uid="{48C52A75-384F-4463-AFDC-E75CA8AADB76}"/>
    <cellStyle name="Денежный 4 2 8 3 3 3 2" xfId="2496" xr:uid="{F74F43C5-4A80-4B22-A85A-302E1FE9C5FB}"/>
    <cellStyle name="Денежный 4 2 8 3 3 4" xfId="2312" xr:uid="{D4386976-B957-4A0C-9DF6-C2013F00DA5E}"/>
    <cellStyle name="Денежный 4 2 8 3 3 5" xfId="1449" xr:uid="{DF180C61-B333-4D18-83F6-EA34F61B1FF6}"/>
    <cellStyle name="Денежный 4 2 8 3 3 6" xfId="3260" xr:uid="{AD483C52-4922-410D-B434-969DCF1B2CF5}"/>
    <cellStyle name="Денежный 4 2 8 3 4" xfId="997" xr:uid="{58224F63-CF4A-4797-99A5-6C0676FCA777}"/>
    <cellStyle name="Денежный 4 2 8 3 4 2" xfId="2616" xr:uid="{905846FB-F10B-4776-AC57-04BFA0D6F440}"/>
    <cellStyle name="Денежный 4 2 8 3 4 3" xfId="2048" xr:uid="{B05D9B3D-E700-45E1-9790-54BAA7CAE5A5}"/>
    <cellStyle name="Денежный 4 2 8 3 4 4" xfId="3570" xr:uid="{82A7F992-AF6E-40A2-9034-356ED727AA46}"/>
    <cellStyle name="Денежный 4 2 8 3 5" xfId="1671" xr:uid="{47FF02D8-25BD-4092-B18B-CC338FF37B8A}"/>
    <cellStyle name="Денежный 4 2 8 3 5 2" xfId="2432" xr:uid="{C5063635-AF53-4737-9D67-009CBF3F82AD}"/>
    <cellStyle name="Денежный 4 2 8 3 6" xfId="2248" xr:uid="{7C5E20E2-97B8-4C15-AB56-27F4FD0E6178}"/>
    <cellStyle name="Денежный 4 2 8 3 7" xfId="1378" xr:uid="{7FFB8865-53F6-4500-948B-CD3E477D4897}"/>
    <cellStyle name="Денежный 4 2 8 3 8" xfId="3189" xr:uid="{B157E34D-0964-446C-9DFA-006003B9CC59}"/>
    <cellStyle name="Денежный 4 2 8 4" xfId="725" xr:uid="{995C40DC-3D93-4115-AD8E-87392689DA83}"/>
    <cellStyle name="Денежный 4 2 8 4 2" xfId="1105" xr:uid="{37A7FD31-C6EE-4753-BC39-27BB09259847}"/>
    <cellStyle name="Денежный 4 2 8 4 2 2" xfId="2717" xr:uid="{B09443D3-4444-4882-9276-7D508878215C}"/>
    <cellStyle name="Денежный 4 2 8 4 2 3" xfId="2156" xr:uid="{01FBF0D2-9A9A-4783-9E8A-7A3E7B2EB98F}"/>
    <cellStyle name="Денежный 4 2 8 4 2 4" xfId="3678" xr:uid="{28341187-A08F-4F0A-B274-4D1099528934}"/>
    <cellStyle name="Денежный 4 2 8 4 3" xfId="1775" xr:uid="{21744E2D-5ED5-4C8D-BD1A-0E8782808C90}"/>
    <cellStyle name="Денежный 4 2 8 4 3 2" xfId="2533" xr:uid="{7DD59705-38CB-46EF-85E4-22D77BF6CAE8}"/>
    <cellStyle name="Денежный 4 2 8 4 4" xfId="2349" xr:uid="{4AEE4B50-07B7-4B96-B1B3-31DA88BD0922}"/>
    <cellStyle name="Денежный 4 2 8 4 5" xfId="1486" xr:uid="{183A2F5F-8728-43CC-AB47-F31A2A0C407B}"/>
    <cellStyle name="Денежный 4 2 8 4 6" xfId="3297" xr:uid="{88B7B480-2B4B-4156-8268-D04DFCB880B1}"/>
    <cellStyle name="Денежный 4 2 8 5" xfId="663" xr:uid="{97A74CB0-9424-4CB1-99A6-60E151912FC0}"/>
    <cellStyle name="Денежный 4 2 8 5 2" xfId="1045" xr:uid="{BC748DE8-A4BD-4EBC-BE39-174A22B1FB3E}"/>
    <cellStyle name="Денежный 4 2 8 5 2 2" xfId="2657" xr:uid="{05F977C4-5BD2-4D64-8D3D-AC52AC6C8D3F}"/>
    <cellStyle name="Денежный 4 2 8 5 2 3" xfId="2096" xr:uid="{E82A3A3D-0A3A-4ED3-A0F7-E4E3005655EB}"/>
    <cellStyle name="Денежный 4 2 8 5 2 4" xfId="3618" xr:uid="{0B4257A7-298B-4ECD-9848-1902150A3927}"/>
    <cellStyle name="Денежный 4 2 8 5 3" xfId="1715" xr:uid="{0518D951-D152-47AE-862F-0F7D86ACE16E}"/>
    <cellStyle name="Денежный 4 2 8 5 3 2" xfId="2473" xr:uid="{E5E42EFF-F7DD-4D53-98D7-40BAFFE7537C}"/>
    <cellStyle name="Денежный 4 2 8 5 4" xfId="2289" xr:uid="{ED992C5B-0F94-42DF-A4D4-ACD32F2DFC75}"/>
    <cellStyle name="Денежный 4 2 8 5 5" xfId="1426" xr:uid="{03C037EA-9213-4B30-85AA-5DDCCB750EA0}"/>
    <cellStyle name="Денежный 4 2 8 5 6" xfId="3237" xr:uid="{4012C718-4834-4A45-8F10-0FC341376085}"/>
    <cellStyle name="Денежный 4 2 8 6" xfId="893" xr:uid="{8F3FE87E-E634-4B39-9C34-84B1679013A2}"/>
    <cellStyle name="Денежный 4 2 8 6 2" xfId="2593" xr:uid="{9C6A88AB-069F-47EA-94FB-6A08538A7E3F}"/>
    <cellStyle name="Денежный 4 2 8 6 3" xfId="1944" xr:uid="{51F90807-3839-4045-9F7A-BC43AEAA2B38}"/>
    <cellStyle name="Денежный 4 2 8 6 4" xfId="3466" xr:uid="{AFF700C8-05FB-457C-BF27-A681A95107D6}"/>
    <cellStyle name="Денежный 4 2 8 7" xfId="1641" xr:uid="{7203AB08-CD5E-4D72-90FE-BBF3761F6BAD}"/>
    <cellStyle name="Денежный 4 2 8 7 2" xfId="2409" xr:uid="{7F523F4D-96D0-4A51-9CBC-9CDE11F8D7BF}"/>
    <cellStyle name="Денежный 4 2 8 8" xfId="2225" xr:uid="{C78EAEA6-34FD-4177-832A-BDCACE4A6771}"/>
    <cellStyle name="Денежный 4 2 8 9" xfId="1274" xr:uid="{E461E6F5-ECF2-44B3-8475-4200BD90E49F}"/>
    <cellStyle name="Денежный 4 2 9" xfId="705" xr:uid="{435DD5CB-7167-43BD-A088-E3AD65FA2BA6}"/>
    <cellStyle name="Денежный 4 2 9 2" xfId="1085" xr:uid="{F087C301-AEF5-48EE-BE12-721D6614F67E}"/>
    <cellStyle name="Денежный 4 2 9 2 2" xfId="2697" xr:uid="{7D99767A-F47D-4B4C-91CF-4BAFE6D0187B}"/>
    <cellStyle name="Денежный 4 2 9 2 3" xfId="2136" xr:uid="{F15F300F-8C06-47C4-9359-FA4CE1F1AC33}"/>
    <cellStyle name="Денежный 4 2 9 2 4" xfId="3658" xr:uid="{1345A5B8-B6FF-497C-9D12-368E743346D1}"/>
    <cellStyle name="Денежный 4 2 9 3" xfId="1755" xr:uid="{4FDDB9A0-51A8-47AF-B69E-FEACD2EEC8D9}"/>
    <cellStyle name="Денежный 4 2 9 3 2" xfId="2513" xr:uid="{17BEE26A-81D6-4351-A30E-77798424724B}"/>
    <cellStyle name="Денежный 4 2 9 4" xfId="2329" xr:uid="{385F05DE-ACF3-4821-B3C3-78C8751AA8C0}"/>
    <cellStyle name="Денежный 4 2 9 5" xfId="1466" xr:uid="{04BD99F6-EE07-4709-8177-442EE2A9C94D}"/>
    <cellStyle name="Денежный 4 2 9 6" xfId="3277" xr:uid="{D0F179E0-1EA7-42A6-B332-B28CAD903F1D}"/>
    <cellStyle name="Денежный 4 3" xfId="76" xr:uid="{675509BF-6A17-4B43-A715-B8B073AD4247}"/>
    <cellStyle name="Денежный 4 3 2" xfId="154" xr:uid="{99B5D8A2-57B3-4DE5-9B25-A27959AD1BDE}"/>
    <cellStyle name="Денежный 4 3 2 2" xfId="908" xr:uid="{4E9E1FE3-F9C9-4C15-8A45-3B49007C283B}"/>
    <cellStyle name="Денежный 4 3 2 2 2" xfId="1959" xr:uid="{B90FA338-E18A-421A-AFAC-485DAFE9CF9C}"/>
    <cellStyle name="Денежный 4 3 2 2 3" xfId="3481" xr:uid="{3D0BE4DD-82CB-4B8E-8BE6-34142CEFE7C0}"/>
    <cellStyle name="Денежный 4 3 2 3" xfId="1289" xr:uid="{3C3C42C0-15F9-441C-8161-A5B98DDACE00}"/>
    <cellStyle name="Денежный 4 3 2 4" xfId="3100" xr:uid="{1DB9F897-BEE2-4DD8-A216-14A998806243}"/>
    <cellStyle name="Денежный 4 3 3" xfId="421" xr:uid="{84AE796E-65A5-4F5D-BC27-92CDD812A332}"/>
    <cellStyle name="Денежный 4 3 3 2" xfId="1542" xr:uid="{B314EF41-D30C-4436-8C98-875312B00B45}"/>
    <cellStyle name="Денежный 4 3 3 3" xfId="2980" xr:uid="{41383065-CBEB-4C70-849D-9604D3AE6555}"/>
    <cellStyle name="Денежный 4 3 4" xfId="776" xr:uid="{22771FDF-8C8F-4D58-BC56-A99C4C500DCF}"/>
    <cellStyle name="Денежный 4 3 4 2" xfId="1827" xr:uid="{6C7F4A99-9A39-4221-988A-8330B8A2EBB3}"/>
    <cellStyle name="Денежный 4 3 4 3" xfId="3349" xr:uid="{2C21CC23-1796-4FDD-9448-4E9F6E39D30E}"/>
    <cellStyle name="Денежный 4 3 5" xfId="347" xr:uid="{C828C72B-3105-47D9-BB32-31645A388944}"/>
    <cellStyle name="Денежный 4 3 5 2" xfId="2908" xr:uid="{F8265A62-E044-40CD-91C8-81FA799231DA}"/>
    <cellStyle name="Денежный 4 3 6" xfId="1157" xr:uid="{450DF7D0-17D7-44B8-9397-19FB70E5B4FA}"/>
    <cellStyle name="Денежный 4 3 7" xfId="2800" xr:uid="{62E86F1F-509E-4353-B73D-91DC3213008E}"/>
    <cellStyle name="Денежный 4 4" xfId="92" xr:uid="{FD68D91B-4616-4C63-8841-23E3AA3C977D}"/>
    <cellStyle name="Денежный 4 4 2" xfId="203" xr:uid="{E3F6CE04-5ECA-4564-A12A-92A5F52FFE28}"/>
    <cellStyle name="Денежный 4 4 2 2" xfId="943" xr:uid="{46FA494D-D09D-497C-858F-57A0A35A77A6}"/>
    <cellStyle name="Денежный 4 4 2 2 2" xfId="1994" xr:uid="{108BA9B5-FA4B-411D-BB72-249531F1AEF8}"/>
    <cellStyle name="Денежный 4 4 2 2 3" xfId="3516" xr:uid="{B9A8C6E6-BB6C-481B-A998-F4E3659B1027}"/>
    <cellStyle name="Денежный 4 4 2 3" xfId="1324" xr:uid="{E0AC1C9E-0878-4D2D-9935-B82B15E3D673}"/>
    <cellStyle name="Денежный 4 4 2 4" xfId="3135" xr:uid="{C4227103-A2C0-4AB2-899C-BFD984EB7CB6}"/>
    <cellStyle name="Денежный 4 4 3" xfId="470" xr:uid="{ABF6E315-9AC9-4F19-94C2-62687F98AB4F}"/>
    <cellStyle name="Денежный 4 4 3 2" xfId="1578" xr:uid="{FCC12D5D-5177-460C-A590-0ECB6023DF09}"/>
    <cellStyle name="Денежный 4 4 3 3" xfId="3017" xr:uid="{4F4BC067-FBAB-4A1E-9CE7-7E6F0418B3E9}"/>
    <cellStyle name="Денежный 4 4 4" xfId="825" xr:uid="{3170F351-3F37-496F-BAC5-10FC9AD9C603}"/>
    <cellStyle name="Денежный 4 4 4 2" xfId="1876" xr:uid="{660D8976-42C6-4FF0-BB6E-CDE6603DD6D2}"/>
    <cellStyle name="Денежный 4 4 4 3" xfId="3398" xr:uid="{CACBC0E5-2D07-465C-A395-7DF492B7A9C7}"/>
    <cellStyle name="Денежный 4 4 5" xfId="363" xr:uid="{80531E32-9529-4A7C-B392-D4AF7055BFDB}"/>
    <cellStyle name="Денежный 4 4 5 2" xfId="2924" xr:uid="{806A036B-B055-4C90-B233-05E059891EEE}"/>
    <cellStyle name="Денежный 4 4 6" xfId="1206" xr:uid="{B063488B-A2D3-4237-BF61-1619BA82090D}"/>
    <cellStyle name="Денежный 4 4 7" xfId="2816" xr:uid="{5FD44B81-C81A-46CB-8DA4-47EAB26B84A9}"/>
    <cellStyle name="Денежный 4 5" xfId="108" xr:uid="{2D6FCBF8-5C65-4C8D-9D79-E9F57F7CE768}"/>
    <cellStyle name="Денежный 4 5 2" xfId="218" xr:uid="{12560563-8096-4E13-8110-60725E3C04AB}"/>
    <cellStyle name="Денежный 4 5 2 2" xfId="958" xr:uid="{64031EBB-2B2D-45FE-BD09-E10D14CCB8DF}"/>
    <cellStyle name="Денежный 4 5 2 2 2" xfId="2009" xr:uid="{C0ED6F7A-DCA0-4894-828C-4088BB1E1791}"/>
    <cellStyle name="Денежный 4 5 2 2 3" xfId="3531" xr:uid="{D999F21D-B172-4FDA-AA59-6ED13D9D97EA}"/>
    <cellStyle name="Денежный 4 5 2 3" xfId="1339" xr:uid="{FC15672C-DDEC-4BE7-987B-FB79330410A6}"/>
    <cellStyle name="Денежный 4 5 2 4" xfId="3150" xr:uid="{F56EE106-C79F-44D3-B74E-FC285D862681}"/>
    <cellStyle name="Денежный 4 5 3" xfId="485" xr:uid="{6E15E66B-055C-425E-A804-90F53110A6DB}"/>
    <cellStyle name="Денежный 4 5 3 2" xfId="1593" xr:uid="{3330A173-0AA3-4333-BC6D-EAE4C214A41C}"/>
    <cellStyle name="Денежный 4 5 3 3" xfId="3032" xr:uid="{1DC51F3F-86BF-4B48-AF52-A3ED7B135741}"/>
    <cellStyle name="Денежный 4 5 4" xfId="840" xr:uid="{A1D700D4-38A7-4E5F-AB43-3328404070D5}"/>
    <cellStyle name="Денежный 4 5 4 2" xfId="1891" xr:uid="{E7CDA694-EB7A-406C-AFF7-562B559B1F7D}"/>
    <cellStyle name="Денежный 4 5 4 3" xfId="3413" xr:uid="{6324FFD9-D2CC-4AEE-93BB-CE05111007F9}"/>
    <cellStyle name="Денежный 4 5 5" xfId="379" xr:uid="{8F156DAD-73D2-49E1-BA31-B8C39AF5F0C8}"/>
    <cellStyle name="Денежный 4 5 5 2" xfId="2940" xr:uid="{67A99D2D-2A44-4E64-B680-B47FD5ACFAA0}"/>
    <cellStyle name="Денежный 4 5 6" xfId="1221" xr:uid="{6173DA40-12BF-4C90-BE88-DB738DD5BE23}"/>
    <cellStyle name="Денежный 4 5 7" xfId="2832" xr:uid="{8C8D0F01-6E9C-4B0F-ADC1-05813895DC25}"/>
    <cellStyle name="Денежный 4 6" xfId="124" xr:uid="{31B50A4F-4E95-4852-924F-9DA21F3EAB15}"/>
    <cellStyle name="Денежный 4 6 2" xfId="234" xr:uid="{35759D81-DD58-43F0-8D30-3F1DB1B96E2E}"/>
    <cellStyle name="Денежный 4 6 2 2" xfId="974" xr:uid="{BB2B73FC-C76F-43E6-BDC6-D9D0D701982E}"/>
    <cellStyle name="Денежный 4 6 2 2 2" xfId="2025" xr:uid="{F377B94B-4934-4B2D-861D-7DA97AE4A160}"/>
    <cellStyle name="Денежный 4 6 2 2 3" xfId="3547" xr:uid="{993E2F9E-6F8A-4F4B-A8E9-BCC33B083676}"/>
    <cellStyle name="Денежный 4 6 2 3" xfId="1355" xr:uid="{151E7324-6E41-448F-8892-9FA49F072EFC}"/>
    <cellStyle name="Денежный 4 6 2 4" xfId="3166" xr:uid="{36CCCE17-3E59-4E4A-AEF2-05D4EDFE5607}"/>
    <cellStyle name="Денежный 4 6 3" xfId="501" xr:uid="{CA6F586E-1551-4A66-A7F8-9B9C4BD2AA1F}"/>
    <cellStyle name="Денежный 4 6 3 2" xfId="1609" xr:uid="{21BA9B9A-A790-4508-A03B-8AC61809D3E8}"/>
    <cellStyle name="Денежный 4 6 3 3" xfId="3048" xr:uid="{1781A34B-D79E-4C84-AA11-E33F9C3C302D}"/>
    <cellStyle name="Денежный 4 6 4" xfId="856" xr:uid="{DC966A92-D5A5-44A1-8AFC-FEA5A198854B}"/>
    <cellStyle name="Денежный 4 6 4 2" xfId="1907" xr:uid="{6ABAED59-EFAF-4622-BC28-FB6C4525CDB5}"/>
    <cellStyle name="Денежный 4 6 4 3" xfId="3429" xr:uid="{F9D976AB-8123-4851-86C5-36B61F2C51C3}"/>
    <cellStyle name="Денежный 4 6 5" xfId="395" xr:uid="{D6293CF6-6974-43C5-9130-6A8B2BF9737A}"/>
    <cellStyle name="Денежный 4 6 5 2" xfId="2956" xr:uid="{9FE242CC-2302-46D3-836A-FBF3A56562B7}"/>
    <cellStyle name="Денежный 4 6 6" xfId="1237" xr:uid="{42B73346-7A41-47AE-A433-92508EA8DC86}"/>
    <cellStyle name="Денежный 4 6 7" xfId="2848" xr:uid="{0E86D1B5-5894-4B90-AE51-DE3725F4266C}"/>
    <cellStyle name="Денежный 4 7" xfId="254" xr:uid="{07978B46-3DBB-4EC0-BD0A-71D4248D98A8}"/>
    <cellStyle name="Денежный 4 7 2" xfId="299" xr:uid="{CB5495DC-C6B8-4F7E-A34B-6935639695BE}"/>
    <cellStyle name="Денежный 4 7 2 2" xfId="573" xr:uid="{C3D0002A-760E-44D9-AB0F-146252B9DD67}"/>
    <cellStyle name="Денежный 4 7 3" xfId="518" xr:uid="{9B6963EF-465B-4EE8-A5CD-5BCD171212B2}"/>
    <cellStyle name="Денежный 4 7 3 2" xfId="1624" xr:uid="{21E41DEA-1122-4100-8946-4D5A6DEE64B8}"/>
    <cellStyle name="Денежный 4 7 3 3" xfId="1525" xr:uid="{DE287B85-FBE4-44F2-817D-D3670B06D342}"/>
    <cellStyle name="Денежный 4 7 4" xfId="331" xr:uid="{65C195F9-568A-4BD5-A6C7-4955D0B8C7CF}"/>
    <cellStyle name="Денежный 4 7 4 2" xfId="2892" xr:uid="{C0C4E670-C375-4734-8CED-44AB7D26C8F9}"/>
    <cellStyle name="Денежный 4 7 5" xfId="2784" xr:uid="{20F25425-5E74-4FA8-B9BD-35A1D7E02EC5}"/>
    <cellStyle name="Денежный 4 8" xfId="146" xr:uid="{B57A4854-60BE-4234-9764-9E54302467EF}"/>
    <cellStyle name="Денежный 4 8 10" xfId="539" xr:uid="{70237B62-7B98-4B96-9E1D-EAD5622CD899}"/>
    <cellStyle name="Денежный 4 8 2" xfId="549" xr:uid="{F75B7AE3-B8A1-4F8F-8731-6F5E0C88482B}"/>
    <cellStyle name="Денежный 4 8 3" xfId="723" xr:uid="{A76FAAB5-341C-419B-8598-B16C8277B3B0}"/>
    <cellStyle name="Денежный 4 8 3 2" xfId="1103" xr:uid="{D84AFF67-AE83-4BD2-B264-3E5C29983892}"/>
    <cellStyle name="Денежный 4 8 3 2 2" xfId="2715" xr:uid="{F4226318-818C-4B9D-A8CE-FB1AC8820908}"/>
    <cellStyle name="Денежный 4 8 3 2 3" xfId="2154" xr:uid="{C6D2FCE8-3203-4E7E-BB22-D82D133CB19D}"/>
    <cellStyle name="Денежный 4 8 3 2 4" xfId="3676" xr:uid="{3E3E5B6A-39BB-4234-AB5A-FBB929CB5CEE}"/>
    <cellStyle name="Денежный 4 8 3 3" xfId="1773" xr:uid="{37D58799-92C1-4043-9E6B-1D4747E297D7}"/>
    <cellStyle name="Денежный 4 8 3 3 2" xfId="2531" xr:uid="{DF347765-C8BA-41D7-8550-21DB3DCCAC0A}"/>
    <cellStyle name="Денежный 4 8 3 4" xfId="2347" xr:uid="{43A4AE43-2E9B-41D8-B6C4-3DFEF4351B02}"/>
    <cellStyle name="Денежный 4 8 3 5" xfId="1484" xr:uid="{8E0D259D-14B9-4258-9C12-342C4FB3C6D9}"/>
    <cellStyle name="Денежный 4 8 3 6" xfId="3295" xr:uid="{34AB6BCF-9632-49CA-A81E-1CD230509BA1}"/>
    <cellStyle name="Денежный 4 8 4" xfId="661" xr:uid="{760C238D-626B-4D38-B2E7-50C063BBC1EE}"/>
    <cellStyle name="Денежный 4 8 4 2" xfId="1043" xr:uid="{167B4ADD-6AD3-4EC3-838F-E3BE84FA997B}"/>
    <cellStyle name="Денежный 4 8 4 2 2" xfId="2655" xr:uid="{0E99C77E-5B57-4DC0-91E2-6C4209C1EF48}"/>
    <cellStyle name="Денежный 4 8 4 2 3" xfId="2094" xr:uid="{7872073E-D58B-41F7-999B-7E86455AAD76}"/>
    <cellStyle name="Денежный 4 8 4 2 4" xfId="3616" xr:uid="{4E309657-FF89-4FC2-BB3A-BC62B139C270}"/>
    <cellStyle name="Денежный 4 8 4 3" xfId="1713" xr:uid="{AF073F56-DE3F-48DC-8EF9-D1A904AB4314}"/>
    <cellStyle name="Денежный 4 8 4 3 2" xfId="2471" xr:uid="{EF7D11F1-2642-4515-ABD2-42F3B881E325}"/>
    <cellStyle name="Денежный 4 8 4 4" xfId="2287" xr:uid="{68F3AB86-D021-41CB-9F46-CCFD7FC67715}"/>
    <cellStyle name="Денежный 4 8 4 5" xfId="1424" xr:uid="{4B6926E3-AD2A-4386-AACA-CB00C1C3614D}"/>
    <cellStyle name="Денежный 4 8 4 6" xfId="3235" xr:uid="{FA6E6331-BD70-4A0D-9498-3CBC0D8D4E3C}"/>
    <cellStyle name="Денежный 4 8 5" xfId="891" xr:uid="{1F30808D-9EB8-4204-A389-522778684A82}"/>
    <cellStyle name="Денежный 4 8 5 2" xfId="2591" xr:uid="{F08429F2-FEAB-484C-B4D0-EF69C2A2D981}"/>
    <cellStyle name="Денежный 4 8 5 3" xfId="1942" xr:uid="{7FC56229-50B1-4733-94FB-31602D85C894}"/>
    <cellStyle name="Денежный 4 8 5 4" xfId="3464" xr:uid="{49F764BF-E293-4DED-8683-8DA4392AFA73}"/>
    <cellStyle name="Денежный 4 8 6" xfId="1639" xr:uid="{F706CAFE-7F9F-4F74-8877-2B357D1A1083}"/>
    <cellStyle name="Денежный 4 8 6 2" xfId="2407" xr:uid="{3502E31F-B0E4-44A1-AC45-3A5459B1C8A0}"/>
    <cellStyle name="Денежный 4 8 7" xfId="2223" xr:uid="{D0E4EB2C-E0F6-4E15-B402-0E1F002AC838}"/>
    <cellStyle name="Денежный 4 8 8" xfId="1272" xr:uid="{13BC22E2-32D8-471B-AB2F-69B64B6DEDAC}"/>
    <cellStyle name="Денежный 4 8 9" xfId="3083" xr:uid="{3398E135-3DEB-480C-8A00-C1DDA80AC952}"/>
    <cellStyle name="Денежный 4 9" xfId="627" xr:uid="{065877C6-B26D-47A7-8C78-A4731FE4BAFE}"/>
    <cellStyle name="Денежный 5" xfId="149" xr:uid="{72EBCBA4-3DC3-440E-829A-17B145A8771E}"/>
    <cellStyle name="Денежный 5 10" xfId="1538" xr:uid="{1AA803C1-BD2C-45AE-96D2-865BDD8690D2}"/>
    <cellStyle name="Денежный 5 10 2" xfId="2387" xr:uid="{476F3E8F-9E43-4501-A6B8-998D9E30E6D3}"/>
    <cellStyle name="Денежный 5 11" xfId="2196" xr:uid="{FDC4DB0F-5863-4A72-BC04-23C018FC0E71}"/>
    <cellStyle name="Денежный 5 12" xfId="1153" xr:uid="{71A0D260-10F9-4F64-888E-13CF3DCC7C0C}"/>
    <cellStyle name="Денежный 5 13" xfId="2976" xr:uid="{11FBD02A-43DD-457F-911D-234B71901304}"/>
    <cellStyle name="Денежный 5 14" xfId="416" xr:uid="{BA6D81A2-DF9C-4A56-B353-1F2446E66A0E}"/>
    <cellStyle name="Денежный 5 2" xfId="257" xr:uid="{F27D9C94-A5B0-43F9-BEBA-0C2E309E4F5E}"/>
    <cellStyle name="Денежный 5 2 10" xfId="3068" xr:uid="{0C59AAB1-2E38-4A5B-BA4B-688CEA8E0E41}"/>
    <cellStyle name="Денежный 5 2 11" xfId="520" xr:uid="{622784B0-9316-40EF-9922-DB6FD2F6C2CD}"/>
    <cellStyle name="Денежный 5 2 2" xfId="289" xr:uid="{7DC69B90-8DFE-4286-9218-E35EF700E78C}"/>
    <cellStyle name="Денежный 5 2 2 2" xfId="735" xr:uid="{5AD1BD34-4718-4BB8-A98E-314D2238AA7D}"/>
    <cellStyle name="Денежный 5 2 2 2 2" xfId="1115" xr:uid="{CBE1EF9B-DCD2-403E-864F-44B3933FADFE}"/>
    <cellStyle name="Денежный 5 2 2 2 2 2" xfId="2727" xr:uid="{AC902D5E-8140-4F76-9E12-652B4DBFBAE8}"/>
    <cellStyle name="Денежный 5 2 2 2 2 3" xfId="2166" xr:uid="{79A2DAD2-09AA-4F38-94BF-D5C40F4D36D5}"/>
    <cellStyle name="Денежный 5 2 2 2 2 4" xfId="3688" xr:uid="{33B04568-C789-4F4C-8F2C-1463988ECCFE}"/>
    <cellStyle name="Денежный 5 2 2 2 3" xfId="1785" xr:uid="{7EDA34D2-D2B6-4F44-932A-369F57FC70F1}"/>
    <cellStyle name="Денежный 5 2 2 2 3 2" xfId="2543" xr:uid="{9D4B931C-4F76-443A-B272-987FA7DF9AB4}"/>
    <cellStyle name="Денежный 5 2 2 2 4" xfId="2359" xr:uid="{90C85EF4-38BE-4BED-81E4-164546AF9285}"/>
    <cellStyle name="Денежный 5 2 2 2 5" xfId="1496" xr:uid="{FC24FDB8-D3A3-486C-92A6-BD379D933944}"/>
    <cellStyle name="Денежный 5 2 2 2 6" xfId="3307" xr:uid="{A9A3E13B-8AD0-478A-B7E5-178DA4BCBB19}"/>
    <cellStyle name="Денежный 5 2 2 3" xfId="675" xr:uid="{9B4E3DE0-0E77-423A-A4E8-CE689C029343}"/>
    <cellStyle name="Денежный 5 2 2 3 2" xfId="1055" xr:uid="{B60CD037-627F-4CFB-A1B1-CC20FC7D947C}"/>
    <cellStyle name="Денежный 5 2 2 3 2 2" xfId="2667" xr:uid="{D166D7E5-DFB8-48AD-AA60-3CBC3A1C968E}"/>
    <cellStyle name="Денежный 5 2 2 3 2 3" xfId="2106" xr:uid="{05CB4B45-AB9D-48D6-8481-DFDEBCEEE356}"/>
    <cellStyle name="Денежный 5 2 2 3 2 4" xfId="3628" xr:uid="{2897B422-8308-4AA4-A4AB-A7662E5BC4A4}"/>
    <cellStyle name="Денежный 5 2 2 3 3" xfId="1725" xr:uid="{C4BB041C-4E57-4CDA-85C2-C1D598FA7CF4}"/>
    <cellStyle name="Денежный 5 2 2 3 3 2" xfId="2483" xr:uid="{B2F5AE77-ECA2-4FDA-AAF2-DD4FA6F1D4E4}"/>
    <cellStyle name="Денежный 5 2 2 3 4" xfId="2299" xr:uid="{BB9AF2CD-EA99-4346-A434-70E7CE0CE29F}"/>
    <cellStyle name="Денежный 5 2 2 3 5" xfId="1436" xr:uid="{4CEDFF3B-3690-48A5-9E40-D6F49D90C4E6}"/>
    <cellStyle name="Денежный 5 2 2 3 6" xfId="3247" xr:uid="{3885CCAC-C7A0-4E0E-999C-4B4CC4A1D4E6}"/>
    <cellStyle name="Денежный 5 2 2 4" xfId="984" xr:uid="{BEAD2EF6-3BB3-47B9-8CFC-46983984C988}"/>
    <cellStyle name="Денежный 5 2 2 4 2" xfId="2603" xr:uid="{E31B636B-073B-42A9-826D-B80286470215}"/>
    <cellStyle name="Денежный 5 2 2 4 3" xfId="2035" xr:uid="{E29CFE81-2693-40E6-8A04-816E0574C5A5}"/>
    <cellStyle name="Денежный 5 2 2 4 4" xfId="3557" xr:uid="{3BEA42AE-0CF8-4FF3-B680-66DA2888ECD6}"/>
    <cellStyle name="Денежный 5 2 2 5" xfId="1658" xr:uid="{97344737-70B4-4142-A8B9-6D4A1D74787D}"/>
    <cellStyle name="Денежный 5 2 2 5 2" xfId="2419" xr:uid="{520C3493-B658-4FAD-95D9-0B8715DF6545}"/>
    <cellStyle name="Денежный 5 2 2 6" xfId="2235" xr:uid="{BA9DAB6E-8A9A-4ABA-8708-4956F18AF822}"/>
    <cellStyle name="Денежный 5 2 2 7" xfId="1365" xr:uid="{F1196EA2-BD16-4AB4-8E06-82EF991BE1A2}"/>
    <cellStyle name="Денежный 5 2 2 8" xfId="3176" xr:uid="{5A2DD29F-5E10-444B-844A-998BC9C933B7}"/>
    <cellStyle name="Денежный 5 2 2 9" xfId="574" xr:uid="{99579775-705E-451E-A505-A720026B143C}"/>
    <cellStyle name="Денежный 5 2 3" xfId="599" xr:uid="{403BAE23-C267-4FEE-899B-60C5B0D6F2CB}"/>
    <cellStyle name="Денежный 5 2 3 2" xfId="754" xr:uid="{CC281EEE-93CA-4DF5-AED5-4060C03BD729}"/>
    <cellStyle name="Денежный 5 2 3 2 2" xfId="1134" xr:uid="{092F22CF-4E78-4D7D-B73B-2865AFD2A09C}"/>
    <cellStyle name="Денежный 5 2 3 2 2 2" xfId="2746" xr:uid="{62ACE804-6469-4402-8C61-A2F132B565B9}"/>
    <cellStyle name="Денежный 5 2 3 2 2 3" xfId="2185" xr:uid="{C0E4D833-F00A-4AB4-8027-7F462F39B8AA}"/>
    <cellStyle name="Денежный 5 2 3 2 2 4" xfId="3707" xr:uid="{B426C7BB-2491-42B3-84B1-F2C71AC9042C}"/>
    <cellStyle name="Денежный 5 2 3 2 3" xfId="1804" xr:uid="{5409E45C-A803-4ECC-A682-ED06E541D542}"/>
    <cellStyle name="Денежный 5 2 3 2 3 2" xfId="2562" xr:uid="{5122D65C-A3BA-436D-956E-555534A1A89E}"/>
    <cellStyle name="Денежный 5 2 3 2 4" xfId="2378" xr:uid="{1A95DA94-6981-4D4B-8C25-90DC60192E22}"/>
    <cellStyle name="Денежный 5 2 3 2 5" xfId="1515" xr:uid="{37E0F60F-44E5-480E-BBFB-D868B3AADC3D}"/>
    <cellStyle name="Денежный 5 2 3 2 6" xfId="3326" xr:uid="{F2AFB3D9-CEC2-4CF4-9F68-5CB39502FDAC}"/>
    <cellStyle name="Денежный 5 2 3 3" xfId="694" xr:uid="{D2476100-DD6A-4376-8811-06C77CC27BBC}"/>
    <cellStyle name="Денежный 5 2 3 3 2" xfId="1074" xr:uid="{6D1DA24A-8A6F-4F51-A366-D80C3BC5EA72}"/>
    <cellStyle name="Денежный 5 2 3 3 2 2" xfId="2686" xr:uid="{E5A11FB3-1FA9-4E13-A689-5FA495613AF2}"/>
    <cellStyle name="Денежный 5 2 3 3 2 3" xfId="2125" xr:uid="{353CBD9B-AE4A-4DFA-A2EB-16B19A8C2D03}"/>
    <cellStyle name="Денежный 5 2 3 3 2 4" xfId="3647" xr:uid="{987CAA03-0892-4975-B170-50F790330401}"/>
    <cellStyle name="Денежный 5 2 3 3 3" xfId="1744" xr:uid="{595A8F96-33D7-4B67-A852-8DB93B98C68F}"/>
    <cellStyle name="Денежный 5 2 3 3 3 2" xfId="2502" xr:uid="{B382BF2A-7713-493C-B686-4C71B2974BFD}"/>
    <cellStyle name="Денежный 5 2 3 3 4" xfId="2318" xr:uid="{AD10BEAA-9F7A-4E36-B9D9-EC36963948FE}"/>
    <cellStyle name="Денежный 5 2 3 3 5" xfId="1455" xr:uid="{42762EEE-F22D-4192-9237-284852F8AF8B}"/>
    <cellStyle name="Денежный 5 2 3 3 6" xfId="3266" xr:uid="{3153054D-ACE1-43DF-93BB-07CE0CDB8D1A}"/>
    <cellStyle name="Денежный 5 2 3 4" xfId="1003" xr:uid="{4BD04D0F-1749-4841-AD62-035A8F3AF57E}"/>
    <cellStyle name="Денежный 5 2 3 4 2" xfId="2622" xr:uid="{821AF737-2F87-4F6D-9586-63267E747735}"/>
    <cellStyle name="Денежный 5 2 3 4 3" xfId="2054" xr:uid="{19779C37-6145-4F18-9059-14EC73524C75}"/>
    <cellStyle name="Денежный 5 2 3 4 4" xfId="3576" xr:uid="{31E782C6-0D88-4553-AA22-B843629AED79}"/>
    <cellStyle name="Денежный 5 2 3 5" xfId="1677" xr:uid="{0DFD0AD4-D66D-426C-8136-174F31958ED6}"/>
    <cellStyle name="Денежный 5 2 3 5 2" xfId="2438" xr:uid="{B9A559FE-981A-4F4D-B910-77CFED4F3575}"/>
    <cellStyle name="Денежный 5 2 3 6" xfId="2254" xr:uid="{C3456852-3E68-4FF1-8D0C-05E2E26F8465}"/>
    <cellStyle name="Денежный 5 2 3 7" xfId="1384" xr:uid="{2AAB2BAE-9816-4A25-A8AE-4F983A12B900}"/>
    <cellStyle name="Денежный 5 2 3 8" xfId="3195" xr:uid="{CFB99198-3FF2-4685-BB0E-6F493173DE57}"/>
    <cellStyle name="Денежный 5 2 4" xfId="711" xr:uid="{C8F8D989-91D0-4A5D-8A51-52FA373A9B61}"/>
    <cellStyle name="Денежный 5 2 4 2" xfId="1091" xr:uid="{95BE7C55-E5AB-4995-9B1D-B3FEA4C9728B}"/>
    <cellStyle name="Денежный 5 2 4 2 2" xfId="2703" xr:uid="{EE266E54-DA71-418F-A9B5-F52A78E4A281}"/>
    <cellStyle name="Денежный 5 2 4 2 3" xfId="2142" xr:uid="{59E7C7B3-37AD-4AA9-B236-F71354600227}"/>
    <cellStyle name="Денежный 5 2 4 2 4" xfId="3664" xr:uid="{47C32B87-54C5-4AC3-B876-D2B693C4E578}"/>
    <cellStyle name="Денежный 5 2 4 3" xfId="1761" xr:uid="{6873E8DF-0953-4262-8E18-EF97BCFC6539}"/>
    <cellStyle name="Денежный 5 2 4 3 2" xfId="2519" xr:uid="{7724ABCF-F51E-42F3-8360-71E924AAE68B}"/>
    <cellStyle name="Денежный 5 2 4 4" xfId="2335" xr:uid="{A0993217-99EC-4D5F-9CBE-D644585E8244}"/>
    <cellStyle name="Денежный 5 2 4 5" xfId="1472" xr:uid="{EB20ABDA-C925-4DE6-BB9D-7208CB36B73F}"/>
    <cellStyle name="Денежный 5 2 4 6" xfId="3283" xr:uid="{45E9D73D-4902-4159-9A14-C0CB616C7B92}"/>
    <cellStyle name="Денежный 5 2 5" xfId="649" xr:uid="{2D39695A-42C7-41F4-AD8F-59F6A8FDE0F1}"/>
    <cellStyle name="Денежный 5 2 5 2" xfId="1031" xr:uid="{6C6F0E7A-3422-49F7-8FB9-2AF3AF4BF16D}"/>
    <cellStyle name="Денежный 5 2 5 2 2" xfId="2643" xr:uid="{5C53DEA2-2360-4ACE-BDC0-91A72D1E7549}"/>
    <cellStyle name="Денежный 5 2 5 2 3" xfId="2082" xr:uid="{E34278FA-4A37-45E5-99E9-D9615FA3E09D}"/>
    <cellStyle name="Денежный 5 2 5 2 4" xfId="3604" xr:uid="{EB67F23A-EBCF-4C6F-BDDD-95276A28703C}"/>
    <cellStyle name="Денежный 5 2 5 3" xfId="1701" xr:uid="{CC981B88-C360-4050-B732-60AE0BEFE538}"/>
    <cellStyle name="Денежный 5 2 5 3 2" xfId="2459" xr:uid="{23336A9D-A147-4926-AA05-CC3048D0C883}"/>
    <cellStyle name="Денежный 5 2 5 4" xfId="2275" xr:uid="{09616D2B-C3DA-4CEC-8836-0727486E2AF9}"/>
    <cellStyle name="Денежный 5 2 5 5" xfId="1412" xr:uid="{AFF3396C-4D62-4EA7-AD47-8639A080F3A8}"/>
    <cellStyle name="Денежный 5 2 5 6" xfId="3223" xr:uid="{9E592DB2-6601-4716-96E3-08CA74221CF7}"/>
    <cellStyle name="Денежный 5 2 6" xfId="876" xr:uid="{86F431AF-6D06-4963-AD5A-18AEE0DA0EE9}"/>
    <cellStyle name="Денежный 5 2 6 2" xfId="2579" xr:uid="{259265D8-0110-4875-A2BB-720E91AC7DCD}"/>
    <cellStyle name="Денежный 5 2 6 3" xfId="1927" xr:uid="{6BD79F56-0C5E-403F-8C0A-DE37671CCE8B}"/>
    <cellStyle name="Денежный 5 2 6 4" xfId="3449" xr:uid="{DF95D876-806E-4524-AB2D-3D17CA3A25F5}"/>
    <cellStyle name="Денежный 5 2 7" xfId="1626" xr:uid="{5DE457EC-FB98-4704-9A4E-9D924FEC1AC8}"/>
    <cellStyle name="Денежный 5 2 7 2" xfId="2395" xr:uid="{0241A0CC-2BDB-48A6-80E7-E311DADF3630}"/>
    <cellStyle name="Денежный 5 2 8" xfId="2211" xr:uid="{DAE61D8C-D65D-4085-A61A-D2517A73920F}"/>
    <cellStyle name="Денежный 5 2 9" xfId="1257" xr:uid="{5972E0F2-1D6A-490E-B992-84FAA1606BFC}"/>
    <cellStyle name="Денежный 5 3" xfId="281" xr:uid="{24A7F1EA-74C2-4151-90F9-65861EA0DB8D}"/>
    <cellStyle name="Денежный 5 3 2" xfId="724" xr:uid="{AE2E5042-FE6A-43E9-A325-E191857B7A43}"/>
    <cellStyle name="Денежный 5 3 2 2" xfId="1104" xr:uid="{A4927E0F-7E0A-4861-BBA4-C8C8442BB876}"/>
    <cellStyle name="Денежный 5 3 2 2 2" xfId="2716" xr:uid="{97400A68-7C6F-4ADB-88A8-BE195245F6F4}"/>
    <cellStyle name="Денежный 5 3 2 2 3" xfId="2155" xr:uid="{44D4E383-D08A-4709-85C0-815DEA4B2555}"/>
    <cellStyle name="Денежный 5 3 2 2 4" xfId="3677" xr:uid="{CA73A291-97C9-416C-AC10-B2EDDD5BB286}"/>
    <cellStyle name="Денежный 5 3 2 3" xfId="1774" xr:uid="{EE2873F1-AC37-4A01-A891-8B96D9FC1D76}"/>
    <cellStyle name="Денежный 5 3 2 3 2" xfId="2532" xr:uid="{537DB044-4A81-42FB-9DEA-F268EF60B303}"/>
    <cellStyle name="Денежный 5 3 2 4" xfId="2348" xr:uid="{84851054-0403-4D1B-A79A-093EB0735B76}"/>
    <cellStyle name="Денежный 5 3 2 5" xfId="1485" xr:uid="{05AB593C-BA45-4C89-B9FC-58EDC39FBF05}"/>
    <cellStyle name="Денежный 5 3 2 6" xfId="3296" xr:uid="{E69D31CA-9A3A-4329-A8FC-82B74B93F215}"/>
    <cellStyle name="Денежный 5 3 3" xfId="662" xr:uid="{A3BF452F-5051-4B84-8DDA-57C3B871F4A6}"/>
    <cellStyle name="Денежный 5 3 3 2" xfId="1044" xr:uid="{FD01E75E-9B1E-47CB-B3AA-725D966F8FB5}"/>
    <cellStyle name="Денежный 5 3 3 2 2" xfId="2656" xr:uid="{CEE4EFC1-7FB5-4E32-B9DA-FC762CAD8E3B}"/>
    <cellStyle name="Денежный 5 3 3 2 3" xfId="2095" xr:uid="{E3709B65-9C39-4D99-B111-AD58B2FC5015}"/>
    <cellStyle name="Денежный 5 3 3 2 4" xfId="3617" xr:uid="{91FDAB80-0143-4E7C-B9CA-9F21E92E060F}"/>
    <cellStyle name="Денежный 5 3 3 3" xfId="1714" xr:uid="{02C88AD9-C4ED-4F20-AC01-CD884E1436C1}"/>
    <cellStyle name="Денежный 5 3 3 3 2" xfId="2472" xr:uid="{E75F14FE-89B2-46A0-BF0D-6ED59683FB31}"/>
    <cellStyle name="Денежный 5 3 3 4" xfId="2288" xr:uid="{E6F3E5C8-5588-4805-B129-B5766091C71A}"/>
    <cellStyle name="Денежный 5 3 3 5" xfId="1425" xr:uid="{BB34110F-AB51-4F18-8824-D4E331510B1E}"/>
    <cellStyle name="Денежный 5 3 3 6" xfId="3236" xr:uid="{C6B460E3-9474-4109-8BA1-7598DEF3FE14}"/>
    <cellStyle name="Денежный 5 3 4" xfId="892" xr:uid="{901F526A-2790-4D15-ACC9-02C1CD15A47A}"/>
    <cellStyle name="Денежный 5 3 4 2" xfId="2592" xr:uid="{6243AAA5-3592-4C5A-A692-24FDAE8F2530}"/>
    <cellStyle name="Денежный 5 3 4 3" xfId="1943" xr:uid="{498E727B-A7A7-4B54-B923-5755BF554F59}"/>
    <cellStyle name="Денежный 5 3 4 4" xfId="3465" xr:uid="{4517E53C-DE58-4B7C-A7BA-91AF6339547C}"/>
    <cellStyle name="Денежный 5 3 5" xfId="1640" xr:uid="{8A08D9D1-623E-49CC-B1D0-61E5B0D6473B}"/>
    <cellStyle name="Денежный 5 3 5 2" xfId="2408" xr:uid="{381F46CA-DC60-4C0B-9346-6BF69FF20792}"/>
    <cellStyle name="Денежный 5 3 6" xfId="2224" xr:uid="{855501B6-17B1-496D-9161-85C3D027112D}"/>
    <cellStyle name="Денежный 5 3 7" xfId="1273" xr:uid="{DCFD4EFA-E2FD-410E-AC8A-52EDC16AE636}"/>
    <cellStyle name="Денежный 5 3 8" xfId="3084" xr:uid="{2FD48109-8AA1-44EC-A3A0-AB0CCCF04D2E}"/>
    <cellStyle name="Денежный 5 3 9" xfId="540" xr:uid="{1DF808E4-6C59-4B73-B470-59197479E1F0}"/>
    <cellStyle name="Денежный 5 4" xfId="550" xr:uid="{8B94C202-048B-4547-B799-7E36C0412FF9}"/>
    <cellStyle name="Денежный 5 4 2" xfId="727" xr:uid="{8F850CA6-5650-4D65-91FE-5207791232C2}"/>
    <cellStyle name="Денежный 5 4 2 2" xfId="1107" xr:uid="{62CC18D3-494D-41B9-938D-B3CEDA576552}"/>
    <cellStyle name="Денежный 5 4 2 2 2" xfId="2719" xr:uid="{D0102877-94E4-432C-A556-C711C8651D49}"/>
    <cellStyle name="Денежный 5 4 2 2 3" xfId="2158" xr:uid="{47FE76C5-3F3B-43D3-B278-3535A5DD7F4B}"/>
    <cellStyle name="Денежный 5 4 2 2 4" xfId="3680" xr:uid="{22C4A54E-C021-46D3-92C2-103E9F0B1944}"/>
    <cellStyle name="Денежный 5 4 2 3" xfId="1777" xr:uid="{397058A7-11D7-4A53-9CC6-E74971251A3E}"/>
    <cellStyle name="Денежный 5 4 2 3 2" xfId="2535" xr:uid="{1ABBE237-4304-4DED-953A-9D19971449E7}"/>
    <cellStyle name="Денежный 5 4 2 4" xfId="2351" xr:uid="{23943E27-03FD-4D0F-B4F9-5907C3561FEA}"/>
    <cellStyle name="Денежный 5 4 2 5" xfId="1488" xr:uid="{BFDBF71A-E232-420D-B5D0-CE91EDF64B8A}"/>
    <cellStyle name="Денежный 5 4 2 6" xfId="3299" xr:uid="{2DEC2CF4-6762-4323-83C2-8F4AAE1504C1}"/>
    <cellStyle name="Денежный 5 4 3" xfId="666" xr:uid="{6F0BA539-4DE1-4C7C-A3E6-411F12A15471}"/>
    <cellStyle name="Денежный 5 4 3 2" xfId="1047" xr:uid="{4591094F-7FFC-4657-A380-2ADE77DFF9C0}"/>
    <cellStyle name="Денежный 5 4 3 2 2" xfId="2659" xr:uid="{9F6665A1-0576-4637-BA1E-3B166666D117}"/>
    <cellStyle name="Денежный 5 4 3 2 3" xfId="2098" xr:uid="{CC6A9CEC-9ECD-4123-8129-8F2529212A31}"/>
    <cellStyle name="Денежный 5 4 3 2 4" xfId="3620" xr:uid="{2B6F9D36-ED8E-47BC-9ED5-667CF064753F}"/>
    <cellStyle name="Денежный 5 4 3 3" xfId="1717" xr:uid="{1C2CEEC0-7E99-4B1C-A561-F2202F363AD4}"/>
    <cellStyle name="Денежный 5 4 3 3 2" xfId="2475" xr:uid="{C8C63E44-23C0-486C-AD98-51FA68ACD2E7}"/>
    <cellStyle name="Денежный 5 4 3 4" xfId="2291" xr:uid="{C1B8A5E8-23FF-47D8-B7B9-0CF0468CF212}"/>
    <cellStyle name="Денежный 5 4 3 5" xfId="1428" xr:uid="{A6156693-8A46-48EF-8021-1F9D67283813}"/>
    <cellStyle name="Денежный 5 4 3 6" xfId="3239" xr:uid="{B31D3106-B64E-4674-A0B8-2DCDDCF5D735}"/>
    <cellStyle name="Денежный 5 4 4" xfId="904" xr:uid="{C874A079-29D3-49FA-84C6-AC1D926C0217}"/>
    <cellStyle name="Денежный 5 4 4 2" xfId="2595" xr:uid="{078912B0-F8A7-49E0-80A2-34458A3F30DB}"/>
    <cellStyle name="Денежный 5 4 4 3" xfId="1955" xr:uid="{4BE53875-4DC0-473F-A61B-6DFB867EF0C5}"/>
    <cellStyle name="Денежный 5 4 4 4" xfId="3477" xr:uid="{ED65B86D-9E60-4E92-A60B-E2ECB7E0B310}"/>
    <cellStyle name="Денежный 5 4 5" xfId="1644" xr:uid="{B80A8B51-4F6F-4E43-BFDE-026D625DFDEE}"/>
    <cellStyle name="Денежный 5 4 5 2" xfId="2411" xr:uid="{9E27FB7E-E1A8-4A8C-BDC9-04ABA58C96AE}"/>
    <cellStyle name="Денежный 5 4 6" xfId="2227" xr:uid="{C2172B70-93E9-4DE0-BC29-39D20D8E220A}"/>
    <cellStyle name="Денежный 5 4 7" xfId="1285" xr:uid="{FCAE6D69-7520-4401-B6CE-D032DC45E130}"/>
    <cellStyle name="Денежный 5 4 8" xfId="3096" xr:uid="{8348306A-3501-493D-B67C-F16BDD9CE66A}"/>
    <cellStyle name="Денежный 5 5" xfId="591" xr:uid="{0BD7E749-6B3B-4E37-8319-9553E81B088F}"/>
    <cellStyle name="Денежный 5 5 2" xfId="746" xr:uid="{56DA2829-1636-4A13-AB0C-6B9A0BF69F0F}"/>
    <cellStyle name="Денежный 5 5 2 2" xfId="1126" xr:uid="{FD919665-D4E1-4339-A504-5AE98CB7A71C}"/>
    <cellStyle name="Денежный 5 5 2 2 2" xfId="2738" xr:uid="{17FF13DF-2A06-4A61-9589-F7D5BB535AE9}"/>
    <cellStyle name="Денежный 5 5 2 2 3" xfId="2177" xr:uid="{7DC73A37-C7BE-4150-87BF-161998B31AF6}"/>
    <cellStyle name="Денежный 5 5 2 2 4" xfId="3699" xr:uid="{1136FAB5-2B87-4AF7-BDA7-5DFB32CA63A4}"/>
    <cellStyle name="Денежный 5 5 2 3" xfId="1796" xr:uid="{1A38DC9B-E15E-440E-AE56-59F93ABD4284}"/>
    <cellStyle name="Денежный 5 5 2 3 2" xfId="2554" xr:uid="{DCCA5E00-4097-49F6-8C30-33D1F675605E}"/>
    <cellStyle name="Денежный 5 5 2 4" xfId="2370" xr:uid="{3673AA3C-1A47-42D8-9CD1-9B3EF1F1BB18}"/>
    <cellStyle name="Денежный 5 5 2 5" xfId="1507" xr:uid="{DEE0E10C-284B-4925-96B0-946476DC8BE0}"/>
    <cellStyle name="Денежный 5 5 2 6" xfId="3318" xr:uid="{16862A45-5614-484B-A654-A1EE99560B5F}"/>
    <cellStyle name="Денежный 5 5 3" xfId="686" xr:uid="{3F61AF0C-866C-40AC-867A-24B1E61A8989}"/>
    <cellStyle name="Денежный 5 5 3 2" xfId="1066" xr:uid="{665F7E61-9FE3-46DE-9604-1A848902EE58}"/>
    <cellStyle name="Денежный 5 5 3 2 2" xfId="2678" xr:uid="{CA59535E-84B8-455D-835B-4F0E3268FC07}"/>
    <cellStyle name="Денежный 5 5 3 2 3" xfId="2117" xr:uid="{AF4499A1-FE85-4C58-A2B9-85392C57C4BC}"/>
    <cellStyle name="Денежный 5 5 3 2 4" xfId="3639" xr:uid="{D965DD01-8929-4FC1-94F5-57115A09AE08}"/>
    <cellStyle name="Денежный 5 5 3 3" xfId="1736" xr:uid="{63EBFF08-6EA7-44DA-9081-667C014183E4}"/>
    <cellStyle name="Денежный 5 5 3 3 2" xfId="2494" xr:uid="{9CC57054-5B58-48DE-BAF3-25A9147EA064}"/>
    <cellStyle name="Денежный 5 5 3 4" xfId="2310" xr:uid="{7D41A59D-1110-4896-BAF2-A9DC8806E7E1}"/>
    <cellStyle name="Денежный 5 5 3 5" xfId="1447" xr:uid="{8BD4B569-B6F4-49CB-9AFB-4E6DF9B01DA1}"/>
    <cellStyle name="Денежный 5 5 3 6" xfId="3258" xr:uid="{E1DEB4F8-A2DE-4EBE-BF4C-4F045FBF5415}"/>
    <cellStyle name="Денежный 5 5 4" xfId="995" xr:uid="{6D3A99F3-0CF9-4EF1-8972-1726C2F4D0EB}"/>
    <cellStyle name="Денежный 5 5 4 2" xfId="2614" xr:uid="{4BA9EEE4-5966-48FA-9893-DBEB366F06CE}"/>
    <cellStyle name="Денежный 5 5 4 3" xfId="2046" xr:uid="{E4240595-4410-4931-A4A8-BA10C2F921C7}"/>
    <cellStyle name="Денежный 5 5 4 4" xfId="3568" xr:uid="{877D32E2-3D8E-43A7-8E4C-3BB4F35588A6}"/>
    <cellStyle name="Денежный 5 5 5" xfId="1669" xr:uid="{F64ACDE8-E759-4E48-8F49-C4F0E5DEF8DF}"/>
    <cellStyle name="Денежный 5 5 5 2" xfId="2430" xr:uid="{F186D4D2-F2D1-4135-A9CB-73063ABB2906}"/>
    <cellStyle name="Денежный 5 5 6" xfId="2246" xr:uid="{26701CD3-8BB4-4008-A021-318AB07F2D76}"/>
    <cellStyle name="Денежный 5 5 7" xfId="1376" xr:uid="{CAD2C080-6C12-474D-BC92-7B420F54CBAA}"/>
    <cellStyle name="Денежный 5 5 8" xfId="3187" xr:uid="{A65C651E-848A-480E-B5CB-603220C3F189}"/>
    <cellStyle name="Денежный 5 6" xfId="629" xr:uid="{BB16FC98-4B70-42EC-A372-5299976E5BFA}"/>
    <cellStyle name="Денежный 5 6 2" xfId="1023" xr:uid="{DD012590-08D6-440A-8CD8-96F74D007F63}"/>
    <cellStyle name="Денежный 5 6 2 2" xfId="2635" xr:uid="{7932E32F-29F9-4BC9-BA47-60256DC96A91}"/>
    <cellStyle name="Денежный 5 6 2 3" xfId="2074" xr:uid="{8B5A8795-A4E8-42A6-8F88-A11B668D3655}"/>
    <cellStyle name="Денежный 5 6 2 4" xfId="3596" xr:uid="{F33BA549-B23F-4B6C-AE52-530F58B8084D}"/>
    <cellStyle name="Денежный 5 6 3" xfId="1693" xr:uid="{2792FE29-3A39-43EA-9421-B71662122E78}"/>
    <cellStyle name="Денежный 5 6 3 2" xfId="2451" xr:uid="{21A30F5C-E9E3-4D0D-A47E-3A416A46AA23}"/>
    <cellStyle name="Денежный 5 6 4" xfId="2267" xr:uid="{971D1A08-E63A-4234-9A6B-B0D38B623B52}"/>
    <cellStyle name="Денежный 5 6 5" xfId="1404" xr:uid="{293D2690-86E5-48FB-90C0-FA6F9E662DF5}"/>
    <cellStyle name="Денежный 5 6 6" xfId="3215" xr:uid="{AB07DBD8-7FF0-4BAD-AFD1-3AF5AF341011}"/>
    <cellStyle name="Денежный 5 7" xfId="703" xr:uid="{D274AB9F-3463-4441-B8F2-F0E41C0832A9}"/>
    <cellStyle name="Денежный 5 7 2" xfId="1083" xr:uid="{CA8170CE-55BB-458D-94F6-B88575EACB2E}"/>
    <cellStyle name="Денежный 5 7 2 2" xfId="2695" xr:uid="{FBDED96F-A491-4051-AE19-6A500095F219}"/>
    <cellStyle name="Денежный 5 7 2 3" xfId="2134" xr:uid="{29CDA3A9-4466-4FE0-B597-B8C290E9484B}"/>
    <cellStyle name="Денежный 5 7 2 4" xfId="3656" xr:uid="{A3C7DE31-3FD9-41FB-8BB1-0448B4B29BC6}"/>
    <cellStyle name="Денежный 5 7 3" xfId="1753" xr:uid="{C5A7CE54-B9AC-4BE5-9BF4-373215BA9626}"/>
    <cellStyle name="Денежный 5 7 3 2" xfId="2511" xr:uid="{4F62EF76-ECC2-413C-A5E8-C2E4D89EAC5F}"/>
    <cellStyle name="Денежный 5 7 4" xfId="2327" xr:uid="{8ECB7F22-F1FA-4F1D-A732-F0AA0BA207F2}"/>
    <cellStyle name="Денежный 5 7 5" xfId="1464" xr:uid="{FB755AE8-6E70-4C82-82A4-351A9187AF45}"/>
    <cellStyle name="Денежный 5 7 6" xfId="3275" xr:uid="{9A805FC6-65B7-4F4F-9CD7-0185B5ECFA99}"/>
    <cellStyle name="Денежный 5 8" xfId="612" xr:uid="{B4D2C665-E0A7-48A9-AA7A-CC83B789424B}"/>
    <cellStyle name="Денежный 5 9" xfId="772" xr:uid="{3D4EC7E0-15BC-49AC-AA27-310645A77FEE}"/>
    <cellStyle name="Денежный 5 9 2" xfId="2571" xr:uid="{12059530-99E9-428E-80DD-183B91D79246}"/>
    <cellStyle name="Денежный 5 9 3" xfId="1823" xr:uid="{7AABE3F0-0384-4B78-8885-3852C89AC5D0}"/>
    <cellStyle name="Денежный 5 9 4" xfId="3345" xr:uid="{B34ECE9D-A609-42A1-9DA9-F03DB7ED8288}"/>
    <cellStyle name="Денежный 6" xfId="150" xr:uid="{E6740F97-CFFF-46AF-961F-765125A1302E}"/>
    <cellStyle name="Денежный 6 10" xfId="2197" xr:uid="{A2604F5B-C315-4BD1-B698-1FCBA7614300}"/>
    <cellStyle name="Денежный 6 11" xfId="1154" xr:uid="{C58118A8-AEF1-4713-AB0E-E997F6EC07B0}"/>
    <cellStyle name="Денежный 6 12" xfId="2977" xr:uid="{9A1516B2-CFC7-4F7C-9888-945955784659}"/>
    <cellStyle name="Денежный 6 13" xfId="417" xr:uid="{65F68646-B5D0-49B9-9EB4-26163003F05F}"/>
    <cellStyle name="Денежный 6 2" xfId="258" xr:uid="{834C01A4-A253-4CED-8972-FA3D03B4F79E}"/>
    <cellStyle name="Денежный 6 2 10" xfId="3069" xr:uid="{A0230442-841C-48F7-9144-D8CA882418EB}"/>
    <cellStyle name="Денежный 6 2 11" xfId="521" xr:uid="{455FF86E-1900-4252-A493-AB6D5481DFDD}"/>
    <cellStyle name="Денежный 6 2 2" xfId="290" xr:uid="{CCABCBD6-E404-426D-A894-47D38FB65092}"/>
    <cellStyle name="Денежный 6 2 2 2" xfId="736" xr:uid="{9E379BBC-9DF9-4BC9-8C0A-2F499F329074}"/>
    <cellStyle name="Денежный 6 2 2 2 2" xfId="1116" xr:uid="{5AE16A82-F412-4A6D-A48A-ABC6ED6A6BBF}"/>
    <cellStyle name="Денежный 6 2 2 2 2 2" xfId="2728" xr:uid="{81D7B8EF-15D7-4C11-A101-3DBCE0B802C0}"/>
    <cellStyle name="Денежный 6 2 2 2 2 3" xfId="2167" xr:uid="{E01D8783-2C56-402B-B025-D83D1FBCED0C}"/>
    <cellStyle name="Денежный 6 2 2 2 2 4" xfId="3689" xr:uid="{4C0E2350-CCE3-4D4C-9530-5368DAC4AA01}"/>
    <cellStyle name="Денежный 6 2 2 2 3" xfId="1786" xr:uid="{A6FE7E41-996F-4B45-A019-9367484A88AF}"/>
    <cellStyle name="Денежный 6 2 2 2 3 2" xfId="2544" xr:uid="{B1DD2548-1639-4A75-9B2F-EB1B139F62C2}"/>
    <cellStyle name="Денежный 6 2 2 2 4" xfId="2360" xr:uid="{E7C44D60-15C1-4D8B-8215-BD744DC328C0}"/>
    <cellStyle name="Денежный 6 2 2 2 5" xfId="1497" xr:uid="{8158F5EF-474A-4F6B-9A22-41BBE77B5328}"/>
    <cellStyle name="Денежный 6 2 2 2 6" xfId="3308" xr:uid="{06285EF4-128D-48F5-B19C-552310C6CADB}"/>
    <cellStyle name="Денежный 6 2 2 3" xfId="676" xr:uid="{F43F86CD-3F2D-4C31-8F0D-C26DCA2E8739}"/>
    <cellStyle name="Денежный 6 2 2 3 2" xfId="1056" xr:uid="{74C8311C-EDAA-4732-87F0-E1CF172EE475}"/>
    <cellStyle name="Денежный 6 2 2 3 2 2" xfId="2668" xr:uid="{12CF57F5-25DA-463F-A226-A04FAE1556FA}"/>
    <cellStyle name="Денежный 6 2 2 3 2 3" xfId="2107" xr:uid="{A3A880EF-1497-47C1-8139-7A541796C31A}"/>
    <cellStyle name="Денежный 6 2 2 3 2 4" xfId="3629" xr:uid="{E673E1B4-8451-4A1B-BB9D-174D86525BCF}"/>
    <cellStyle name="Денежный 6 2 2 3 3" xfId="1726" xr:uid="{CA847BB0-A427-4DB3-8F0B-47E4B8D79C64}"/>
    <cellStyle name="Денежный 6 2 2 3 3 2" xfId="2484" xr:uid="{4C78AB62-362D-4877-AA83-C40E7A847B48}"/>
    <cellStyle name="Денежный 6 2 2 3 4" xfId="2300" xr:uid="{821FED94-3DAD-4299-B6BF-2C27E0583759}"/>
    <cellStyle name="Денежный 6 2 2 3 5" xfId="1437" xr:uid="{38D6F76A-3947-4759-A2B2-7B4B1C6CE3C8}"/>
    <cellStyle name="Денежный 6 2 2 3 6" xfId="3248" xr:uid="{37067F58-8743-4946-BD59-253DBC0BE48D}"/>
    <cellStyle name="Денежный 6 2 2 4" xfId="985" xr:uid="{FB20BF58-5A34-4595-BFA6-52298873EE2D}"/>
    <cellStyle name="Денежный 6 2 2 4 2" xfId="2604" xr:uid="{85E0496D-735C-43A6-832F-C8E3B69E2632}"/>
    <cellStyle name="Денежный 6 2 2 4 3" xfId="2036" xr:uid="{8DE5CE8A-F9A5-408F-A5A2-6250C60FC982}"/>
    <cellStyle name="Денежный 6 2 2 4 4" xfId="3558" xr:uid="{DB415FDB-7D85-460D-9CF6-1F79B98F7A1D}"/>
    <cellStyle name="Денежный 6 2 2 5" xfId="1659" xr:uid="{CC5A3CF5-C2A2-40CA-8533-ED6232689A03}"/>
    <cellStyle name="Денежный 6 2 2 5 2" xfId="2420" xr:uid="{76B8B206-F6F3-44F4-BEEC-F0212334546D}"/>
    <cellStyle name="Денежный 6 2 2 6" xfId="2236" xr:uid="{88C4D226-8E38-4041-BF9E-300CC0F9ED67}"/>
    <cellStyle name="Денежный 6 2 2 7" xfId="1366" xr:uid="{15C8F47F-2B47-4B8C-B8D9-8D62BEEDDB14}"/>
    <cellStyle name="Денежный 6 2 2 8" xfId="3177" xr:uid="{296AE061-EC5D-48F4-A658-D061410114BF}"/>
    <cellStyle name="Денежный 6 2 2 9" xfId="575" xr:uid="{FCCF9A94-E900-45AC-9F9A-FB1CCF74594C}"/>
    <cellStyle name="Денежный 6 2 3" xfId="600" xr:uid="{BC6FDD22-B38A-4D2B-932E-D72463B97402}"/>
    <cellStyle name="Денежный 6 2 3 2" xfId="755" xr:uid="{F13207B2-71D6-4EEB-8840-FB9F4237DE9D}"/>
    <cellStyle name="Денежный 6 2 3 2 2" xfId="1135" xr:uid="{CF9109C4-0D9E-471A-8D77-2FE502CCC0D6}"/>
    <cellStyle name="Денежный 6 2 3 2 2 2" xfId="2747" xr:uid="{72015135-4ED3-414E-ACA9-0C79AF5C056C}"/>
    <cellStyle name="Денежный 6 2 3 2 2 3" xfId="2186" xr:uid="{41A613F5-E5E4-4D4D-8806-E3589D84F374}"/>
    <cellStyle name="Денежный 6 2 3 2 2 4" xfId="3708" xr:uid="{9D59323A-CD2B-4FD3-93F8-E8EDAB6CC6DC}"/>
    <cellStyle name="Денежный 6 2 3 2 3" xfId="1805" xr:uid="{47A635FF-196D-49ED-81EB-65BBDBE21EDB}"/>
    <cellStyle name="Денежный 6 2 3 2 3 2" xfId="2563" xr:uid="{2FEA98ED-CABB-4153-97E5-E335CE262848}"/>
    <cellStyle name="Денежный 6 2 3 2 4" xfId="2379" xr:uid="{453EB3FD-E7E3-43F2-834C-C42BF2557B77}"/>
    <cellStyle name="Денежный 6 2 3 2 5" xfId="1516" xr:uid="{A017318A-9F57-45F0-B04F-A2CB03BF75D5}"/>
    <cellStyle name="Денежный 6 2 3 2 6" xfId="3327" xr:uid="{DAE2CA4C-5D2A-4EEA-A756-4275C46DBFAB}"/>
    <cellStyle name="Денежный 6 2 3 3" xfId="695" xr:uid="{DADF325F-3E06-4C5C-A250-D4163BD4B5CF}"/>
    <cellStyle name="Денежный 6 2 3 3 2" xfId="1075" xr:uid="{2F729522-C752-4FA1-9B6B-AC6A873E1EAC}"/>
    <cellStyle name="Денежный 6 2 3 3 2 2" xfId="2687" xr:uid="{9921F806-0013-441C-A0B6-5E275CA1DCC7}"/>
    <cellStyle name="Денежный 6 2 3 3 2 3" xfId="2126" xr:uid="{D07B366E-765D-446F-BCFA-AF6F26A069A6}"/>
    <cellStyle name="Денежный 6 2 3 3 2 4" xfId="3648" xr:uid="{62F2C4AD-4200-47A7-8031-D9378BF79D4F}"/>
    <cellStyle name="Денежный 6 2 3 3 3" xfId="1745" xr:uid="{272215A0-1539-4B41-A599-CFAE0D1E5C9F}"/>
    <cellStyle name="Денежный 6 2 3 3 3 2" xfId="2503" xr:uid="{3A87C212-D196-4395-B461-DD6BA9589B28}"/>
    <cellStyle name="Денежный 6 2 3 3 4" xfId="2319" xr:uid="{7884DF02-1B4A-4304-A0D8-2A10C2384611}"/>
    <cellStyle name="Денежный 6 2 3 3 5" xfId="1456" xr:uid="{2F5CC940-3397-4594-BD02-2F85DF4CB65F}"/>
    <cellStyle name="Денежный 6 2 3 3 6" xfId="3267" xr:uid="{EE4FFD36-C00D-4E69-AAB2-1A45BE6371A6}"/>
    <cellStyle name="Денежный 6 2 3 4" xfId="1004" xr:uid="{0C7FB4B6-1700-4DC9-A67E-243EBD97D60C}"/>
    <cellStyle name="Денежный 6 2 3 4 2" xfId="2623" xr:uid="{565A4002-24B9-4D1C-92A2-123B8B030423}"/>
    <cellStyle name="Денежный 6 2 3 4 3" xfId="2055" xr:uid="{274219D8-0FC6-45C5-B3CB-135E3BC2ACC3}"/>
    <cellStyle name="Денежный 6 2 3 4 4" xfId="3577" xr:uid="{5073F8F0-DD08-441E-A15E-DE7839722B21}"/>
    <cellStyle name="Денежный 6 2 3 5" xfId="1678" xr:uid="{6CBE3A77-0E03-43C8-AAE2-BCA59BFDD24B}"/>
    <cellStyle name="Денежный 6 2 3 5 2" xfId="2439" xr:uid="{E2DE5138-708C-46DE-BFB0-10B92B0BF963}"/>
    <cellStyle name="Денежный 6 2 3 6" xfId="2255" xr:uid="{F9143CD0-A586-493F-AF9B-65300DD11EFB}"/>
    <cellStyle name="Денежный 6 2 3 7" xfId="1385" xr:uid="{843350C7-52FA-4A97-9EE0-63A874E63809}"/>
    <cellStyle name="Денежный 6 2 3 8" xfId="3196" xr:uid="{DC27D75F-6657-49BE-9123-CFE2C22843D4}"/>
    <cellStyle name="Денежный 6 2 4" xfId="712" xr:uid="{ACA0E3D0-C3F0-44E0-B2C0-55476DCA11C0}"/>
    <cellStyle name="Денежный 6 2 4 2" xfId="1092" xr:uid="{5F8EDC42-4273-4586-BFC6-AB16525405DB}"/>
    <cellStyle name="Денежный 6 2 4 2 2" xfId="2704" xr:uid="{495879FB-7BC1-4F36-96A9-D809E5B99CDC}"/>
    <cellStyle name="Денежный 6 2 4 2 3" xfId="2143" xr:uid="{ADED7541-11B9-4D8D-841A-F7F88D1F0DA0}"/>
    <cellStyle name="Денежный 6 2 4 2 4" xfId="3665" xr:uid="{7AD5BD47-FDEC-4C17-8B81-68E47C0F34DF}"/>
    <cellStyle name="Денежный 6 2 4 3" xfId="1762" xr:uid="{3B7F5646-B40C-4D4F-92D1-A7BD75667D3C}"/>
    <cellStyle name="Денежный 6 2 4 3 2" xfId="2520" xr:uid="{03E69835-15E2-4E63-B786-5C2FDAD4711F}"/>
    <cellStyle name="Денежный 6 2 4 4" xfId="2336" xr:uid="{F3EF7D1A-CB89-445A-8301-074B005F7340}"/>
    <cellStyle name="Денежный 6 2 4 5" xfId="1473" xr:uid="{BBE70E29-3652-4D5A-B0D8-14557137C66A}"/>
    <cellStyle name="Денежный 6 2 4 6" xfId="3284" xr:uid="{B01163C8-1BE8-4BA6-9113-B5CE931FA028}"/>
    <cellStyle name="Денежный 6 2 5" xfId="650" xr:uid="{A641B2EA-4B73-4F08-864D-6819494276FB}"/>
    <cellStyle name="Денежный 6 2 5 2" xfId="1032" xr:uid="{1C9BDF2C-7C1A-44C6-958E-C2FB30C90F45}"/>
    <cellStyle name="Денежный 6 2 5 2 2" xfId="2644" xr:uid="{CC4BABC6-0961-49B7-9DC6-4ADAE8859CEC}"/>
    <cellStyle name="Денежный 6 2 5 2 3" xfId="2083" xr:uid="{0B780D3C-ADCD-422B-AD20-1EBB66481A47}"/>
    <cellStyle name="Денежный 6 2 5 2 4" xfId="3605" xr:uid="{3A1F1FC7-C7C7-4B72-8C32-CAA2029BA657}"/>
    <cellStyle name="Денежный 6 2 5 3" xfId="1702" xr:uid="{323990D2-5EA3-4CEE-BCA8-E13D8DDB1CB5}"/>
    <cellStyle name="Денежный 6 2 5 3 2" xfId="2460" xr:uid="{E9CA7A5E-16DB-437E-85AA-6A5803C39B01}"/>
    <cellStyle name="Денежный 6 2 5 4" xfId="2276" xr:uid="{F026E08F-3B1D-4C07-ABAB-9CF51AF9B9AC}"/>
    <cellStyle name="Денежный 6 2 5 5" xfId="1413" xr:uid="{9F671AB5-3ED4-44A9-AAEB-332F74C1915D}"/>
    <cellStyle name="Денежный 6 2 5 6" xfId="3224" xr:uid="{23BEF821-22FE-480B-B7F0-109300D6A924}"/>
    <cellStyle name="Денежный 6 2 6" xfId="877" xr:uid="{44F1C2DD-6422-418F-811B-54ED1F9B3C56}"/>
    <cellStyle name="Денежный 6 2 6 2" xfId="2580" xr:uid="{2923F431-3204-4F80-8B96-D51B25E708D8}"/>
    <cellStyle name="Денежный 6 2 6 3" xfId="1928" xr:uid="{E15111C2-60B3-4201-8A01-06E8B2E4B318}"/>
    <cellStyle name="Денежный 6 2 6 4" xfId="3450" xr:uid="{3844D490-EC24-46D6-ABD3-836F1FBC8AD6}"/>
    <cellStyle name="Денежный 6 2 7" xfId="1627" xr:uid="{8F0FB25E-E1E8-4C9B-946B-C2770B7C611A}"/>
    <cellStyle name="Денежный 6 2 7 2" xfId="2396" xr:uid="{023C045C-9530-4E6C-B4AC-D8AF7FDC6913}"/>
    <cellStyle name="Денежный 6 2 8" xfId="2212" xr:uid="{AD01D035-63DE-44A9-98E4-D1A90B438DC6}"/>
    <cellStyle name="Денежный 6 2 9" xfId="1258" xr:uid="{0C8EC8EF-EE03-46F7-B7A0-8BD07A97B8EE}"/>
    <cellStyle name="Денежный 6 3" xfId="282" xr:uid="{EBF94B5A-53B5-486C-BA4F-4A6B30FFF7A5}"/>
    <cellStyle name="Денежный 6 3 2" xfId="728" xr:uid="{B8CE318A-F00C-4FBD-A19B-F21BF3AAB346}"/>
    <cellStyle name="Денежный 6 3 2 2" xfId="1108" xr:uid="{0FC3F362-C47C-4B74-9FD6-0ABB9999AE0D}"/>
    <cellStyle name="Денежный 6 3 2 2 2" xfId="2720" xr:uid="{401187E5-9A38-4950-A401-17468567D5C0}"/>
    <cellStyle name="Денежный 6 3 2 2 3" xfId="2159" xr:uid="{07BE6B3C-7124-4F8A-99F3-6FDEB033ABF7}"/>
    <cellStyle name="Денежный 6 3 2 2 4" xfId="3681" xr:uid="{765E0882-0C78-49A1-9CB9-807A88E5C845}"/>
    <cellStyle name="Денежный 6 3 2 3" xfId="1778" xr:uid="{82906F68-F6DE-4ED9-A362-78CBF1872111}"/>
    <cellStyle name="Денежный 6 3 2 3 2" xfId="2536" xr:uid="{C773A1AC-BF96-4293-85C4-409B2C8D0899}"/>
    <cellStyle name="Денежный 6 3 2 4" xfId="2352" xr:uid="{22219225-7FB7-4FAA-9DCA-1DB082B3F4B9}"/>
    <cellStyle name="Денежный 6 3 2 5" xfId="1489" xr:uid="{1C795D33-901C-46B8-8241-AE2C1E40F9AF}"/>
    <cellStyle name="Денежный 6 3 2 6" xfId="3300" xr:uid="{2B21C470-E191-4A48-ABF1-F4E6AC2C74CF}"/>
    <cellStyle name="Денежный 6 3 3" xfId="667" xr:uid="{CD2374AF-E329-430B-98F2-4DAFD2279DA0}"/>
    <cellStyle name="Денежный 6 3 3 2" xfId="1048" xr:uid="{EDCD4D93-644E-4310-84D2-D156ABD42845}"/>
    <cellStyle name="Денежный 6 3 3 2 2" xfId="2660" xr:uid="{5BDEB4A4-2DA6-432C-879F-DD6B7F1F8EA7}"/>
    <cellStyle name="Денежный 6 3 3 2 3" xfId="2099" xr:uid="{E688511F-7809-4E32-8675-17021748DA33}"/>
    <cellStyle name="Денежный 6 3 3 2 4" xfId="3621" xr:uid="{92659B31-16F1-4E50-91CB-968DB3509A43}"/>
    <cellStyle name="Денежный 6 3 3 3" xfId="1718" xr:uid="{9AB031F3-E352-463F-A422-64F60F373085}"/>
    <cellStyle name="Денежный 6 3 3 3 2" xfId="2476" xr:uid="{CF11F8F5-9853-4273-956F-67CC2D42F260}"/>
    <cellStyle name="Денежный 6 3 3 4" xfId="2292" xr:uid="{4C5B223B-626A-4B39-84E0-E0D3D551D58B}"/>
    <cellStyle name="Денежный 6 3 3 5" xfId="1429" xr:uid="{8A698DC7-A58D-45D0-968B-612ADC079B51}"/>
    <cellStyle name="Денежный 6 3 3 6" xfId="3240" xr:uid="{F22347FC-CBFB-4703-BA5C-E6F768E2FC6D}"/>
    <cellStyle name="Денежный 6 3 4" xfId="905" xr:uid="{BCD068E3-7D5F-4FEF-944D-6F5318846350}"/>
    <cellStyle name="Денежный 6 3 4 2" xfId="2596" xr:uid="{F0E41904-5424-4773-B676-49BAB1332A47}"/>
    <cellStyle name="Денежный 6 3 4 3" xfId="1956" xr:uid="{399BD942-EE69-4C13-B211-61C95C758082}"/>
    <cellStyle name="Денежный 6 3 4 4" xfId="3478" xr:uid="{7BBB86CF-D054-4BF6-B177-4BF2E1BC11AB}"/>
    <cellStyle name="Денежный 6 3 5" xfId="1645" xr:uid="{F26B7A4A-8242-4ACF-ADB6-E4BB3A136A88}"/>
    <cellStyle name="Денежный 6 3 5 2" xfId="2412" xr:uid="{71B428D3-A846-4942-B714-A931B2224E60}"/>
    <cellStyle name="Денежный 6 3 6" xfId="2228" xr:uid="{D022DA20-FE6D-4723-A879-F0ADBF555904}"/>
    <cellStyle name="Денежный 6 3 7" xfId="1286" xr:uid="{EFAF3C73-4AC9-4FE8-A822-6EE9A0327A4C}"/>
    <cellStyle name="Денежный 6 3 8" xfId="3097" xr:uid="{4CAD8036-08A2-495C-A661-29010E89BA1A}"/>
    <cellStyle name="Денежный 6 3 9" xfId="551" xr:uid="{EC2A0F7F-2B27-4F7C-8866-91764A255FA2}"/>
    <cellStyle name="Денежный 6 4" xfId="592" xr:uid="{A4454D15-2285-4AF9-9A24-50ECB96F1982}"/>
    <cellStyle name="Денежный 6 4 2" xfId="747" xr:uid="{BEB208DA-7431-4C84-B916-94556C1D21F6}"/>
    <cellStyle name="Денежный 6 4 2 2" xfId="1127" xr:uid="{A11FF64F-3A76-447E-9E12-786483269519}"/>
    <cellStyle name="Денежный 6 4 2 2 2" xfId="2739" xr:uid="{6BCE238C-30C2-4A26-A0CA-5B70A2FD5503}"/>
    <cellStyle name="Денежный 6 4 2 2 3" xfId="2178" xr:uid="{AE53C915-F808-4459-A1E7-B595138CCB42}"/>
    <cellStyle name="Денежный 6 4 2 2 4" xfId="3700" xr:uid="{494E63D3-6BA3-45C0-B757-A75519727FF2}"/>
    <cellStyle name="Денежный 6 4 2 3" xfId="1797" xr:uid="{1F29E2CD-C44A-4F20-9164-136C52A22273}"/>
    <cellStyle name="Денежный 6 4 2 3 2" xfId="2555" xr:uid="{75F5FB66-38B0-48A3-84F7-9C3FFC6711B7}"/>
    <cellStyle name="Денежный 6 4 2 4" xfId="2371" xr:uid="{A8476A6D-1B18-4678-BBCC-01F98A496EC8}"/>
    <cellStyle name="Денежный 6 4 2 5" xfId="1508" xr:uid="{E69BD05B-CACC-4470-A42C-8C274079F878}"/>
    <cellStyle name="Денежный 6 4 2 6" xfId="3319" xr:uid="{92FF477F-0547-4E59-AEDD-0638A13CD991}"/>
    <cellStyle name="Денежный 6 4 3" xfId="687" xr:uid="{B06948A5-BCFF-433B-9A75-9811BAFCDDAD}"/>
    <cellStyle name="Денежный 6 4 3 2" xfId="1067" xr:uid="{354D4CE6-F903-4A7A-99B7-74DB98B273A2}"/>
    <cellStyle name="Денежный 6 4 3 2 2" xfId="2679" xr:uid="{B8BC5E6D-CDF4-4CA3-BE22-87ED8190102C}"/>
    <cellStyle name="Денежный 6 4 3 2 3" xfId="2118" xr:uid="{BC698298-AC46-41E1-9C6E-4408A6B5C450}"/>
    <cellStyle name="Денежный 6 4 3 2 4" xfId="3640" xr:uid="{858687CE-132E-4BF2-82C3-8A87F592153B}"/>
    <cellStyle name="Денежный 6 4 3 3" xfId="1737" xr:uid="{BDB356E0-5222-4B89-BAA6-0F3723E44B61}"/>
    <cellStyle name="Денежный 6 4 3 3 2" xfId="2495" xr:uid="{1F3182CE-2B6E-4ADB-A7C7-CD2BFAA2508F}"/>
    <cellStyle name="Денежный 6 4 3 4" xfId="2311" xr:uid="{F45ED95F-2E80-42DD-907C-5D61D4F06845}"/>
    <cellStyle name="Денежный 6 4 3 5" xfId="1448" xr:uid="{A495D042-82CB-47B5-87B6-4F3F07AEF3A7}"/>
    <cellStyle name="Денежный 6 4 3 6" xfId="3259" xr:uid="{5673215F-94A3-4437-A6CA-08C1D52C4EEF}"/>
    <cellStyle name="Денежный 6 4 4" xfId="996" xr:uid="{8C6CEF89-F053-4D7D-BC0C-E16EE35E1AD4}"/>
    <cellStyle name="Денежный 6 4 4 2" xfId="2615" xr:uid="{BC88C38B-FF82-4BC8-90DA-1DB224E7FF03}"/>
    <cellStyle name="Денежный 6 4 4 3" xfId="2047" xr:uid="{43B62B61-6EAC-4196-BDC3-6D086967DA47}"/>
    <cellStyle name="Денежный 6 4 4 4" xfId="3569" xr:uid="{7E1CE692-8DE0-4022-9CA4-7697ABEE8BB6}"/>
    <cellStyle name="Денежный 6 4 5" xfId="1670" xr:uid="{4B21F728-D9D4-48F1-825D-D90077ED2D7D}"/>
    <cellStyle name="Денежный 6 4 5 2" xfId="2431" xr:uid="{D0240457-731C-4ED8-A131-DC27240D4AAA}"/>
    <cellStyle name="Денежный 6 4 6" xfId="2247" xr:uid="{9CC83765-D73C-440C-9D97-35476187A87A}"/>
    <cellStyle name="Денежный 6 4 7" xfId="1377" xr:uid="{CB370385-63A5-4F37-A19C-829AA62998F9}"/>
    <cellStyle name="Денежный 6 4 8" xfId="3188" xr:uid="{594A5981-75D1-4792-9243-520CD1D98E1B}"/>
    <cellStyle name="Денежный 6 5" xfId="630" xr:uid="{7EEB7459-F046-4F35-98CE-677A03692B53}"/>
    <cellStyle name="Денежный 6 5 2" xfId="1024" xr:uid="{1088F8F5-265A-4151-A295-A4148961CD4B}"/>
    <cellStyle name="Денежный 6 5 2 2" xfId="2636" xr:uid="{D59E6E14-0975-4FE9-BEE5-36624807696D}"/>
    <cellStyle name="Денежный 6 5 2 3" xfId="2075" xr:uid="{DDFF6FBC-20FE-4AE0-97AC-328F72F2C03D}"/>
    <cellStyle name="Денежный 6 5 2 4" xfId="3597" xr:uid="{9D0A770F-A308-4074-A233-EC006F748010}"/>
    <cellStyle name="Денежный 6 5 3" xfId="1694" xr:uid="{0EE0BFE7-5415-46B6-89FA-F0A3AC9648ED}"/>
    <cellStyle name="Денежный 6 5 3 2" xfId="2452" xr:uid="{0C471AC6-09A7-4003-9E94-0ADD3BE792E3}"/>
    <cellStyle name="Денежный 6 5 4" xfId="2268" xr:uid="{03F26F3C-F3C9-49D8-A505-04868AC3BB15}"/>
    <cellStyle name="Денежный 6 5 5" xfId="1405" xr:uid="{466A11E8-4FE8-4591-BF17-37A6ACEA6178}"/>
    <cellStyle name="Денежный 6 5 6" xfId="3216" xr:uid="{458246EF-F6D8-4D0B-9BBB-540352B27FDC}"/>
    <cellStyle name="Денежный 6 6" xfId="704" xr:uid="{AC310022-4A28-449B-A8B2-18CA5F08C507}"/>
    <cellStyle name="Денежный 6 6 2" xfId="1084" xr:uid="{08BEB971-F221-4FBB-99CF-8F96D31E2A1C}"/>
    <cellStyle name="Денежный 6 6 2 2" xfId="2696" xr:uid="{B0066A75-11BD-43AA-B442-F07FF03F3EB6}"/>
    <cellStyle name="Денежный 6 6 2 3" xfId="2135" xr:uid="{AD843F01-996A-4551-9022-9C98CB29BC35}"/>
    <cellStyle name="Денежный 6 6 2 4" xfId="3657" xr:uid="{A110B709-90CB-4DAB-BDC5-4F6AD987A01C}"/>
    <cellStyle name="Денежный 6 6 3" xfId="1754" xr:uid="{0A71DEE3-5041-4941-9AA9-8120E34E1458}"/>
    <cellStyle name="Денежный 6 6 3 2" xfId="2512" xr:uid="{3C7CDAE4-3C23-4710-A8D1-6A9AC0AE17AD}"/>
    <cellStyle name="Денежный 6 6 4" xfId="2328" xr:uid="{480CFDC0-2212-494C-9A0F-E8ECF9FFAA3E}"/>
    <cellStyle name="Денежный 6 6 5" xfId="1465" xr:uid="{810DEFAC-7039-4B92-9969-710B69782D87}"/>
    <cellStyle name="Денежный 6 6 6" xfId="3276" xr:uid="{4A6F902E-5D56-46E7-8952-9F763B41DCCE}"/>
    <cellStyle name="Денежный 6 7" xfId="613" xr:uid="{2D772465-93AB-47D1-BF68-C6DAA45ABE44}"/>
    <cellStyle name="Денежный 6 7 2" xfId="1015" xr:uid="{633FCA64-E39A-49EC-B58A-EA84BD2C1C4D}"/>
    <cellStyle name="Денежный 6 7 2 2" xfId="2066" xr:uid="{6CB9D915-9640-492E-9C00-756D65BED50E}"/>
    <cellStyle name="Денежный 6 7 2 3" xfId="3588" xr:uid="{67F95D15-09CD-4D0F-AF2A-E7B4C5C1A205}"/>
    <cellStyle name="Денежный 6 7 3" xfId="1396" xr:uid="{0902EDB8-9AEB-4A54-8D7A-48699B095429}"/>
    <cellStyle name="Денежный 6 7 4" xfId="3207" xr:uid="{EA41C4F6-0DD1-4957-91D0-DD156CC36285}"/>
    <cellStyle name="Денежный 6 8" xfId="773" xr:uid="{F630CE2B-792E-43C8-8B46-0DC1B50E4482}"/>
    <cellStyle name="Денежный 6 8 2" xfId="2572" xr:uid="{19B5273F-719E-4A2B-8DD1-15487CEE5751}"/>
    <cellStyle name="Денежный 6 8 3" xfId="1824" xr:uid="{0AEE4B64-CB5E-43F3-800D-F86DDF6D51A2}"/>
    <cellStyle name="Денежный 6 8 4" xfId="3346" xr:uid="{CD411891-C65B-4F70-9FC6-A6A8CAA0BA2B}"/>
    <cellStyle name="Денежный 6 9" xfId="1539" xr:uid="{B87397A5-157C-44EC-B73E-A4FD5CC49CE9}"/>
    <cellStyle name="Денежный 6 9 2" xfId="2388" xr:uid="{6D47C146-1EFC-4D8A-B42E-73537BB5598D}"/>
    <cellStyle name="Денежный 7" xfId="305" xr:uid="{BB895D6D-10C3-456E-98D0-0535F06D2967}"/>
    <cellStyle name="Денежный 8" xfId="306" xr:uid="{57F37622-6C8D-4E47-A1AF-0F79908C7E0A}"/>
    <cellStyle name="Обычный 2" xfId="4" xr:uid="{00000000-0005-0000-0000-000038000000}"/>
    <cellStyle name="Обычный 2 10" xfId="300" xr:uid="{7F69F1B9-3E71-4B10-A80B-216BE15C19DB}"/>
    <cellStyle name="Обычный 2 10 2" xfId="1533" xr:uid="{312654A6-824F-4A3A-924D-E9F1EB8D5E68}"/>
    <cellStyle name="Обычный 2 10 3" xfId="2971" xr:uid="{CF774E01-FC5C-4B96-88DD-B1DA629623C0}"/>
    <cellStyle name="Обычный 2 11" xfId="768" xr:uid="{BF5B3B84-DA09-4605-BBB6-855E99178300}"/>
    <cellStyle name="Обычный 2 11 2" xfId="1818" xr:uid="{E4373D2A-E7BB-49D4-81CB-E0AA872AAACE}"/>
    <cellStyle name="Обычный 2 11 3" xfId="3340" xr:uid="{D9CCA8D6-4D04-4EBF-882C-D5C45EB0429F}"/>
    <cellStyle name="Обычный 2 12" xfId="309" xr:uid="{25D8355F-A336-4C92-909E-4202BE106C77}"/>
    <cellStyle name="Обычный 2 12 2" xfId="1527" xr:uid="{7DD89BE3-6903-47E2-80FE-A56FEEF4FC58}"/>
    <cellStyle name="Обычный 2 12 3" xfId="2870" xr:uid="{4CF2394D-09D6-4BB1-8970-DB20C7E136F3}"/>
    <cellStyle name="Обычный 2 13" xfId="1148" xr:uid="{A99DEC6E-AE42-44F5-9A16-73671179D37A}"/>
    <cellStyle name="Обычный 2 14" xfId="2762" xr:uid="{2917850D-F7CD-41C5-AE57-4438767A66D4}"/>
    <cellStyle name="Обычный 2 15" xfId="3717" xr:uid="{53DEDB22-9C20-4A27-A1B6-9FC00E463C9F}"/>
    <cellStyle name="Обычный 2 16" xfId="3721" xr:uid="{77D954DC-6601-4A2E-9939-263FFD6E0538}"/>
    <cellStyle name="Обычный 2 2" xfId="20" xr:uid="{00000000-0005-0000-0000-000039000000}"/>
    <cellStyle name="Обычный 2 2 10" xfId="1180" xr:uid="{C131774E-396F-444F-B0B7-A2E3CBFB9A81}"/>
    <cellStyle name="Обычный 2 2 11" xfId="2770" xr:uid="{0BC15136-EF88-423C-BEB8-112BD2311FFC}"/>
    <cellStyle name="Обычный 2 2 12" xfId="3719" xr:uid="{C003ADF8-8E32-476A-AE40-63F14672A89B}"/>
    <cellStyle name="Обычный 2 2 2" xfId="78" xr:uid="{DE9E08FC-5ACA-4925-9355-B78A1134281C}"/>
    <cellStyle name="Обычный 2 2 2 2" xfId="190" xr:uid="{F59EB01F-0C3D-4327-A2C5-A5AFB8B1A517}"/>
    <cellStyle name="Обычный 2 2 2 2 2" xfId="930" xr:uid="{DF8F3FC8-97D2-4C91-B69F-82F2057AE1F6}"/>
    <cellStyle name="Обычный 2 2 2 2 2 2" xfId="1981" xr:uid="{EF309307-7A21-4D1E-8B94-078219DCEF5A}"/>
    <cellStyle name="Обычный 2 2 2 2 2 3" xfId="3503" xr:uid="{AE980CD3-A331-4C1D-9D3A-7322697913F2}"/>
    <cellStyle name="Обычный 2 2 2 2 3" xfId="1311" xr:uid="{1AC61802-E393-48A8-9208-EECEB64B3E5A}"/>
    <cellStyle name="Обычный 2 2 2 2 4" xfId="3122" xr:uid="{52347C7B-477F-4BF3-940A-683E60E34339}"/>
    <cellStyle name="Обычный 2 2 2 3" xfId="457" xr:uid="{1F3802D7-120A-4563-8AEF-1E5A990C3C87}"/>
    <cellStyle name="Обычный 2 2 2 3 2" xfId="1565" xr:uid="{FD00D65E-0D4C-4590-8CB9-22AB58F7616D}"/>
    <cellStyle name="Обычный 2 2 2 3 3" xfId="3004" xr:uid="{E7E23303-A9AA-45CE-A117-B3A5D33FED11}"/>
    <cellStyle name="Обычный 2 2 2 4" xfId="812" xr:uid="{22820EA6-D95E-442D-91C9-ECE3C94A07BF}"/>
    <cellStyle name="Обычный 2 2 2 4 2" xfId="1863" xr:uid="{8D8A5D71-F915-42D5-91E8-916A02666892}"/>
    <cellStyle name="Обычный 2 2 2 4 3" xfId="3385" xr:uid="{4E8F77E8-A8AB-4016-84A1-D0269FDAA5E3}"/>
    <cellStyle name="Обычный 2 2 2 5" xfId="349" xr:uid="{E3F36E44-6737-4171-9F41-F08C87A62295}"/>
    <cellStyle name="Обычный 2 2 2 5 2" xfId="2910" xr:uid="{39C2D234-76B2-427C-8532-87D16F6E4955}"/>
    <cellStyle name="Обычный 2 2 2 6" xfId="1193" xr:uid="{5009301D-AE0D-457D-B9F8-074D0D0C0C6B}"/>
    <cellStyle name="Обычный 2 2 2 7" xfId="2802" xr:uid="{D00D607B-31EC-477A-BC85-72B0E80DDF2B}"/>
    <cellStyle name="Обычный 2 2 3" xfId="94" xr:uid="{7A15241B-6333-4443-B1F2-173CBAEEAB2D}"/>
    <cellStyle name="Обычный 2 2 3 2" xfId="205" xr:uid="{7F45E667-1453-42D2-8DCD-959F4F838A70}"/>
    <cellStyle name="Обычный 2 2 3 2 2" xfId="945" xr:uid="{1D0EB9E9-B72C-44A0-B908-66FE6CDDF3A6}"/>
    <cellStyle name="Обычный 2 2 3 2 2 2" xfId="1996" xr:uid="{24D4C7C3-50EC-4A57-BC30-E40B58A5574C}"/>
    <cellStyle name="Обычный 2 2 3 2 2 3" xfId="3518" xr:uid="{267EE7B0-6C1D-4A0E-AC72-8F41A6692532}"/>
    <cellStyle name="Обычный 2 2 3 2 3" xfId="1326" xr:uid="{3A08E902-2F5F-4066-9D6B-E672DCC1CCA3}"/>
    <cellStyle name="Обычный 2 2 3 2 4" xfId="3137" xr:uid="{2F8776E1-CFBC-4EC6-B1CC-06E05B272DCA}"/>
    <cellStyle name="Обычный 2 2 3 3" xfId="472" xr:uid="{03B2D53B-0A3F-4E7A-A92C-1A8A27ADBF61}"/>
    <cellStyle name="Обычный 2 2 3 3 2" xfId="1580" xr:uid="{FCBD067B-1B14-4FE5-8872-2B23C64918E7}"/>
    <cellStyle name="Обычный 2 2 3 3 3" xfId="3019" xr:uid="{BD45C7A4-83A8-4432-8485-CE549114A213}"/>
    <cellStyle name="Обычный 2 2 3 4" xfId="827" xr:uid="{59D563C6-E76A-47FE-A1C6-A69E8101D265}"/>
    <cellStyle name="Обычный 2 2 3 4 2" xfId="1878" xr:uid="{922E43B4-7702-461F-9112-A9365BD28BB9}"/>
    <cellStyle name="Обычный 2 2 3 4 3" xfId="3400" xr:uid="{07C9753C-6BDD-4F20-8339-9B119E925B10}"/>
    <cellStyle name="Обычный 2 2 3 5" xfId="365" xr:uid="{F738CBC3-9313-4654-BF3F-08CF14179516}"/>
    <cellStyle name="Обычный 2 2 3 5 2" xfId="2926" xr:uid="{F1D219BF-7B61-4650-BBAD-C0F10CC2B359}"/>
    <cellStyle name="Обычный 2 2 3 6" xfId="1208" xr:uid="{9C5E6581-C605-496B-8554-94FD59A19E99}"/>
    <cellStyle name="Обычный 2 2 3 7" xfId="2818" xr:uid="{84F26356-215D-4DA6-9B6B-067A211E1642}"/>
    <cellStyle name="Обычный 2 2 4" xfId="110" xr:uid="{D5535A95-DFAF-4125-AC7F-274A8EA41001}"/>
    <cellStyle name="Обычный 2 2 4 2" xfId="220" xr:uid="{112123C8-0415-49BC-876A-9ED1CDB75BDB}"/>
    <cellStyle name="Обычный 2 2 4 2 2" xfId="960" xr:uid="{1014BE6A-4572-478F-BD39-128C5EA82E1A}"/>
    <cellStyle name="Обычный 2 2 4 2 2 2" xfId="2011" xr:uid="{5B210DCF-C88D-45C6-9657-9F9B4863003D}"/>
    <cellStyle name="Обычный 2 2 4 2 2 3" xfId="3533" xr:uid="{6E84644C-819A-4037-959F-8E6C9BEDCBDD}"/>
    <cellStyle name="Обычный 2 2 4 2 3" xfId="1341" xr:uid="{0B097537-9FC6-4693-BDE8-52E2D7AC3582}"/>
    <cellStyle name="Обычный 2 2 4 2 4" xfId="3152" xr:uid="{14CA3096-5FBD-497D-9D99-2522B6EB74F7}"/>
    <cellStyle name="Обычный 2 2 4 3" xfId="487" xr:uid="{806FC5C5-81A8-4C7B-8E1E-E01FFF331521}"/>
    <cellStyle name="Обычный 2 2 4 3 2" xfId="1595" xr:uid="{641E1B69-A334-49D1-8B75-338E09E61FCB}"/>
    <cellStyle name="Обычный 2 2 4 3 3" xfId="3034" xr:uid="{452D2FBD-E91B-41B9-907F-D7713D65E09F}"/>
    <cellStyle name="Обычный 2 2 4 4" xfId="842" xr:uid="{30430994-6E49-4183-8F37-4A1FD947C8F7}"/>
    <cellStyle name="Обычный 2 2 4 4 2" xfId="1893" xr:uid="{BFA644BB-7990-416B-9BBE-77A2A1A8562E}"/>
    <cellStyle name="Обычный 2 2 4 4 3" xfId="3415" xr:uid="{8B6ED6F1-64A8-4B8D-9FF9-44FBA9D639FA}"/>
    <cellStyle name="Обычный 2 2 4 5" xfId="381" xr:uid="{F286F2C3-B985-4AED-B817-2F1C029B861C}"/>
    <cellStyle name="Обычный 2 2 4 5 2" xfId="2942" xr:uid="{997392A6-4575-4FE5-A7B2-91114208D54C}"/>
    <cellStyle name="Обычный 2 2 4 6" xfId="1223" xr:uid="{496809E1-7192-4FD8-A2B0-3C36471277C6}"/>
    <cellStyle name="Обычный 2 2 4 7" xfId="2834" xr:uid="{3063D612-DF17-4AA4-AD75-7AA39B3F306F}"/>
    <cellStyle name="Обычный 2 2 5" xfId="126" xr:uid="{905153D7-87D2-4597-B90D-D7497FFFF041}"/>
    <cellStyle name="Обычный 2 2 5 2" xfId="236" xr:uid="{9A2E41BF-563A-41BB-869B-FB93BE74AB63}"/>
    <cellStyle name="Обычный 2 2 5 2 2" xfId="976" xr:uid="{C7385A38-EBA4-4D79-A19D-A645EF2848F4}"/>
    <cellStyle name="Обычный 2 2 5 2 2 2" xfId="2027" xr:uid="{42C71D7C-8BE5-442E-A579-D9E70183A11A}"/>
    <cellStyle name="Обычный 2 2 5 2 2 3" xfId="3549" xr:uid="{C855EA71-B1BE-4F7C-9B0B-11A8C1EE5DC3}"/>
    <cellStyle name="Обычный 2 2 5 2 3" xfId="1357" xr:uid="{84A00E86-8F9A-43DE-9348-11E75730849C}"/>
    <cellStyle name="Обычный 2 2 5 2 4" xfId="3168" xr:uid="{5CC32C4E-DAEB-4358-97F6-6C005501511B}"/>
    <cellStyle name="Обычный 2 2 5 3" xfId="503" xr:uid="{77812C30-C106-4224-9DA1-EAA5634C3DFF}"/>
    <cellStyle name="Обычный 2 2 5 3 2" xfId="1611" xr:uid="{75923C96-E3A7-42D6-86EB-E71E8608540A}"/>
    <cellStyle name="Обычный 2 2 5 3 3" xfId="3050" xr:uid="{B0824646-76DA-444B-90B3-A1D8229EB537}"/>
    <cellStyle name="Обычный 2 2 5 4" xfId="858" xr:uid="{51CDEF10-F6CA-4DBB-8847-F35C08DB2858}"/>
    <cellStyle name="Обычный 2 2 5 4 2" xfId="1909" xr:uid="{20914691-0536-4F38-841F-D29A68517436}"/>
    <cellStyle name="Обычный 2 2 5 4 3" xfId="3431" xr:uid="{5A791329-AB0F-4F77-9204-38B5D519AC36}"/>
    <cellStyle name="Обычный 2 2 5 5" xfId="397" xr:uid="{10BDB99E-73F8-4641-989D-AA9B3FAD8853}"/>
    <cellStyle name="Обычный 2 2 5 5 2" xfId="2958" xr:uid="{19305945-F6E6-4BCC-BCF9-9D535055D41B}"/>
    <cellStyle name="Обычный 2 2 5 6" xfId="1239" xr:uid="{B6A6D762-12E0-44AE-ACE5-D39138690206}"/>
    <cellStyle name="Обычный 2 2 5 7" xfId="2850" xr:uid="{1273EBED-90BD-4B72-B013-8194895BE54B}"/>
    <cellStyle name="Обычный 2 2 6" xfId="177" xr:uid="{60047A45-E88B-4256-BC9C-A4E3EF6FBE92}"/>
    <cellStyle name="Обычный 2 2 6 2" xfId="566" xr:uid="{697B153B-CB57-4328-9922-43FDDD06728A}"/>
    <cellStyle name="Обычный 2 2 6 2 2" xfId="1653" xr:uid="{E6D1F74C-2E0D-478C-B32A-68922653B386}"/>
    <cellStyle name="Обычный 2 2 6 2 3" xfId="3110" xr:uid="{5CA2E4D1-E180-4703-8683-880B5F9B87A9}"/>
    <cellStyle name="Обычный 2 2 6 3" xfId="918" xr:uid="{E5E1DA36-68E9-4ADF-8375-43B3F4320D78}"/>
    <cellStyle name="Обычный 2 2 6 3 2" xfId="1969" xr:uid="{3C296BB4-B5D4-42DE-B0A2-D59AED85C486}"/>
    <cellStyle name="Обычный 2 2 6 3 3" xfId="3491" xr:uid="{87AACF1C-19C8-419A-8432-BA024A763E68}"/>
    <cellStyle name="Обычный 2 2 6 4" xfId="333" xr:uid="{DABAB5C7-502B-4D81-985B-D2F440875D77}"/>
    <cellStyle name="Обычный 2 2 6 4 2" xfId="2894" xr:uid="{5EBB808D-16EA-4B47-B1B4-19EE6EEA30A3}"/>
    <cellStyle name="Обычный 2 2 6 5" xfId="1299" xr:uid="{F9D21028-4F29-4CB7-A692-83471AC6772D}"/>
    <cellStyle name="Обычный 2 2 6 6" xfId="2786" xr:uid="{EEBEF50C-53D4-48D3-86E2-39D353BC8ECE}"/>
    <cellStyle name="Обычный 2 2 7" xfId="444" xr:uid="{05A7AED8-CC44-4AEB-82A7-3906CB1CC971}"/>
    <cellStyle name="Обычный 2 2 7 2" xfId="1552" xr:uid="{07953698-27D9-48B6-8EA0-6E13601A2254}"/>
    <cellStyle name="Обычный 2 2 7 3" xfId="2991" xr:uid="{167FDAF3-5102-4A08-A550-348BBE3CA9D4}"/>
    <cellStyle name="Обычный 2 2 8" xfId="799" xr:uid="{7D0B4994-BB63-4048-8565-A4754B14B485}"/>
    <cellStyle name="Обычный 2 2 8 2" xfId="1850" xr:uid="{09F44D90-3A98-4CB1-8BCD-6FF1DC718DCC}"/>
    <cellStyle name="Обычный 2 2 8 3" xfId="3372" xr:uid="{0BCC954D-AB07-4E46-965A-A42B98918900}"/>
    <cellStyle name="Обычный 2 2 9" xfId="317" xr:uid="{668FF4C9-B79A-469C-AE47-1B00143A9F51}"/>
    <cellStyle name="Обычный 2 2 9 2" xfId="2878" xr:uid="{EEA53F93-6547-4868-9DFD-C8C47BBD9B47}"/>
    <cellStyle name="Обычный 2 3" xfId="70" xr:uid="{FC9B721A-8BF3-4FA8-955A-CAE8CEE84723}"/>
    <cellStyle name="Обычный 2 3 2" xfId="183" xr:uid="{73A34E74-C39A-4717-ABF6-FA77E82347DD}"/>
    <cellStyle name="Обычный 2 3 2 2" xfId="923" xr:uid="{83607FF9-42DA-4786-8D14-A1B69846D8AF}"/>
    <cellStyle name="Обычный 2 3 2 2 2" xfId="1974" xr:uid="{AD23AC21-F6B9-4980-BAC3-083152BFCCC5}"/>
    <cellStyle name="Обычный 2 3 2 2 3" xfId="3496" xr:uid="{CC39E878-09A3-440E-8BB5-A2723AD59103}"/>
    <cellStyle name="Обычный 2 3 2 3" xfId="1304" xr:uid="{F6AD831F-6FDF-43EE-9571-B151D9FD80BB}"/>
    <cellStyle name="Обычный 2 3 2 4" xfId="3115" xr:uid="{B6B337E9-32A0-498E-9E9A-9219D8DA7406}"/>
    <cellStyle name="Обычный 2 3 3" xfId="450" xr:uid="{E0F4B5E5-C0EE-4B18-BBB1-A074EFE16F04}"/>
    <cellStyle name="Обычный 2 3 3 2" xfId="1558" xr:uid="{038F4EB0-A1B3-4FC4-A1EB-B2CE804A26FE}"/>
    <cellStyle name="Обычный 2 3 3 3" xfId="2997" xr:uid="{6D3D4C94-974B-46B1-98A7-027D3B8C0059}"/>
    <cellStyle name="Обычный 2 3 4" xfId="805" xr:uid="{070526F5-C8BE-4602-90F9-34EC7D575390}"/>
    <cellStyle name="Обычный 2 3 4 2" xfId="1856" xr:uid="{907253B0-E26A-43A3-B923-1C7DD59FD80F}"/>
    <cellStyle name="Обычный 2 3 4 3" xfId="3378" xr:uid="{97C80AAD-C6E6-46DD-A6C1-2CB699C61FBE}"/>
    <cellStyle name="Обычный 2 3 5" xfId="341" xr:uid="{CC944FF6-B0FE-4388-8207-BDEF63863976}"/>
    <cellStyle name="Обычный 2 3 5 2" xfId="2902" xr:uid="{0B0059F7-5144-4A6F-8796-C4E084DF9DE1}"/>
    <cellStyle name="Обычный 2 3 6" xfId="1186" xr:uid="{977A12AC-6627-4EA1-B966-230693177B37}"/>
    <cellStyle name="Обычный 2 3 7" xfId="2794" xr:uid="{E5A63D6D-275D-4CFA-91C9-D51AF700A4F0}"/>
    <cellStyle name="Обычный 2 4" xfId="86" xr:uid="{67F93894-3FED-4C2D-8546-F24307C909C4}"/>
    <cellStyle name="Обычный 2 4 2" xfId="197" xr:uid="{ECCF7469-0165-4859-A921-60E204F45BFF}"/>
    <cellStyle name="Обычный 2 4 2 2" xfId="937" xr:uid="{3D4C7188-5780-4EEC-8FC3-C7C803A1EBBC}"/>
    <cellStyle name="Обычный 2 4 2 2 2" xfId="1988" xr:uid="{CE9463E7-1A4C-41F2-8243-4FFDB23A1EFF}"/>
    <cellStyle name="Обычный 2 4 2 2 3" xfId="3510" xr:uid="{1E8122F8-F264-40FE-AE84-6EA025D055CC}"/>
    <cellStyle name="Обычный 2 4 2 3" xfId="1318" xr:uid="{3A245AA5-6FEC-493A-BEC3-D69D81D9D3E4}"/>
    <cellStyle name="Обычный 2 4 2 4" xfId="3129" xr:uid="{199DCD9D-6588-4071-97D3-876B5005BA92}"/>
    <cellStyle name="Обычный 2 4 3" xfId="464" xr:uid="{66BD9370-2DAF-4FA0-853B-294A02BE22AC}"/>
    <cellStyle name="Обычный 2 4 3 2" xfId="1572" xr:uid="{BF30ECF2-5415-446F-84CC-9B666EF491E5}"/>
    <cellStyle name="Обычный 2 4 3 3" xfId="3011" xr:uid="{4F37358E-2664-42A9-AB9D-66BAD3A5CEE0}"/>
    <cellStyle name="Обычный 2 4 4" xfId="819" xr:uid="{65CB1512-E468-4FC8-AE42-5ABCE3C7ADBB}"/>
    <cellStyle name="Обычный 2 4 4 2" xfId="1870" xr:uid="{5B275363-B163-46ED-9FDC-1EAA5AB1DC62}"/>
    <cellStyle name="Обычный 2 4 4 3" xfId="3392" xr:uid="{5A917039-EAFB-4C26-8900-C017A7E50994}"/>
    <cellStyle name="Обычный 2 4 5" xfId="357" xr:uid="{6DC9918D-C765-4EA4-BEEE-CFAB394C5340}"/>
    <cellStyle name="Обычный 2 4 5 2" xfId="2918" xr:uid="{E60A8074-FD48-451E-9A6F-68685ADA769F}"/>
    <cellStyle name="Обычный 2 4 6" xfId="1200" xr:uid="{1CB46057-7F85-43AE-B558-C284EC4FAC37}"/>
    <cellStyle name="Обычный 2 4 7" xfId="2810" xr:uid="{2F837106-51CA-48C3-BA64-5A722BFFACC6}"/>
    <cellStyle name="Обычный 2 5" xfId="102" xr:uid="{6F19BC4F-9D89-4FF2-B4F8-F486A7D43E04}"/>
    <cellStyle name="Обычный 2 5 2" xfId="213" xr:uid="{43703943-A813-46E5-83E5-18929686C650}"/>
    <cellStyle name="Обычный 2 5 2 2" xfId="953" xr:uid="{8CC69EA4-1FCA-4038-8409-D9E2DB9C478A}"/>
    <cellStyle name="Обычный 2 5 2 2 2" xfId="2004" xr:uid="{82B72CE2-C30D-4AE4-BDC2-F8B3C42800F7}"/>
    <cellStyle name="Обычный 2 5 2 2 3" xfId="3526" xr:uid="{29D80E4C-BB54-4F4A-842F-07EBD8678732}"/>
    <cellStyle name="Обычный 2 5 2 3" xfId="1334" xr:uid="{746B1044-D3E1-4ACD-8A69-47A7E2240A90}"/>
    <cellStyle name="Обычный 2 5 2 4" xfId="3145" xr:uid="{CE3C814C-C799-413D-BD6F-B3212D41731D}"/>
    <cellStyle name="Обычный 2 5 3" xfId="480" xr:uid="{DD311B74-A216-489F-954D-ABC3B4B8CC39}"/>
    <cellStyle name="Обычный 2 5 3 2" xfId="1588" xr:uid="{75B58280-61CB-4E6E-B06C-56ED3BD2FB56}"/>
    <cellStyle name="Обычный 2 5 3 3" xfId="3027" xr:uid="{2C0630E6-E349-4F2C-B23E-F2001AD8F8D4}"/>
    <cellStyle name="Обычный 2 5 4" xfId="835" xr:uid="{513A6BFB-9EFC-4FC0-B3A7-642404CF7B0F}"/>
    <cellStyle name="Обычный 2 5 4 2" xfId="1886" xr:uid="{5EB89D73-FB6B-494B-9ECA-F48F91066F22}"/>
    <cellStyle name="Обычный 2 5 4 3" xfId="3408" xr:uid="{22FC639F-17C4-4FC8-80AA-B385160D3127}"/>
    <cellStyle name="Обычный 2 5 5" xfId="373" xr:uid="{F4A2E0BA-676A-4261-8886-D92636A453D9}"/>
    <cellStyle name="Обычный 2 5 5 2" xfId="2934" xr:uid="{907580EA-BF3C-4BCA-B487-78015498BF9E}"/>
    <cellStyle name="Обычный 2 5 6" xfId="1216" xr:uid="{84A1AAA4-02F4-4E22-9B7B-E5CA3929FBEC}"/>
    <cellStyle name="Обычный 2 5 7" xfId="2826" xr:uid="{193B839A-6B0A-4717-8927-302259E33CCB}"/>
    <cellStyle name="Обычный 2 6" xfId="118" xr:uid="{4FD9B568-AF2E-49E6-B049-40B5DE37AECD}"/>
    <cellStyle name="Обычный 2 6 2" xfId="228" xr:uid="{B9AFE8E1-E017-42AC-BC65-5CB1075EDADB}"/>
    <cellStyle name="Обычный 2 6 2 2" xfId="968" xr:uid="{947D8AE1-16D0-4CBA-92D4-E3F2F1403DF7}"/>
    <cellStyle name="Обычный 2 6 2 2 2" xfId="2019" xr:uid="{DF8E0794-D758-4453-832D-2F5B194BA026}"/>
    <cellStyle name="Обычный 2 6 2 2 3" xfId="3541" xr:uid="{00313EBD-3392-457E-93B0-5E689C9BAA09}"/>
    <cellStyle name="Обычный 2 6 2 3" xfId="1349" xr:uid="{A4A379EA-2240-4D7A-93EA-9671C7C293A2}"/>
    <cellStyle name="Обычный 2 6 2 4" xfId="3160" xr:uid="{EB93BEB4-6FA2-4210-B7FD-465787E8ADE4}"/>
    <cellStyle name="Обычный 2 6 3" xfId="495" xr:uid="{94BD7075-75F1-4C6F-B74D-C4B3CBF47D53}"/>
    <cellStyle name="Обычный 2 6 3 2" xfId="1603" xr:uid="{8B837951-D009-4270-BD63-BC0DF0A32061}"/>
    <cellStyle name="Обычный 2 6 3 3" xfId="3042" xr:uid="{BB90008A-D480-4B53-BB13-691BF69A1C4E}"/>
    <cellStyle name="Обычный 2 6 4" xfId="850" xr:uid="{2408B950-3996-4A94-B4D3-4AD8AB2FE215}"/>
    <cellStyle name="Обычный 2 6 4 2" xfId="1901" xr:uid="{71478F6E-5253-47B3-BA42-E002D945AAB9}"/>
    <cellStyle name="Обычный 2 6 4 3" xfId="3423" xr:uid="{DF711BA3-EB34-4BE6-823D-84255996AF86}"/>
    <cellStyle name="Обычный 2 6 5" xfId="389" xr:uid="{4DB9F551-329E-4354-8746-CC01D503D489}"/>
    <cellStyle name="Обычный 2 6 5 2" xfId="2950" xr:uid="{3B5E0740-EC4C-4B3B-B7A9-BE05F8BEC397}"/>
    <cellStyle name="Обычный 2 6 6" xfId="1231" xr:uid="{0571A23B-1798-4C23-9B0C-F8510540509A}"/>
    <cellStyle name="Обычный 2 6 7" xfId="2842" xr:uid="{E99FB67F-E1DF-4E20-8A16-1A6DAB8CDC21}"/>
    <cellStyle name="Обычный 2 7" xfId="251" xr:uid="{BC5FDA42-A5EE-4E87-955F-B2BDF5F72E61}"/>
    <cellStyle name="Обычный 2 7 2" xfId="515" xr:uid="{0DC9CD05-F8F3-4D00-8C5B-4D4ADD16BBC3}"/>
    <cellStyle name="Обычный 2 7 2 2" xfId="1622" xr:uid="{BE1C08C8-6D3E-41C8-B42F-C28BBB2BD4E2}"/>
    <cellStyle name="Обычный 2 7 2 3" xfId="3064" xr:uid="{2152E875-6A2C-44B8-904A-B965B8909BA0}"/>
    <cellStyle name="Обычный 2 7 3" xfId="872" xr:uid="{AF45EE95-D260-4B83-9A13-061E646DF25B}"/>
    <cellStyle name="Обычный 2 7 3 2" xfId="1923" xr:uid="{83047AEB-B704-4EDB-A2BA-F3FFACAD82EB}"/>
    <cellStyle name="Обычный 2 7 3 3" xfId="3445" xr:uid="{FC00DD3D-AAC5-4AA4-94DA-8AA8CAFD1F33}"/>
    <cellStyle name="Обычный 2 7 4" xfId="325" xr:uid="{2DBB9DE6-BE2C-4DCF-8E01-761FB2B2F115}"/>
    <cellStyle name="Обычный 2 7 4 2" xfId="2886" xr:uid="{F34FB5FA-EDD5-473A-BF1C-916A26A1A3D0}"/>
    <cellStyle name="Обычный 2 7 5" xfId="1253" xr:uid="{3DB17637-2D6D-435A-8F35-F67527D5969A}"/>
    <cellStyle name="Обычный 2 7 6" xfId="2778" xr:uid="{4237C3E7-36B3-4529-A158-D348E00D936B}"/>
    <cellStyle name="Обычный 2 8" xfId="142" xr:uid="{89E8CCF5-7068-4C46-9015-4C93001046E7}"/>
    <cellStyle name="Обычный 2 8 2" xfId="899" xr:uid="{542500CB-3E17-4884-B10A-481B7160B99A}"/>
    <cellStyle name="Обычный 2 8 2 2" xfId="1950" xr:uid="{96ED77EA-BB44-45DB-9B79-0996D79CA525}"/>
    <cellStyle name="Обычный 2 8 2 3" xfId="3472" xr:uid="{35D6228D-8D23-4F64-8B6C-B7BCC095992B}"/>
    <cellStyle name="Обычный 2 8 3" xfId="1280" xr:uid="{5EAD7DCE-BCCB-4BFD-9DED-DD371D1EEDD9}"/>
    <cellStyle name="Обычный 2 8 4" xfId="3091" xr:uid="{1526E2A3-5180-4951-94C8-A2ACCFEC51F2}"/>
    <cellStyle name="Обычный 2 9" xfId="611" xr:uid="{0FAAB583-0211-4F47-960E-429608DF060B}"/>
    <cellStyle name="Обычный 3" xfId="5" xr:uid="{00000000-0005-0000-0000-00003A000000}"/>
    <cellStyle name="Обычный 3 10" xfId="147" xr:uid="{2DA1BDC4-36C4-4920-B9B8-88013D26C73A}"/>
    <cellStyle name="Обычный 3 10 2" xfId="902" xr:uid="{09C6C353-EFF7-4CC3-A224-64A07CB4D2D1}"/>
    <cellStyle name="Обычный 3 10 2 2" xfId="1953" xr:uid="{AB67459B-6066-4093-A117-0DB21C648FBD}"/>
    <cellStyle name="Обычный 3 10 2 3" xfId="3475" xr:uid="{8E130032-142E-4EB3-B17F-D718AACACF88}"/>
    <cellStyle name="Обычный 3 10 3" xfId="1283" xr:uid="{84519E31-03A4-49C2-A201-425545E864C6}"/>
    <cellStyle name="Обычный 3 10 4" xfId="3094" xr:uid="{F1E946BF-CF2D-4B48-A510-EA98A6327EB1}"/>
    <cellStyle name="Обычный 3 11" xfId="414" xr:uid="{34578463-CAB2-49EE-8518-7085E3154D85}"/>
    <cellStyle name="Обычный 3 11 2" xfId="1536" xr:uid="{E946384B-CE36-4D31-BA79-509B9838F3D9}"/>
    <cellStyle name="Обычный 3 11 3" xfId="2974" xr:uid="{C307C9E7-EB2C-4D8A-BBEC-AD810DE57C3E}"/>
    <cellStyle name="Обычный 3 12" xfId="770" xr:uid="{F7B4A3C5-E797-4D7B-B3DF-BBDF44C6212A}"/>
    <cellStyle name="Обычный 3 12 2" xfId="1821" xr:uid="{6082F654-2263-40A3-9FA7-E923506D0957}"/>
    <cellStyle name="Обычный 3 12 3" xfId="3343" xr:uid="{16CBC0BA-0EB7-4ADC-8C4D-B6306464FAE6}"/>
    <cellStyle name="Обычный 3 13" xfId="312" xr:uid="{F3193CCF-8B4C-42C0-AFF1-3CFDDB2D23E8}"/>
    <cellStyle name="Обычный 3 13 2" xfId="1526" xr:uid="{A6DB77FC-0177-42BA-ACC7-E931170AD7D8}"/>
    <cellStyle name="Обычный 3 13 3" xfId="2873" xr:uid="{5F643444-345F-4E6D-BB60-14A380520B5F}"/>
    <cellStyle name="Обычный 3 14" xfId="1151" xr:uid="{A34D0FB7-7384-480F-A751-4506963063EA}"/>
    <cellStyle name="Обычный 3 15" xfId="2765" xr:uid="{8CDE9EAB-454F-4CD9-B1DB-196902FF7044}"/>
    <cellStyle name="Обычный 3 2" xfId="18" xr:uid="{00000000-0005-0000-0000-00003B000000}"/>
    <cellStyle name="Обычный 3 2 10" xfId="775" xr:uid="{B295C9AA-656C-4391-B4A1-416F11F1DB13}"/>
    <cellStyle name="Обычный 3 2 10 2" xfId="1826" xr:uid="{E0A688B0-EF30-40C6-BA0B-00CF8DFB66F4}"/>
    <cellStyle name="Обычный 3 2 10 3" xfId="3348" xr:uid="{E108E546-1A35-487B-B944-337704D9064A}"/>
    <cellStyle name="Обычный 3 2 11" xfId="314" xr:uid="{3D2B6383-864E-4919-8D79-AA6318C47570}"/>
    <cellStyle name="Обычный 3 2 11 2" xfId="2875" xr:uid="{D0AC7D7B-0FFB-4FC7-A29C-68348131784E}"/>
    <cellStyle name="Обычный 3 2 12" xfId="1156" xr:uid="{36D8BD6A-CC83-47B3-855C-F0D8E20821D3}"/>
    <cellStyle name="Обычный 3 2 13" xfId="2767" xr:uid="{5983EFF2-2E0E-4865-B25A-9477C11054DC}"/>
    <cellStyle name="Обычный 3 2 2" xfId="68" xr:uid="{BAEE04CE-B30E-492B-8DE6-5B9CA1288D60}"/>
    <cellStyle name="Обычный 3 2 2 10" xfId="1175" xr:uid="{ACD153C3-21DF-428D-8CFC-E66441DE1DA3}"/>
    <cellStyle name="Обычный 3 2 2 11" xfId="2775" xr:uid="{A17D1CE3-0841-47F8-8800-6BB2BB3AEBE7}"/>
    <cellStyle name="Обычный 3 2 2 2" xfId="83" xr:uid="{B762CE56-9570-4638-9D02-A105D3885F23}"/>
    <cellStyle name="Обычный 3 2 2 2 2" xfId="174" xr:uid="{1F0B687F-A4EE-4B91-B935-E320F9861867}"/>
    <cellStyle name="Обычный 3 2 2 2 2 2" xfId="915" xr:uid="{FA147CB9-F700-42B9-B162-9917775BFB77}"/>
    <cellStyle name="Обычный 3 2 2 2 2 2 2" xfId="1966" xr:uid="{539E60D8-8DAE-4CBC-A0CE-E761760FE922}"/>
    <cellStyle name="Обычный 3 2 2 2 2 2 3" xfId="3488" xr:uid="{45C03CE4-BEE4-4834-BBB3-AF6B89E60BFC}"/>
    <cellStyle name="Обычный 3 2 2 2 2 3" xfId="1296" xr:uid="{7F3F8F17-0E03-41FB-9A1E-ECDF3110C250}"/>
    <cellStyle name="Обычный 3 2 2 2 2 4" xfId="3107" xr:uid="{D5ADDE37-2BC8-4A42-8624-CF8B6E7EF4F0}"/>
    <cellStyle name="Обычный 3 2 2 2 3" xfId="441" xr:uid="{98946822-AC34-4655-97A1-999228F72F9A}"/>
    <cellStyle name="Обычный 3 2 2 2 3 2" xfId="1549" xr:uid="{870A633B-BF16-4F5F-A4E9-CB78DDA1F3D5}"/>
    <cellStyle name="Обычный 3 2 2 2 3 3" xfId="2988" xr:uid="{BEE72F47-D96C-4203-8530-75F645A1F239}"/>
    <cellStyle name="Обычный 3 2 2 2 4" xfId="796" xr:uid="{1CD4217A-2789-419B-BA24-435F980FA71F}"/>
    <cellStyle name="Обычный 3 2 2 2 4 2" xfId="1847" xr:uid="{01E48A9D-C71D-4513-B350-8D26937065ED}"/>
    <cellStyle name="Обычный 3 2 2 2 4 3" xfId="3369" xr:uid="{0C185A07-C583-499F-808B-BBEBC31A3586}"/>
    <cellStyle name="Обычный 3 2 2 2 5" xfId="354" xr:uid="{E17E86E4-ABA3-4B3D-97E0-145DD972C642}"/>
    <cellStyle name="Обычный 3 2 2 2 5 2" xfId="2915" xr:uid="{E0F0AA0B-3F59-44DC-BA7F-FE9F933AF4B8}"/>
    <cellStyle name="Обычный 3 2 2 2 6" xfId="1177" xr:uid="{DCD905DA-8ED4-4B0C-B9FC-557158FA89A0}"/>
    <cellStyle name="Обычный 3 2 2 2 7" xfId="2807" xr:uid="{25F66259-3B76-4CD7-BC3D-45BAC107A215}"/>
    <cellStyle name="Обычный 3 2 2 3" xfId="99" xr:uid="{A7742F61-6112-48C9-A605-1674A663777E}"/>
    <cellStyle name="Обычный 3 2 2 3 2" xfId="210" xr:uid="{99B98B15-B5E1-44C0-8CB8-9F63AFC6383D}"/>
    <cellStyle name="Обычный 3 2 2 3 2 2" xfId="950" xr:uid="{D3BCACAF-1E2F-4F23-BE22-B7E2EBDDEAFE}"/>
    <cellStyle name="Обычный 3 2 2 3 2 2 2" xfId="2001" xr:uid="{2EC7CB64-BA78-41C5-BCEF-C6852C96EEBE}"/>
    <cellStyle name="Обычный 3 2 2 3 2 2 3" xfId="3523" xr:uid="{B7886B67-378C-4A1F-BEE9-8F4978942166}"/>
    <cellStyle name="Обычный 3 2 2 3 2 3" xfId="1331" xr:uid="{62A1715C-5C22-476B-B577-0FA66F6C919B}"/>
    <cellStyle name="Обычный 3 2 2 3 2 4" xfId="3142" xr:uid="{3144710F-395F-46EA-9789-0D32EF8C82BE}"/>
    <cellStyle name="Обычный 3 2 2 3 3" xfId="477" xr:uid="{2E41C0C8-FAD8-4EFF-B166-728E883F341D}"/>
    <cellStyle name="Обычный 3 2 2 3 3 2" xfId="1585" xr:uid="{37C843A0-6240-4B66-9D45-13DCFAC2408B}"/>
    <cellStyle name="Обычный 3 2 2 3 3 3" xfId="3024" xr:uid="{48A0DBE6-8C0F-4D3E-9FC1-8169622B1A7B}"/>
    <cellStyle name="Обычный 3 2 2 3 4" xfId="832" xr:uid="{2EBB2DF6-691B-42B8-93E0-DBCEB77A6486}"/>
    <cellStyle name="Обычный 3 2 2 3 4 2" xfId="1883" xr:uid="{6D88B2B6-892B-4411-A135-28A7E273F107}"/>
    <cellStyle name="Обычный 3 2 2 3 4 3" xfId="3405" xr:uid="{B9CAAFE4-F3AD-49A0-96E7-77431621389C}"/>
    <cellStyle name="Обычный 3 2 2 3 5" xfId="370" xr:uid="{36F06623-8037-49BF-ABDB-A146490E844F}"/>
    <cellStyle name="Обычный 3 2 2 3 5 2" xfId="2931" xr:uid="{A6A3F26C-B85D-4E8A-9D4E-44986CFFB166}"/>
    <cellStyle name="Обычный 3 2 2 3 6" xfId="1213" xr:uid="{6CE783B4-59D5-4A78-A6BD-AC74326975F4}"/>
    <cellStyle name="Обычный 3 2 2 3 7" xfId="2823" xr:uid="{952D4929-E72C-4A9B-8CE3-5583573B47DA}"/>
    <cellStyle name="Обычный 3 2 2 4" xfId="115" xr:uid="{2B06E357-B746-478B-BA61-D07B957AFDF6}"/>
    <cellStyle name="Обычный 3 2 2 4 2" xfId="225" xr:uid="{B1D3945B-6B64-4FC9-80E0-3819264CCF6E}"/>
    <cellStyle name="Обычный 3 2 2 4 2 2" xfId="965" xr:uid="{10EF138B-24B4-4DDF-ACAA-2C2EA6EE392F}"/>
    <cellStyle name="Обычный 3 2 2 4 2 2 2" xfId="2016" xr:uid="{B6D31B55-DF9A-4D8D-B363-9B666B779155}"/>
    <cellStyle name="Обычный 3 2 2 4 2 2 3" xfId="3538" xr:uid="{450EC8DF-0FDE-41B0-8C23-DECBD8D84EBE}"/>
    <cellStyle name="Обычный 3 2 2 4 2 3" xfId="1346" xr:uid="{A72D3F33-29F9-46BF-9BE7-D10DC30D6691}"/>
    <cellStyle name="Обычный 3 2 2 4 2 4" xfId="3157" xr:uid="{8FFC686D-BF96-4554-9647-5513C38076F1}"/>
    <cellStyle name="Обычный 3 2 2 4 3" xfId="492" xr:uid="{AEA2D27A-C135-42A6-8F89-E4719DF5D596}"/>
    <cellStyle name="Обычный 3 2 2 4 3 2" xfId="1600" xr:uid="{AB2FB4A6-7AAB-4F44-9F10-CDF6DAC462FD}"/>
    <cellStyle name="Обычный 3 2 2 4 3 3" xfId="3039" xr:uid="{31B9AA80-C831-4BF3-9D1D-C36B44CC46AE}"/>
    <cellStyle name="Обычный 3 2 2 4 4" xfId="847" xr:uid="{5F8903B2-890B-4449-856B-1F3DBEB28627}"/>
    <cellStyle name="Обычный 3 2 2 4 4 2" xfId="1898" xr:uid="{53603B6D-ADF9-480C-9256-52EDD173B28B}"/>
    <cellStyle name="Обычный 3 2 2 4 4 3" xfId="3420" xr:uid="{82A48C7F-4365-42AB-9AF4-9B27DF828ECE}"/>
    <cellStyle name="Обычный 3 2 2 4 5" xfId="386" xr:uid="{B5D12DFA-BFF4-48A9-B9AC-B48880597964}"/>
    <cellStyle name="Обычный 3 2 2 4 5 2" xfId="2947" xr:uid="{6C8EB7D7-6175-4641-91C7-93BED4A48B8B}"/>
    <cellStyle name="Обычный 3 2 2 4 6" xfId="1228" xr:uid="{AE0EA479-ABD6-4BB6-901C-C45639A6CCBA}"/>
    <cellStyle name="Обычный 3 2 2 4 7" xfId="2839" xr:uid="{A44F3295-2182-4752-98B7-1DA24831DACF}"/>
    <cellStyle name="Обычный 3 2 2 5" xfId="131" xr:uid="{9F834BC5-81B7-43DD-BE34-47C4C5A6B71E}"/>
    <cellStyle name="Обычный 3 2 2 5 2" xfId="241" xr:uid="{DC88060D-1FC7-40C8-B904-4DDE281BB3AA}"/>
    <cellStyle name="Обычный 3 2 2 5 2 2" xfId="981" xr:uid="{9F325707-98F8-4E14-8CF1-1E7EE3DA9152}"/>
    <cellStyle name="Обычный 3 2 2 5 2 2 2" xfId="2032" xr:uid="{38386653-542A-4E08-A64C-1C08886B73BA}"/>
    <cellStyle name="Обычный 3 2 2 5 2 2 3" xfId="3554" xr:uid="{E067F1DD-464B-432F-8859-4EB00A5F0853}"/>
    <cellStyle name="Обычный 3 2 2 5 2 3" xfId="1362" xr:uid="{0337565D-F18E-4CA1-BF34-1F841B53546B}"/>
    <cellStyle name="Обычный 3 2 2 5 2 4" xfId="3173" xr:uid="{E1C32FC5-9EB5-453D-B5B3-BC1BDCC59A65}"/>
    <cellStyle name="Обычный 3 2 2 5 3" xfId="508" xr:uid="{846F600B-BD84-497B-9157-28501B5B09C9}"/>
    <cellStyle name="Обычный 3 2 2 5 3 2" xfId="1616" xr:uid="{0D4F6E5D-BCFA-418F-9EC1-6ACF1D1CF62D}"/>
    <cellStyle name="Обычный 3 2 2 5 3 3" xfId="3055" xr:uid="{A7F5EFA5-E5CB-45A8-B337-DDB2EA93729A}"/>
    <cellStyle name="Обычный 3 2 2 5 4" xfId="863" xr:uid="{8391C8FA-2242-468D-AEF7-3FE930A206F8}"/>
    <cellStyle name="Обычный 3 2 2 5 4 2" xfId="1914" xr:uid="{E04AAF8A-BB00-4169-B242-F036C25569C2}"/>
    <cellStyle name="Обычный 3 2 2 5 4 3" xfId="3436" xr:uid="{24B983B1-F25A-4A01-937E-DE9B3F087226}"/>
    <cellStyle name="Обычный 3 2 2 5 5" xfId="402" xr:uid="{C873135C-2B12-48AF-868E-25F7DEF8E575}"/>
    <cellStyle name="Обычный 3 2 2 5 5 2" xfId="2963" xr:uid="{0334E00A-BD3E-4FEC-B85B-17867C8BA793}"/>
    <cellStyle name="Обычный 3 2 2 5 6" xfId="1244" xr:uid="{667C8317-B01D-4B41-AC1C-6AA0FA03B820}"/>
    <cellStyle name="Обычный 3 2 2 5 7" xfId="2855" xr:uid="{C6A0E22A-26DE-425D-AA57-AC8382F688C9}"/>
    <cellStyle name="Обычный 3 2 2 6" xfId="168" xr:uid="{2355A4F9-C065-438F-AF93-38AD9A7A94F2}"/>
    <cellStyle name="Обычный 3 2 2 6 2" xfId="559" xr:uid="{94DFFFC1-D2AB-4D9A-8B2C-B20CEA394EC7}"/>
    <cellStyle name="Обычный 3 2 2 6 2 2" xfId="1650" xr:uid="{C848C385-8468-4EA9-94D7-3D90A56809EB}"/>
    <cellStyle name="Обычный 3 2 2 6 2 3" xfId="3105" xr:uid="{8D406916-8FA2-4C80-8980-B0E9FE1714D7}"/>
    <cellStyle name="Обычный 3 2 2 6 3" xfId="913" xr:uid="{AF7039CC-1986-4F1E-9168-917883668B20}"/>
    <cellStyle name="Обычный 3 2 2 6 3 2" xfId="1964" xr:uid="{03659A8F-365B-4C97-AE4F-529EB9D5DA6D}"/>
    <cellStyle name="Обычный 3 2 2 6 3 3" xfId="3486" xr:uid="{E41272C2-76F7-4F67-8BD6-3957210053AB}"/>
    <cellStyle name="Обычный 3 2 2 6 4" xfId="338" xr:uid="{7B7B22AB-5CED-40BD-A182-E15434292382}"/>
    <cellStyle name="Обычный 3 2 2 6 4 2" xfId="2899" xr:uid="{B24C2861-6B3D-43EF-B56F-36CD472A0130}"/>
    <cellStyle name="Обычный 3 2 2 6 5" xfId="1294" xr:uid="{926F9421-0EDE-48C5-B420-F92181714B45}"/>
    <cellStyle name="Обычный 3 2 2 6 6" xfId="2791" xr:uid="{69C41A34-4687-442F-85EB-D1937D1E312A}"/>
    <cellStyle name="Обычный 3 2 2 7" xfId="435" xr:uid="{A0D7472C-5343-4EFC-B9B1-8DBC6DF1C484}"/>
    <cellStyle name="Обычный 3 2 2 7 2" xfId="1547" xr:uid="{39468D09-A1AF-4048-A49D-F2F96A60089B}"/>
    <cellStyle name="Обычный 3 2 2 7 3" xfId="2986" xr:uid="{70D59B10-6429-48F2-A387-9009E2E002B2}"/>
    <cellStyle name="Обычный 3 2 2 8" xfId="794" xr:uid="{F41E40D1-6DD2-4626-918E-BD6BA3975016}"/>
    <cellStyle name="Обычный 3 2 2 8 2" xfId="1845" xr:uid="{1DB03477-A7DA-4AC3-9D13-D351204B45F7}"/>
    <cellStyle name="Обычный 3 2 2 8 3" xfId="3367" xr:uid="{5C36318E-BC42-41A4-8BC3-FC62875F2C14}"/>
    <cellStyle name="Обычный 3 2 2 9" xfId="322" xr:uid="{BB018DFB-20AE-4706-A076-EA9314CF73F2}"/>
    <cellStyle name="Обычный 3 2 2 9 2" xfId="2883" xr:uid="{8DB07E44-D690-475D-A146-94F0BEED2A78}"/>
    <cellStyle name="Обычный 3 2 3" xfId="75" xr:uid="{78FA0F3A-25D9-4D53-BE2B-1C57058EEC5C}"/>
    <cellStyle name="Обычный 3 2 3 2" xfId="188" xr:uid="{8311FF72-F453-4696-9979-399F024A0623}"/>
    <cellStyle name="Обычный 3 2 3 2 2" xfId="928" xr:uid="{34364591-C83F-4C07-A1B9-B3F5F6F6B6AC}"/>
    <cellStyle name="Обычный 3 2 3 2 2 2" xfId="1979" xr:uid="{A8BD40DA-A50C-4A9B-96FC-A8354AC6F37A}"/>
    <cellStyle name="Обычный 3 2 3 2 2 3" xfId="3501" xr:uid="{6D92593F-55E9-4F5C-8284-E412994E0ABF}"/>
    <cellStyle name="Обычный 3 2 3 2 3" xfId="1309" xr:uid="{F3C0B482-BCEE-40B1-88CE-5B0818CB7CC0}"/>
    <cellStyle name="Обычный 3 2 3 2 4" xfId="3120" xr:uid="{2F02CCE5-AA94-4532-82EA-17F74CDFDC44}"/>
    <cellStyle name="Обычный 3 2 3 3" xfId="455" xr:uid="{08F1BB87-8049-464B-AA3B-1B465AB49C03}"/>
    <cellStyle name="Обычный 3 2 3 3 2" xfId="1563" xr:uid="{13B6870F-34C4-4808-86A1-321A2DDAC5BF}"/>
    <cellStyle name="Обычный 3 2 3 3 3" xfId="3002" xr:uid="{4C1881A1-2158-4AD5-9153-1C90F04DB897}"/>
    <cellStyle name="Обычный 3 2 3 4" xfId="810" xr:uid="{F2ED6D6C-F78E-42E2-8EFC-C744677DDDB1}"/>
    <cellStyle name="Обычный 3 2 3 4 2" xfId="1861" xr:uid="{73A8434C-27FD-458D-AAAD-D17491509C27}"/>
    <cellStyle name="Обычный 3 2 3 4 3" xfId="3383" xr:uid="{3439CF6B-5835-41CB-8114-5B3C88A49348}"/>
    <cellStyle name="Обычный 3 2 3 5" xfId="346" xr:uid="{A4D74E98-FE4C-469C-92E7-2B9D65850CCE}"/>
    <cellStyle name="Обычный 3 2 3 5 2" xfId="2907" xr:uid="{E8F5A581-9184-403B-9431-01108A4A305F}"/>
    <cellStyle name="Обычный 3 2 3 6" xfId="1191" xr:uid="{E62F1EC3-4F8D-4C38-8B4F-6ECAD0834E94}"/>
    <cellStyle name="Обычный 3 2 3 7" xfId="2799" xr:uid="{B3CFB3D7-9016-47AF-9CB7-5C50AFEA349F}"/>
    <cellStyle name="Обычный 3 2 4" xfId="91" xr:uid="{4B44C1A6-02EB-48DE-933E-6BA20753BE2B}"/>
    <cellStyle name="Обычный 3 2 4 2" xfId="202" xr:uid="{897F18DB-91E2-4055-9CFF-57A91BB7786A}"/>
    <cellStyle name="Обычный 3 2 4 2 2" xfId="942" xr:uid="{A7F4AB97-270C-4CF0-92A0-2AA88E06A3BA}"/>
    <cellStyle name="Обычный 3 2 4 2 2 2" xfId="1993" xr:uid="{52325747-711A-4267-8B33-2136E0EC74A0}"/>
    <cellStyle name="Обычный 3 2 4 2 2 3" xfId="3515" xr:uid="{D5D25FCA-290B-4C25-8458-EBBAF8DD53B9}"/>
    <cellStyle name="Обычный 3 2 4 2 3" xfId="1323" xr:uid="{A007B7FE-4CD8-4F33-9F70-74393CF4F1A5}"/>
    <cellStyle name="Обычный 3 2 4 2 4" xfId="3134" xr:uid="{CF2CBCFB-EEAD-4E8F-A572-53843E2A97AF}"/>
    <cellStyle name="Обычный 3 2 4 3" xfId="469" xr:uid="{5C23DBC0-5638-40D2-8985-F80E7EE494E0}"/>
    <cellStyle name="Обычный 3 2 4 3 2" xfId="1577" xr:uid="{7A0D30FA-9CBA-45E4-808E-BF23DEE521FC}"/>
    <cellStyle name="Обычный 3 2 4 3 3" xfId="3016" xr:uid="{714CCB6C-7C3A-4949-B202-326C82FE931F}"/>
    <cellStyle name="Обычный 3 2 4 4" xfId="824" xr:uid="{FDFA940C-3F05-492A-B9E0-90C4F18AA46F}"/>
    <cellStyle name="Обычный 3 2 4 4 2" xfId="1875" xr:uid="{33346A2C-426A-43F7-B9F0-9F8E12F32CB4}"/>
    <cellStyle name="Обычный 3 2 4 4 3" xfId="3397" xr:uid="{50EEEDD4-E75C-407F-A44C-8EAFB1653FB1}"/>
    <cellStyle name="Обычный 3 2 4 5" xfId="362" xr:uid="{96385C50-396D-4908-8D63-80EAE9235EFA}"/>
    <cellStyle name="Обычный 3 2 4 5 2" xfId="2923" xr:uid="{6D8EBE73-CA30-440A-BF3A-6E143DAFA478}"/>
    <cellStyle name="Обычный 3 2 4 6" xfId="1205" xr:uid="{2152348B-B7F1-403F-96E6-87ACCEEE2BAF}"/>
    <cellStyle name="Обычный 3 2 4 7" xfId="2815" xr:uid="{C0E64CEA-E07E-454E-AF13-E7EFF486744E}"/>
    <cellStyle name="Обычный 3 2 5" xfId="107" xr:uid="{AA4128B3-E7B5-424B-8B8B-945DBB7CBF00}"/>
    <cellStyle name="Обычный 3 2 5 2" xfId="176" xr:uid="{40A34AF4-8D24-47BA-ABF9-80234543350B}"/>
    <cellStyle name="Обычный 3 2 5 2 2" xfId="917" xr:uid="{261089CB-26C1-47FB-A45E-151A68005F7D}"/>
    <cellStyle name="Обычный 3 2 5 2 2 2" xfId="1968" xr:uid="{EB4F2449-BB0A-4A7A-AB86-0C84A36212EB}"/>
    <cellStyle name="Обычный 3 2 5 2 2 3" xfId="3490" xr:uid="{C0C1BE8F-CC7D-4D40-8DA9-2F166537D7EC}"/>
    <cellStyle name="Обычный 3 2 5 2 3" xfId="1298" xr:uid="{B3C10454-B7C4-4950-B1E8-A29C36221FB7}"/>
    <cellStyle name="Обычный 3 2 5 2 4" xfId="3109" xr:uid="{B68707D7-8014-4505-B94E-59219AD1263D}"/>
    <cellStyle name="Обычный 3 2 5 3" xfId="443" xr:uid="{8A3AE6B7-CB07-4AC7-A1E7-F82057679257}"/>
    <cellStyle name="Обычный 3 2 5 3 2" xfId="1551" xr:uid="{07398EBB-9CBF-4B09-B318-04C513048A61}"/>
    <cellStyle name="Обычный 3 2 5 3 3" xfId="2990" xr:uid="{889CC6B3-BA7D-4E45-AB4C-C03B4DD3D43A}"/>
    <cellStyle name="Обычный 3 2 5 4" xfId="798" xr:uid="{1D142AA5-88EC-4251-876C-EB0205033C72}"/>
    <cellStyle name="Обычный 3 2 5 4 2" xfId="1849" xr:uid="{EFF740AD-1A74-485C-96FC-CA1939E88F95}"/>
    <cellStyle name="Обычный 3 2 5 4 3" xfId="3371" xr:uid="{76465FDD-4A3D-488F-B3C7-138161D842FB}"/>
    <cellStyle name="Обычный 3 2 5 5" xfId="378" xr:uid="{08453080-AFE3-4EC5-9C65-E618268B4CD0}"/>
    <cellStyle name="Обычный 3 2 5 5 2" xfId="2939" xr:uid="{32170881-3148-4766-812C-D6D7B856D679}"/>
    <cellStyle name="Обычный 3 2 5 6" xfId="1179" xr:uid="{938F547A-B0E5-4F84-8643-2B1ED75DA3DA}"/>
    <cellStyle name="Обычный 3 2 5 7" xfId="2831" xr:uid="{9446AC9A-4F81-4FAE-911B-945C87353558}"/>
    <cellStyle name="Обычный 3 2 6" xfId="123" xr:uid="{377325C4-3CDC-4169-9F62-348A50B553B6}"/>
    <cellStyle name="Обычный 3 2 6 2" xfId="233" xr:uid="{366A55B9-84CE-4546-A17A-EDB428BD1F5A}"/>
    <cellStyle name="Обычный 3 2 6 2 2" xfId="973" xr:uid="{DB6ECC67-C3DC-47BE-849D-2EB56ABCEDE2}"/>
    <cellStyle name="Обычный 3 2 6 2 2 2" xfId="2024" xr:uid="{72C1FFBF-93AF-4E8A-B70F-97A74EF0174D}"/>
    <cellStyle name="Обычный 3 2 6 2 2 3" xfId="3546" xr:uid="{319D0EAC-0208-4BCD-81A6-09F1B7E8F7A7}"/>
    <cellStyle name="Обычный 3 2 6 2 3" xfId="1354" xr:uid="{978F2BDF-5FE8-4F1D-8C7D-6A4750D48D4C}"/>
    <cellStyle name="Обычный 3 2 6 2 4" xfId="3165" xr:uid="{3E5B00E3-79FD-44D4-9CCE-8E28FCDE0189}"/>
    <cellStyle name="Обычный 3 2 6 3" xfId="500" xr:uid="{AAAFF561-994A-4373-B10E-8773908C4400}"/>
    <cellStyle name="Обычный 3 2 6 3 2" xfId="1608" xr:uid="{76E4B655-5098-41D8-B6BA-7AEF20311501}"/>
    <cellStyle name="Обычный 3 2 6 3 3" xfId="3047" xr:uid="{61DB2304-75CE-41B2-8905-2E0C61D1787A}"/>
    <cellStyle name="Обычный 3 2 6 4" xfId="855" xr:uid="{E7546621-6006-4DB3-9401-23468704F87A}"/>
    <cellStyle name="Обычный 3 2 6 4 2" xfId="1906" xr:uid="{9C48C882-233E-42BE-8B02-B23313FDEE0D}"/>
    <cellStyle name="Обычный 3 2 6 4 3" xfId="3428" xr:uid="{85B767F0-0AD8-4667-82C9-125F008CAEC5}"/>
    <cellStyle name="Обычный 3 2 6 5" xfId="394" xr:uid="{223DFB8D-B941-44E7-B412-FCD8698D1530}"/>
    <cellStyle name="Обычный 3 2 6 5 2" xfId="2955" xr:uid="{82CEFF51-5E04-44A7-93A9-4ABC2D880F4C}"/>
    <cellStyle name="Обычный 3 2 6 6" xfId="1236" xr:uid="{906B7A83-FA32-45BF-BFCD-0DE216D889DD}"/>
    <cellStyle name="Обычный 3 2 6 7" xfId="2847" xr:uid="{8400D580-358A-45C4-A68A-541DD5A48659}"/>
    <cellStyle name="Обычный 3 2 7" xfId="261" xr:uid="{8FA8A25E-50D6-409C-B2E5-13AD2136BE33}"/>
    <cellStyle name="Обычный 3 2 7 2" xfId="524" xr:uid="{C37E6C4C-D453-48AA-965E-CA685604BBDE}"/>
    <cellStyle name="Обычный 3 2 7 2 2" xfId="1629" xr:uid="{F1A352CD-12BC-4A12-A20B-660544E24845}"/>
    <cellStyle name="Обычный 3 2 7 2 3" xfId="3071" xr:uid="{1343D206-5B0B-4A89-8B25-E486252A8FBA}"/>
    <cellStyle name="Обычный 3 2 7 3" xfId="879" xr:uid="{69CFF875-9D74-46E5-8010-19D9CDB5EC19}"/>
    <cellStyle name="Обычный 3 2 7 3 2" xfId="1930" xr:uid="{E233D10D-5C00-4ED3-A092-9A98CC56C977}"/>
    <cellStyle name="Обычный 3 2 7 3 3" xfId="3452" xr:uid="{ADC7A942-8F4C-45B2-A30C-C0B12B8BAEE4}"/>
    <cellStyle name="Обычный 3 2 7 4" xfId="330" xr:uid="{020FFFA1-077D-4134-98E0-2352488CD034}"/>
    <cellStyle name="Обычный 3 2 7 4 2" xfId="2891" xr:uid="{6D77E328-6FDE-417F-BDDF-C2DFAE65E04A}"/>
    <cellStyle name="Обычный 3 2 7 5" xfId="1260" xr:uid="{6225A8B5-1B9F-4747-8F99-36AA00DED42F}"/>
    <cellStyle name="Обычный 3 2 7 6" xfId="2783" xr:uid="{20675D64-3BBE-4AF1-80B3-D7692DE708AA}"/>
    <cellStyle name="Обычный 3 2 8" xfId="153" xr:uid="{2B23F521-06D1-40FC-ABAB-632F1B349D63}"/>
    <cellStyle name="Обычный 3 2 8 2" xfId="907" xr:uid="{22EF87FF-B844-4FDB-AD32-D2B0FA969285}"/>
    <cellStyle name="Обычный 3 2 8 2 2" xfId="1958" xr:uid="{CAF61662-E992-4128-9C77-0F1FA53B9B12}"/>
    <cellStyle name="Обычный 3 2 8 2 3" xfId="3480" xr:uid="{8CAA1BC6-104E-4637-8A44-4EA7856CAD5B}"/>
    <cellStyle name="Обычный 3 2 8 3" xfId="1288" xr:uid="{B40EE107-C67D-4EDE-96EA-01ECAECCF2E8}"/>
    <cellStyle name="Обычный 3 2 8 4" xfId="3099" xr:uid="{22ED62C0-CA7C-45FE-BF04-D4107E95728E}"/>
    <cellStyle name="Обычный 3 2 9" xfId="420" xr:uid="{9A5736D0-7B19-4837-AF14-4D5FDEDCF3D7}"/>
    <cellStyle name="Обычный 3 2 9 2" xfId="1541" xr:uid="{01C90F89-2103-4A45-BC90-E914E578BDCE}"/>
    <cellStyle name="Обычный 3 2 9 3" xfId="2979" xr:uid="{5C2D94A3-BA54-472F-AF45-345427D54134}"/>
    <cellStyle name="Обычный 3 3" xfId="66" xr:uid="{11A8DC87-B77D-4924-B073-84CFF06AB3FC}"/>
    <cellStyle name="Обычный 3 3 10" xfId="1182" xr:uid="{75CCC5BE-476C-4507-B1AB-0BDB4188B06B}"/>
    <cellStyle name="Обычный 3 3 11" xfId="2773" xr:uid="{69D7FB91-5AEA-44BC-9771-238D9047E4D4}"/>
    <cellStyle name="Обычный 3 3 2" xfId="81" xr:uid="{134A4268-0629-4787-ACD6-4A546456AEBD}"/>
    <cellStyle name="Обычный 3 3 2 2" xfId="193" xr:uid="{BBA5F50E-791F-4638-A0D1-DC4C37B31462}"/>
    <cellStyle name="Обычный 3 3 2 2 2" xfId="933" xr:uid="{AB914294-7888-4056-9CE2-8ECBBFC03929}"/>
    <cellStyle name="Обычный 3 3 2 2 2 2" xfId="1984" xr:uid="{01EC0F03-81F9-45EB-8244-56E254BC002D}"/>
    <cellStyle name="Обычный 3 3 2 2 2 3" xfId="3506" xr:uid="{70B23BB1-7A91-4901-933B-6F60E4738CF9}"/>
    <cellStyle name="Обычный 3 3 2 2 3" xfId="1314" xr:uid="{5E64E2B4-EC61-4055-AB36-708BA54B929F}"/>
    <cellStyle name="Обычный 3 3 2 2 4" xfId="3125" xr:uid="{016069EB-36E0-4C8E-B9B0-BB7CBFE493CD}"/>
    <cellStyle name="Обычный 3 3 2 3" xfId="460" xr:uid="{8F105E83-0613-4E24-9FFD-687A530CD914}"/>
    <cellStyle name="Обычный 3 3 2 3 2" xfId="1568" xr:uid="{ED7828A3-6D8D-4503-9771-BD4C29EA81B9}"/>
    <cellStyle name="Обычный 3 3 2 3 3" xfId="3007" xr:uid="{866AB853-2294-42BC-8FCB-9FF42DE88688}"/>
    <cellStyle name="Обычный 3 3 2 4" xfId="815" xr:uid="{07C954A8-4B93-4D13-85F2-14B47324AE74}"/>
    <cellStyle name="Обычный 3 3 2 4 2" xfId="1866" xr:uid="{59B8AD47-C966-44BB-9253-2FA915E1AE97}"/>
    <cellStyle name="Обычный 3 3 2 4 3" xfId="3388" xr:uid="{357A77DB-82C0-41B4-8F04-FB73D6A92775}"/>
    <cellStyle name="Обычный 3 3 2 5" xfId="352" xr:uid="{80E3D2B8-5961-44B5-9A2F-ADEA0B592AC2}"/>
    <cellStyle name="Обычный 3 3 2 5 2" xfId="2913" xr:uid="{63643941-B373-4312-8C72-743283233E48}"/>
    <cellStyle name="Обычный 3 3 2 6" xfId="1196" xr:uid="{83E5FC12-392D-4C4E-9601-397DB0BD268E}"/>
    <cellStyle name="Обычный 3 3 2 7" xfId="2805" xr:uid="{6F068BB0-B578-4274-B725-A60FBD6255AF}"/>
    <cellStyle name="Обычный 3 3 3" xfId="97" xr:uid="{1BB1A5DE-24AB-48D6-B91E-3EB6DA197055}"/>
    <cellStyle name="Обычный 3 3 3 2" xfId="208" xr:uid="{12DDE071-E5C1-4E9F-8736-FE0ADD89D918}"/>
    <cellStyle name="Обычный 3 3 3 2 2" xfId="948" xr:uid="{92EE771D-B8D8-4C3E-AE66-D59A3285A1BD}"/>
    <cellStyle name="Обычный 3 3 3 2 2 2" xfId="1999" xr:uid="{6A29E5F3-E127-462A-8B75-06FB87CA88C2}"/>
    <cellStyle name="Обычный 3 3 3 2 2 3" xfId="3521" xr:uid="{AC2BF8B8-B25B-43BA-B751-E2E9A77EDC3A}"/>
    <cellStyle name="Обычный 3 3 3 2 3" xfId="1329" xr:uid="{FF56920A-E0AF-4326-96DD-E2E0668ABBC2}"/>
    <cellStyle name="Обычный 3 3 3 2 4" xfId="3140" xr:uid="{22D27530-68A3-460D-9DF2-30DAF4A2463B}"/>
    <cellStyle name="Обычный 3 3 3 3" xfId="475" xr:uid="{C875B0EF-6F13-4364-A01C-3F07D607BB29}"/>
    <cellStyle name="Обычный 3 3 3 3 2" xfId="1583" xr:uid="{E95587DB-92BB-40B4-8280-716900FE603A}"/>
    <cellStyle name="Обычный 3 3 3 3 3" xfId="3022" xr:uid="{2902ABAE-5962-41F6-B437-5A1A096BE66C}"/>
    <cellStyle name="Обычный 3 3 3 4" xfId="830" xr:uid="{59827148-6AAC-44AF-99A4-13A78CE87887}"/>
    <cellStyle name="Обычный 3 3 3 4 2" xfId="1881" xr:uid="{5D0D2D29-E949-42E1-82FF-4B6C5DAEDEB3}"/>
    <cellStyle name="Обычный 3 3 3 4 3" xfId="3403" xr:uid="{C1DCAE50-0C1F-4604-9071-5E9DDA3DF1D6}"/>
    <cellStyle name="Обычный 3 3 3 5" xfId="368" xr:uid="{2C2AC310-4F5C-4923-B622-CC47010B912A}"/>
    <cellStyle name="Обычный 3 3 3 5 2" xfId="2929" xr:uid="{BF71FFA1-F7B4-44B1-930B-BAF2EF0477D7}"/>
    <cellStyle name="Обычный 3 3 3 6" xfId="1211" xr:uid="{185F8D89-E80E-4B51-9D79-2C71C35481C5}"/>
    <cellStyle name="Обычный 3 3 3 7" xfId="2821" xr:uid="{A40B7515-6515-4E2B-B888-5769CBE53807}"/>
    <cellStyle name="Обычный 3 3 4" xfId="113" xr:uid="{AC640355-22CE-42BB-AC70-0B9891896C2C}"/>
    <cellStyle name="Обычный 3 3 4 2" xfId="223" xr:uid="{A9BFE9DD-A820-4DAE-8152-996CD19BE91A}"/>
    <cellStyle name="Обычный 3 3 4 2 2" xfId="963" xr:uid="{9637026C-6A9B-4E1B-8D93-CDDDCDBF74E3}"/>
    <cellStyle name="Обычный 3 3 4 2 2 2" xfId="2014" xr:uid="{B7C27C5F-D6AB-4334-9272-08D30443A9F8}"/>
    <cellStyle name="Обычный 3 3 4 2 2 3" xfId="3536" xr:uid="{0EE5B10F-B198-4297-B951-A4C1E8824274}"/>
    <cellStyle name="Обычный 3 3 4 2 3" xfId="1344" xr:uid="{ACB8D1AD-4D19-42D8-A8BC-E3A58C35CA0F}"/>
    <cellStyle name="Обычный 3 3 4 2 4" xfId="3155" xr:uid="{8D821E94-B6BD-4441-9E74-B93945EA0CB4}"/>
    <cellStyle name="Обычный 3 3 4 3" xfId="490" xr:uid="{87D93AA3-73EC-4B60-A8CD-C0676178E0A9}"/>
    <cellStyle name="Обычный 3 3 4 3 2" xfId="1598" xr:uid="{9012A7C5-F862-4659-A08D-D4927840510C}"/>
    <cellStyle name="Обычный 3 3 4 3 3" xfId="3037" xr:uid="{E9FF291C-1536-491B-8F33-F487E7FDA728}"/>
    <cellStyle name="Обычный 3 3 4 4" xfId="845" xr:uid="{C3B1CD32-0221-4284-93DD-D6F0963355A1}"/>
    <cellStyle name="Обычный 3 3 4 4 2" xfId="1896" xr:uid="{069B5A7E-7A56-4735-879B-CE2E35E4C84D}"/>
    <cellStyle name="Обычный 3 3 4 4 3" xfId="3418" xr:uid="{82011AAF-E7DA-4E05-A462-1634E9B7ECF1}"/>
    <cellStyle name="Обычный 3 3 4 5" xfId="384" xr:uid="{CDD7342C-D20F-4E03-8036-7B4876EB344F}"/>
    <cellStyle name="Обычный 3 3 4 5 2" xfId="2945" xr:uid="{B96BE4ED-DCD9-44CE-87FF-63467848F172}"/>
    <cellStyle name="Обычный 3 3 4 6" xfId="1226" xr:uid="{CAA0DF04-8196-4DAB-A480-73725FCB5F44}"/>
    <cellStyle name="Обычный 3 3 4 7" xfId="2837" xr:uid="{BC92BF18-0894-4CE4-9731-6254D7B049A6}"/>
    <cellStyle name="Обычный 3 3 5" xfId="129" xr:uid="{BB66B204-8CA3-4E57-9E35-7BEBAC56FB77}"/>
    <cellStyle name="Обычный 3 3 5 2" xfId="239" xr:uid="{18DFC36E-017E-4AB9-9397-2381471EF3C0}"/>
    <cellStyle name="Обычный 3 3 5 2 2" xfId="979" xr:uid="{07461880-E28C-4E8C-A811-6D10370BD049}"/>
    <cellStyle name="Обычный 3 3 5 2 2 2" xfId="2030" xr:uid="{8A421622-8E17-4765-8E93-2B188110A05B}"/>
    <cellStyle name="Обычный 3 3 5 2 2 3" xfId="3552" xr:uid="{0DA142F3-E3C5-46AD-9239-680DFEB2F975}"/>
    <cellStyle name="Обычный 3 3 5 2 3" xfId="1360" xr:uid="{80E291E2-08F0-410A-9E28-3F42A4AAD2C8}"/>
    <cellStyle name="Обычный 3 3 5 2 4" xfId="3171" xr:uid="{FA4C484E-2D4B-451F-B116-17DEBF69F93E}"/>
    <cellStyle name="Обычный 3 3 5 3" xfId="506" xr:uid="{40AE8AAE-712A-4B1B-86E9-2EA873FF5059}"/>
    <cellStyle name="Обычный 3 3 5 3 2" xfId="1614" xr:uid="{7BFA03D4-6AD7-4946-B985-ED9105513A31}"/>
    <cellStyle name="Обычный 3 3 5 3 3" xfId="3053" xr:uid="{6D786D61-7447-4C96-8C4D-85D21B90775F}"/>
    <cellStyle name="Обычный 3 3 5 4" xfId="861" xr:uid="{67ED4FC3-FF97-49FB-8568-09CDCE9B6F3A}"/>
    <cellStyle name="Обычный 3 3 5 4 2" xfId="1912" xr:uid="{5C1F75A3-C44C-4116-A329-5CBA899DA357}"/>
    <cellStyle name="Обычный 3 3 5 4 3" xfId="3434" xr:uid="{FB6BE1AC-B191-4557-A8BF-BE77E2CC0681}"/>
    <cellStyle name="Обычный 3 3 5 5" xfId="400" xr:uid="{4098936E-BD8A-4531-8DF1-5513E1913693}"/>
    <cellStyle name="Обычный 3 3 5 5 2" xfId="2961" xr:uid="{522D293D-8075-4B1E-9FB2-4E06AE8C35FF}"/>
    <cellStyle name="Обычный 3 3 5 6" xfId="1242" xr:uid="{15A66726-55E9-44D8-B7B0-53BAF5D36945}"/>
    <cellStyle name="Обычный 3 3 5 7" xfId="2853" xr:uid="{DC98A518-E290-40BD-884A-1BB7FBA2A0D6}"/>
    <cellStyle name="Обычный 3 3 6" xfId="179" xr:uid="{AD326C6B-B226-4627-8442-A1BF82D46644}"/>
    <cellStyle name="Обычный 3 3 6 2" xfId="568" xr:uid="{7427542D-62AE-49D4-8ED4-DB530A1DA719}"/>
    <cellStyle name="Обычный 3 3 6 2 2" xfId="1655" xr:uid="{504E4009-B3B9-41D7-A011-59D77EB1DD0A}"/>
    <cellStyle name="Обычный 3 3 6 2 3" xfId="3112" xr:uid="{34F2CBE8-C499-40F6-AD9C-8BD4496F43A8}"/>
    <cellStyle name="Обычный 3 3 6 3" xfId="920" xr:uid="{6A8BFB4C-AB46-4973-9C18-E16AC7FBC6D1}"/>
    <cellStyle name="Обычный 3 3 6 3 2" xfId="1971" xr:uid="{04E700C8-9472-49C4-865F-6BCDD65A981C}"/>
    <cellStyle name="Обычный 3 3 6 3 3" xfId="3493" xr:uid="{9CCBEBC8-286C-42E3-B3C5-D8C7AB5F7F38}"/>
    <cellStyle name="Обычный 3 3 6 4" xfId="336" xr:uid="{0398D2AD-E09C-47FB-88AD-FBFF7AFE860D}"/>
    <cellStyle name="Обычный 3 3 6 4 2" xfId="2897" xr:uid="{461B1BF4-F812-4368-B922-3EB2570971FA}"/>
    <cellStyle name="Обычный 3 3 6 5" xfId="1301" xr:uid="{322253A6-104D-4BCF-8D09-F57F48FE4545}"/>
    <cellStyle name="Обычный 3 3 6 6" xfId="2789" xr:uid="{8C34183C-3F7B-43BF-9B0F-21263C460D54}"/>
    <cellStyle name="Обычный 3 3 7" xfId="446" xr:uid="{11DD334F-004C-48A8-BE44-809FD170B6CA}"/>
    <cellStyle name="Обычный 3 3 7 2" xfId="1554" xr:uid="{6E912F73-AE96-4A4F-9C36-73C8071B759F}"/>
    <cellStyle name="Обычный 3 3 7 3" xfId="2993" xr:uid="{68F6912A-1AD2-4D13-82E3-EB79F3545E7C}"/>
    <cellStyle name="Обычный 3 3 8" xfId="801" xr:uid="{92D9FF63-CCCB-4759-B7F6-7AF8DABADD26}"/>
    <cellStyle name="Обычный 3 3 8 2" xfId="1852" xr:uid="{A973A2BF-E684-4CB8-91A2-5A28375099EA}"/>
    <cellStyle name="Обычный 3 3 8 3" xfId="3374" xr:uid="{7C484ACF-C391-40FE-AFD7-A436C19D50A3}"/>
    <cellStyle name="Обычный 3 3 9" xfId="320" xr:uid="{2922C92A-4662-4DEC-9C57-D80F0572985E}"/>
    <cellStyle name="Обычный 3 3 9 2" xfId="2881" xr:uid="{5A98B3F7-26D5-419E-B17E-7FAD3085D13A}"/>
    <cellStyle name="Обычный 3 4" xfId="73" xr:uid="{F7FC85A3-BEB4-4572-AF42-F54D5BBF6931}"/>
    <cellStyle name="Обычный 3 4 2" xfId="186" xr:uid="{4AB0C6E2-9624-49F3-9F4D-8DC012C85BF7}"/>
    <cellStyle name="Обычный 3 4 2 2" xfId="926" xr:uid="{B0B025F4-EE52-4CCD-A1D7-EE72147A45DA}"/>
    <cellStyle name="Обычный 3 4 2 2 2" xfId="1977" xr:uid="{15DDC306-1390-4A0B-9CAE-0A556E380CB1}"/>
    <cellStyle name="Обычный 3 4 2 2 3" xfId="3499" xr:uid="{8C97CCB9-2191-4E40-B64C-284067ABD42F}"/>
    <cellStyle name="Обычный 3 4 2 3" xfId="1307" xr:uid="{B51990D7-6A0D-4F20-9E1A-BD54FCD6AF25}"/>
    <cellStyle name="Обычный 3 4 2 4" xfId="3118" xr:uid="{915178E2-B454-46E6-806C-E1E77A5E02D9}"/>
    <cellStyle name="Обычный 3 4 3" xfId="453" xr:uid="{5AC9E790-0B43-4996-88A8-2F4157ED5637}"/>
    <cellStyle name="Обычный 3 4 3 2" xfId="1561" xr:uid="{F3611A4A-0773-4DC8-ABF1-673239F19C56}"/>
    <cellStyle name="Обычный 3 4 3 3" xfId="3000" xr:uid="{DCA2064F-AE71-48EC-930B-EDA3FF058830}"/>
    <cellStyle name="Обычный 3 4 4" xfId="808" xr:uid="{ACD652BD-E276-4C73-9B72-C624ED6F1302}"/>
    <cellStyle name="Обычный 3 4 4 2" xfId="1859" xr:uid="{D6DA585C-6CE3-4E21-9875-48F33668F14B}"/>
    <cellStyle name="Обычный 3 4 4 3" xfId="3381" xr:uid="{F677DD32-14A6-43C0-AABB-BCF2CC1EC3F3}"/>
    <cellStyle name="Обычный 3 4 5" xfId="344" xr:uid="{02D1F936-C6DD-444A-86F6-653AF462CCDD}"/>
    <cellStyle name="Обычный 3 4 5 2" xfId="2905" xr:uid="{3173AB85-EC49-41B4-9ADF-B4FC3C773777}"/>
    <cellStyle name="Обычный 3 4 6" xfId="1189" xr:uid="{0F806376-B10F-472B-964F-D35EE4BC43C2}"/>
    <cellStyle name="Обычный 3 4 7" xfId="2797" xr:uid="{BF030D1E-FFA5-40C0-B48A-5F357BFA5BE9}"/>
    <cellStyle name="Обычный 3 5" xfId="89" xr:uid="{D6B5F103-D99C-4072-BE33-BB68A830F4F5}"/>
    <cellStyle name="Обычный 3 5 2" xfId="200" xr:uid="{1DACCA4B-A339-4A39-97DA-0AEEC596F376}"/>
    <cellStyle name="Обычный 3 5 2 2" xfId="940" xr:uid="{324C08A2-82D8-4A03-AC09-BD5B13278232}"/>
    <cellStyle name="Обычный 3 5 2 2 2" xfId="1991" xr:uid="{C6901ED7-7773-4179-BE73-95BCB4FDBADE}"/>
    <cellStyle name="Обычный 3 5 2 2 3" xfId="3513" xr:uid="{68C44F66-B5D5-45DD-85B8-7C8804A912CA}"/>
    <cellStyle name="Обычный 3 5 2 3" xfId="1321" xr:uid="{59CCCB77-89AA-427D-979E-475D10FEDFE4}"/>
    <cellStyle name="Обычный 3 5 2 4" xfId="3132" xr:uid="{536A0196-8219-4344-BA41-11B91DAA9768}"/>
    <cellStyle name="Обычный 3 5 3" xfId="467" xr:uid="{40B1B058-5FA4-4113-9125-2E82D2F393C4}"/>
    <cellStyle name="Обычный 3 5 3 2" xfId="1575" xr:uid="{FC2B0701-E858-43AA-BC67-018C602C2375}"/>
    <cellStyle name="Обычный 3 5 3 3" xfId="3014" xr:uid="{705A7DD4-C07E-48BE-B73E-AC3DCDB206B7}"/>
    <cellStyle name="Обычный 3 5 4" xfId="822" xr:uid="{995C11F4-6902-4B42-A7F5-E7C27246B5D2}"/>
    <cellStyle name="Обычный 3 5 4 2" xfId="1873" xr:uid="{8A661FEF-3BDD-4AE3-8D45-AA89E053FC27}"/>
    <cellStyle name="Обычный 3 5 4 3" xfId="3395" xr:uid="{2F015C70-DFFA-4457-9035-E34C71B00D04}"/>
    <cellStyle name="Обычный 3 5 5" xfId="360" xr:uid="{AB4D0448-E155-4CC9-BC7B-E334238D1BCE}"/>
    <cellStyle name="Обычный 3 5 5 2" xfId="2921" xr:uid="{F4E0535C-0DE6-4FCE-AAD9-EDBFDB21C88C}"/>
    <cellStyle name="Обычный 3 5 6" xfId="1203" xr:uid="{845717AD-AFDD-442F-979F-72C1B451BBC2}"/>
    <cellStyle name="Обычный 3 5 7" xfId="2813" xr:uid="{FC05EFF6-748C-4716-AE79-D6920315E6A3}"/>
    <cellStyle name="Обычный 3 6" xfId="105" xr:uid="{0F5A0E8C-F239-4EEE-9133-0BCB89A19222}"/>
    <cellStyle name="Обычный 3 6 2" xfId="216" xr:uid="{24B729F5-654F-4849-8A3E-A0109E877647}"/>
    <cellStyle name="Обычный 3 6 2 2" xfId="956" xr:uid="{6623217E-71FE-4A80-B1A8-EC7A2CE5830C}"/>
    <cellStyle name="Обычный 3 6 2 2 2" xfId="2007" xr:uid="{B014E553-3387-43A1-86CB-11A07C7BEC1F}"/>
    <cellStyle name="Обычный 3 6 2 2 3" xfId="3529" xr:uid="{5641565A-8B3B-4719-9101-05296C84AFA6}"/>
    <cellStyle name="Обычный 3 6 2 3" xfId="1337" xr:uid="{7971FDA3-07AA-42B0-A99C-D9E95F2057F0}"/>
    <cellStyle name="Обычный 3 6 2 4" xfId="3148" xr:uid="{33DB0D71-77EF-4D25-B8FD-939C4570A55B}"/>
    <cellStyle name="Обычный 3 6 3" xfId="483" xr:uid="{F5BDF6E7-EDF7-4FCA-BCFE-5701C6819A63}"/>
    <cellStyle name="Обычный 3 6 3 2" xfId="1591" xr:uid="{E96B21BE-8A03-49C3-8C8C-BB8144B7E66D}"/>
    <cellStyle name="Обычный 3 6 3 3" xfId="3030" xr:uid="{62096AE9-2DA7-45D0-BE9B-3949D9375E2E}"/>
    <cellStyle name="Обычный 3 6 4" xfId="838" xr:uid="{3E077A1E-3340-4C1F-8B09-7A6B3B8C8FB7}"/>
    <cellStyle name="Обычный 3 6 4 2" xfId="1889" xr:uid="{F9FB7F46-A0AA-4856-8B79-668574D68DCD}"/>
    <cellStyle name="Обычный 3 6 4 3" xfId="3411" xr:uid="{BBBAD374-D9B6-4DB5-B388-7B0446E66951}"/>
    <cellStyle name="Обычный 3 6 5" xfId="376" xr:uid="{FE3292E7-6803-4588-8CC9-8F2447E37544}"/>
    <cellStyle name="Обычный 3 6 5 2" xfId="2937" xr:uid="{E36D0A02-7A97-420C-99E1-26A2033E8AC7}"/>
    <cellStyle name="Обычный 3 6 6" xfId="1219" xr:uid="{93A3AAE1-7C87-4691-B7AF-E232F294B2FC}"/>
    <cellStyle name="Обычный 3 6 7" xfId="2829" xr:uid="{1F51D075-1994-403C-9ACA-6DF6AB56EECA}"/>
    <cellStyle name="Обычный 3 7" xfId="121" xr:uid="{AB26B7B2-3072-419C-8719-00EBA67C6AB9}"/>
    <cellStyle name="Обычный 3 7 2" xfId="231" xr:uid="{07D5ABED-E408-4B0A-8740-46AAA678E931}"/>
    <cellStyle name="Обычный 3 7 2 2" xfId="971" xr:uid="{FA4013F8-C3A9-40B1-81F4-E3A1C0BF5880}"/>
    <cellStyle name="Обычный 3 7 2 2 2" xfId="2022" xr:uid="{F1F2109F-C384-4078-BF22-E069BDAC395B}"/>
    <cellStyle name="Обычный 3 7 2 2 3" xfId="3544" xr:uid="{57F63063-8EB7-44A7-9501-CB9794C6DE59}"/>
    <cellStyle name="Обычный 3 7 2 3" xfId="1352" xr:uid="{CC735C13-7CB0-4915-9CF6-7EFC7DEC4E75}"/>
    <cellStyle name="Обычный 3 7 2 4" xfId="3163" xr:uid="{39034CD8-1ED6-4981-A238-69A122FD7F3D}"/>
    <cellStyle name="Обычный 3 7 3" xfId="498" xr:uid="{7E2544F8-966B-438B-B0F7-2E4ECC09BEE3}"/>
    <cellStyle name="Обычный 3 7 3 2" xfId="1606" xr:uid="{241967E6-B4EF-4626-90DA-BADE5BCFDE5A}"/>
    <cellStyle name="Обычный 3 7 3 3" xfId="3045" xr:uid="{2CACED8D-1953-46B7-B4CA-4F49F618964A}"/>
    <cellStyle name="Обычный 3 7 4" xfId="853" xr:uid="{0F072C88-70CB-4003-A75E-5C5FC7867A2D}"/>
    <cellStyle name="Обычный 3 7 4 2" xfId="1904" xr:uid="{8FA47556-DFB5-4A60-B865-A79568EE6B40}"/>
    <cellStyle name="Обычный 3 7 4 3" xfId="3426" xr:uid="{AAA0B07B-6301-4271-87B8-7A604BD0C13C}"/>
    <cellStyle name="Обычный 3 7 5" xfId="392" xr:uid="{C7784E3E-082A-46E5-B797-2EA432DD75C6}"/>
    <cellStyle name="Обычный 3 7 5 2" xfId="2953" xr:uid="{97D8A6AE-B989-41C5-884A-0323A71A05BB}"/>
    <cellStyle name="Обычный 3 7 6" xfId="1234" xr:uid="{8C0E9DA9-9A31-4F9F-9E52-E97D68259D48}"/>
    <cellStyle name="Обычный 3 7 7" xfId="2845" xr:uid="{3BD5E31C-8A99-4291-9832-3322B10AA0C0}"/>
    <cellStyle name="Обычный 3 8" xfId="245" xr:uid="{4AF43C4D-6155-4747-B633-FD65578B19A2}"/>
    <cellStyle name="Обычный 3 8 2" xfId="512" xr:uid="{5A36A5D8-D32A-4179-BB62-3D7E761C8238}"/>
    <cellStyle name="Обычный 3 8 2 2" xfId="1619" xr:uid="{98731827-8E2D-46C3-8CC3-6D7C7A8CD778}"/>
    <cellStyle name="Обычный 3 8 2 3" xfId="3058" xr:uid="{DCFC41C7-52FD-4B68-94F7-B9756CF1962E}"/>
    <cellStyle name="Обычный 3 8 3" xfId="866" xr:uid="{75A6952F-D7B4-4C64-B1C0-2679C65AA376}"/>
    <cellStyle name="Обычный 3 8 3 2" xfId="1917" xr:uid="{1FC4DEC1-9E6F-48DD-91AE-C31A0412A2C4}"/>
    <cellStyle name="Обычный 3 8 3 3" xfId="3439" xr:uid="{FEEB7CFD-0E0A-4163-8EDF-4BC2B058FEEE}"/>
    <cellStyle name="Обычный 3 8 4" xfId="328" xr:uid="{DCC8A337-E11E-47C9-B4B7-98AA3D55211F}"/>
    <cellStyle name="Обычный 3 8 4 2" xfId="2889" xr:uid="{E6551D06-6153-449D-B7B1-417CD0F5C465}"/>
    <cellStyle name="Обычный 3 8 5" xfId="1247" xr:uid="{B5AC75E2-0C09-4325-A047-6BEC1524AA6A}"/>
    <cellStyle name="Обычный 3 8 6" xfId="2781" xr:uid="{8555D6A0-9D6B-4CD9-B938-2A2E419F18EB}"/>
    <cellStyle name="Обычный 3 9" xfId="255" xr:uid="{56D7BA24-59B0-4331-8FAC-6AF40FF43922}"/>
    <cellStyle name="Обычный 3 9 2" xfId="874" xr:uid="{176E47E2-1D97-4A3A-95CB-98342953BF62}"/>
    <cellStyle name="Обычный 3 9 2 2" xfId="1925" xr:uid="{24DF5322-C15F-4FDF-867C-FB4CB10A31B0}"/>
    <cellStyle name="Обычный 3 9 2 3" xfId="3447" xr:uid="{FBBD158B-CB11-4FEB-A0BF-210B822517E1}"/>
    <cellStyle name="Обычный 3 9 3" xfId="1255" xr:uid="{A63BA2A0-A9F4-48A2-A264-AD697DAF5AD8}"/>
    <cellStyle name="Обычный 3 9 4" xfId="3066" xr:uid="{72F909A9-0F94-43DA-8FF7-FED715D1A651}"/>
    <cellStyle name="Обычный 4" xfId="7" xr:uid="{00000000-0005-0000-0000-00003C000000}"/>
    <cellStyle name="Обычный 4 2" xfId="253" xr:uid="{FC28EE23-86C0-4BB3-AFC7-77370CB66C85}"/>
    <cellStyle name="Обычный 4 2 2" xfId="572" xr:uid="{6A926406-F733-4954-BBDF-F26D50E7F31A}"/>
    <cellStyle name="Обычный 4 2 3" xfId="517" xr:uid="{3211F34D-FF6A-4AD7-83EC-E68104393084}"/>
    <cellStyle name="Обычный 4 3" xfId="144" xr:uid="{77E63EF5-644B-4BEA-B71E-D81B36C3DBAD}"/>
    <cellStyle name="Обычный 4 3 2" xfId="547" xr:uid="{1B144EA8-E759-433D-A9B1-153FF6F652E7}"/>
    <cellStyle name="Обычный 4 4" xfId="411" xr:uid="{58EEFDCD-AB69-4B71-9BBD-EC309D117A5B}"/>
    <cellStyle name="Обычный 5" xfId="11" xr:uid="{00000000-0005-0000-0000-00003D000000}"/>
    <cellStyle name="Обычный 5 2" xfId="3723" xr:uid="{03E6154E-BAE7-449D-B9DC-BECC74070445}"/>
    <cellStyle name="Обычный 6" xfId="3725" xr:uid="{A3CE5D84-1298-4CAB-88AE-DA30A34A2BDE}"/>
    <cellStyle name="Процентный 2" xfId="9" xr:uid="{00000000-0005-0000-0000-00003E000000}"/>
    <cellStyle name="Процентный 2 10" xfId="301" xr:uid="{EF1BF984-F1F5-4081-BDF2-6A1F8EA95D2C}"/>
    <cellStyle name="Процентный 2 10 2" xfId="1819" xr:uid="{2B5CAF8B-AC04-42A1-9944-6A1926D2CE2D}"/>
    <cellStyle name="Процентный 2 10 3" xfId="3341" xr:uid="{5D057CA9-681D-4DFE-BA09-6D146D9F006D}"/>
    <cellStyle name="Процентный 2 11" xfId="311" xr:uid="{4B1AA8AA-E885-4826-B74A-A8B85B9A4364}"/>
    <cellStyle name="Процентный 2 11 2" xfId="2872" xr:uid="{69270E33-7AE8-4274-BAF0-25F4FF1D5F05}"/>
    <cellStyle name="Процентный 2 12" xfId="1149" xr:uid="{DEC347AB-9F88-4927-94D8-2A8E137E273B}"/>
    <cellStyle name="Процентный 2 13" xfId="2764" xr:uid="{A03C104D-585B-4909-996C-9A08A07812BF}"/>
    <cellStyle name="Процентный 2 14" xfId="3718" xr:uid="{A68680CA-8F17-414C-9D54-34A884BEFC95}"/>
    <cellStyle name="Процентный 2 2" xfId="65" xr:uid="{C9EAAC2E-86FD-4354-ADC9-53A5CE98715D}"/>
    <cellStyle name="Процентный 2 2 10" xfId="1181" xr:uid="{B4929C13-7FFF-4DBE-82EA-F696DA1512C4}"/>
    <cellStyle name="Процентный 2 2 11" xfId="2772" xr:uid="{A10B35C5-D517-4140-8D08-FE27D1E0F91F}"/>
    <cellStyle name="Процентный 2 2 2" xfId="80" xr:uid="{09032D66-89F4-421C-B991-AD699A7702DA}"/>
    <cellStyle name="Процентный 2 2 2 2" xfId="192" xr:uid="{BD60A7DD-1625-483A-AA11-3FE9BDAE98CE}"/>
    <cellStyle name="Процентный 2 2 2 2 2" xfId="932" xr:uid="{80373384-7DBC-4591-B90E-02FE6D8BD8B5}"/>
    <cellStyle name="Процентный 2 2 2 2 2 2" xfId="1983" xr:uid="{41DCAA41-0648-4243-8924-51817A2AE821}"/>
    <cellStyle name="Процентный 2 2 2 2 2 3" xfId="3505" xr:uid="{EB92EFE5-4409-4EE9-B0E1-5CC89B4597B2}"/>
    <cellStyle name="Процентный 2 2 2 2 3" xfId="1313" xr:uid="{CE83034A-9A02-4818-82F8-8A684A701E8E}"/>
    <cellStyle name="Процентный 2 2 2 2 4" xfId="3124" xr:uid="{FD86436E-96E3-488E-9E8F-1CB0BE4BB957}"/>
    <cellStyle name="Процентный 2 2 2 3" xfId="459" xr:uid="{80800E6F-BAB8-4B56-A750-43589903DBC8}"/>
    <cellStyle name="Процентный 2 2 2 3 2" xfId="1567" xr:uid="{18566D2F-794B-43BB-A532-B6EAEA363BA1}"/>
    <cellStyle name="Процентный 2 2 2 3 3" xfId="3006" xr:uid="{CDD1C2CF-2F48-4DCA-BEE0-B81E3B7160DC}"/>
    <cellStyle name="Процентный 2 2 2 4" xfId="814" xr:uid="{EE086024-222A-459A-AB24-F65FAB800ECC}"/>
    <cellStyle name="Процентный 2 2 2 4 2" xfId="1865" xr:uid="{0728C6E0-FDBA-41F1-BAA7-89D705AC1A46}"/>
    <cellStyle name="Процентный 2 2 2 4 3" xfId="3387" xr:uid="{37B098B6-4F4A-40F0-9F5F-ABD3D0A1B64D}"/>
    <cellStyle name="Процентный 2 2 2 5" xfId="351" xr:uid="{EDB8AE23-76E8-48D0-8ACA-450848A71664}"/>
    <cellStyle name="Процентный 2 2 2 5 2" xfId="2912" xr:uid="{CD56AE75-7F5B-4323-BC05-CC5C8ED561F8}"/>
    <cellStyle name="Процентный 2 2 2 6" xfId="1195" xr:uid="{A5A5CAEE-0BD5-4D35-82E5-D446C8A81C67}"/>
    <cellStyle name="Процентный 2 2 2 7" xfId="2804" xr:uid="{377EEA97-776E-4958-9FC0-85EF7DD5B51C}"/>
    <cellStyle name="Процентный 2 2 3" xfId="96" xr:uid="{7CEB2967-B92D-4B0B-BEF6-B4D74F6DB59B}"/>
    <cellStyle name="Процентный 2 2 3 2" xfId="207" xr:uid="{5B7D4C6B-1EF6-4FA5-B13A-465C7B15EA38}"/>
    <cellStyle name="Процентный 2 2 3 2 2" xfId="947" xr:uid="{B7CF1D64-4133-443B-B188-4EA30EF8BA8C}"/>
    <cellStyle name="Процентный 2 2 3 2 2 2" xfId="1998" xr:uid="{15E0F000-327C-4D58-A85F-04566F9EECED}"/>
    <cellStyle name="Процентный 2 2 3 2 2 3" xfId="3520" xr:uid="{028EBA9C-6352-40AA-AEDB-CA22A0C23710}"/>
    <cellStyle name="Процентный 2 2 3 2 3" xfId="1328" xr:uid="{586E2BC4-517F-4C1F-962B-52DB1ACA69F2}"/>
    <cellStyle name="Процентный 2 2 3 2 4" xfId="3139" xr:uid="{23E2451A-8FED-4AA8-8845-EB80D8FFCC80}"/>
    <cellStyle name="Процентный 2 2 3 3" xfId="474" xr:uid="{7C807469-CCBF-4729-B530-E194D6E53897}"/>
    <cellStyle name="Процентный 2 2 3 3 2" xfId="1582" xr:uid="{E61BFDEC-C40C-4A9B-BF27-9C8E00892CCA}"/>
    <cellStyle name="Процентный 2 2 3 3 3" xfId="3021" xr:uid="{F737E6D4-29FA-4D2A-B609-E0B976B61F5E}"/>
    <cellStyle name="Процентный 2 2 3 4" xfId="829" xr:uid="{673DF328-DD92-4B31-9C9E-622B4989A398}"/>
    <cellStyle name="Процентный 2 2 3 4 2" xfId="1880" xr:uid="{57B4151F-72C4-4797-9BBD-73BEAA0F2122}"/>
    <cellStyle name="Процентный 2 2 3 4 3" xfId="3402" xr:uid="{D29B0D48-FD2C-4FC3-B6DF-8B7D0455BF96}"/>
    <cellStyle name="Процентный 2 2 3 5" xfId="367" xr:uid="{FCA867F2-0CB6-4290-A1E9-3D6E928357D3}"/>
    <cellStyle name="Процентный 2 2 3 5 2" xfId="2928" xr:uid="{CB419FF8-5C9F-483A-8CD3-72707C1419EF}"/>
    <cellStyle name="Процентный 2 2 3 6" xfId="1210" xr:uid="{6C54ADB1-12FA-4ADD-8D60-E84E4E3CBF0F}"/>
    <cellStyle name="Процентный 2 2 3 7" xfId="2820" xr:uid="{AEB30E5A-7639-44A4-A314-E0887C6C571C}"/>
    <cellStyle name="Процентный 2 2 4" xfId="112" xr:uid="{93C81122-6B5B-4288-84D9-81E6577D4ABC}"/>
    <cellStyle name="Процентный 2 2 4 2" xfId="222" xr:uid="{66454D9B-C36E-4517-B040-C840609E5F59}"/>
    <cellStyle name="Процентный 2 2 4 2 2" xfId="962" xr:uid="{E200164B-2F00-4034-B2D0-FA34BDBFCCDC}"/>
    <cellStyle name="Процентный 2 2 4 2 2 2" xfId="2013" xr:uid="{36D0511B-2817-4C93-82B9-8859B570A34D}"/>
    <cellStyle name="Процентный 2 2 4 2 2 3" xfId="3535" xr:uid="{0D41F76C-72B9-4B9C-AF0A-1EEC56A13600}"/>
    <cellStyle name="Процентный 2 2 4 2 3" xfId="1343" xr:uid="{14524D8B-1585-4253-B25E-3CC0156D7266}"/>
    <cellStyle name="Процентный 2 2 4 2 4" xfId="3154" xr:uid="{A9ED69C6-1421-4443-9F64-4ED910FE19C5}"/>
    <cellStyle name="Процентный 2 2 4 3" xfId="489" xr:uid="{0FAF32F1-0EB2-42C1-8DA0-760465B5EA00}"/>
    <cellStyle name="Процентный 2 2 4 3 2" xfId="1597" xr:uid="{B624E386-8F70-4F8E-9C39-E5CA2063FC09}"/>
    <cellStyle name="Процентный 2 2 4 3 3" xfId="3036" xr:uid="{125E5496-AE72-4D10-A6C5-C5768D9EB8D1}"/>
    <cellStyle name="Процентный 2 2 4 4" xfId="844" xr:uid="{BA659F84-ED50-4420-BFF9-4D3F9F731623}"/>
    <cellStyle name="Процентный 2 2 4 4 2" xfId="1895" xr:uid="{6F393B8C-BA4A-430D-B228-C4030B5C7750}"/>
    <cellStyle name="Процентный 2 2 4 4 3" xfId="3417" xr:uid="{AC3DEDE6-5ED0-4687-B558-F976A68AFDA9}"/>
    <cellStyle name="Процентный 2 2 4 5" xfId="383" xr:uid="{C37A3616-44B3-436E-A02F-E047F328003E}"/>
    <cellStyle name="Процентный 2 2 4 5 2" xfId="2944" xr:uid="{6167485C-D985-4BE0-B176-64DD0E807E88}"/>
    <cellStyle name="Процентный 2 2 4 6" xfId="1225" xr:uid="{DF36F4B4-F5BC-4480-9AC2-32E604CBF9B7}"/>
    <cellStyle name="Процентный 2 2 4 7" xfId="2836" xr:uid="{2D32122D-ECE0-4B0D-AD4E-A0EE91499048}"/>
    <cellStyle name="Процентный 2 2 5" xfId="128" xr:uid="{23115026-D112-4EFD-95B3-52E449B7746D}"/>
    <cellStyle name="Процентный 2 2 5 2" xfId="238" xr:uid="{3A8D6307-9533-45AD-B59F-E8906EFDE94A}"/>
    <cellStyle name="Процентный 2 2 5 2 2" xfId="978" xr:uid="{A76289B8-5C4D-49CF-81D2-E9D79D5F0319}"/>
    <cellStyle name="Процентный 2 2 5 2 2 2" xfId="2029" xr:uid="{2759A6D7-460C-4E47-AD3C-2E212A26F059}"/>
    <cellStyle name="Процентный 2 2 5 2 2 3" xfId="3551" xr:uid="{35A907C1-E49E-417D-A8A5-DD67BA07FB26}"/>
    <cellStyle name="Процентный 2 2 5 2 3" xfId="1359" xr:uid="{3B27EABA-8D6F-4D13-8B0E-1DDDFBE0517E}"/>
    <cellStyle name="Процентный 2 2 5 2 4" xfId="3170" xr:uid="{36899618-2C9A-4C54-A3D7-BD270A4FDD49}"/>
    <cellStyle name="Процентный 2 2 5 3" xfId="505" xr:uid="{EDC74D5B-85FF-406D-BDF1-A5B758A913D8}"/>
    <cellStyle name="Процентный 2 2 5 3 2" xfId="1613" xr:uid="{3AB39377-4094-470D-93C5-E13AEF930BEA}"/>
    <cellStyle name="Процентный 2 2 5 3 3" xfId="3052" xr:uid="{709BB00A-9DEC-469E-AAD7-DB6F12A18689}"/>
    <cellStyle name="Процентный 2 2 5 4" xfId="860" xr:uid="{9599A8E0-1C52-417B-862A-DC8D976A06D8}"/>
    <cellStyle name="Процентный 2 2 5 4 2" xfId="1911" xr:uid="{397269C6-30F8-41BF-A47A-65887EBF93FE}"/>
    <cellStyle name="Процентный 2 2 5 4 3" xfId="3433" xr:uid="{7633A1E4-010A-42DA-87B3-3ABB54292589}"/>
    <cellStyle name="Процентный 2 2 5 5" xfId="399" xr:uid="{F1B820DD-CBA7-495E-8C8E-6C5AB8BD49C5}"/>
    <cellStyle name="Процентный 2 2 5 5 2" xfId="2960" xr:uid="{D12A161E-ABC3-4693-BB01-1D2ADE72DDA6}"/>
    <cellStyle name="Процентный 2 2 5 6" xfId="1241" xr:uid="{27B55656-762C-4FA9-825E-638E09EDF262}"/>
    <cellStyle name="Процентный 2 2 5 7" xfId="2852" xr:uid="{F2E9DB63-2FF8-4FDD-BF6D-E787F0F50FDA}"/>
    <cellStyle name="Процентный 2 2 6" xfId="178" xr:uid="{7F4D69C5-397E-4D34-B44B-DCFD99A311CF}"/>
    <cellStyle name="Процентный 2 2 6 2" xfId="567" xr:uid="{C3DFC422-31B5-46E1-BA05-372C2D08FBCE}"/>
    <cellStyle name="Процентный 2 2 6 2 2" xfId="1654" xr:uid="{E17B6379-33AF-4DFD-AF27-D7690637607E}"/>
    <cellStyle name="Процентный 2 2 6 2 3" xfId="3111" xr:uid="{0C511215-35F1-4D8B-92AA-B6CFE0641812}"/>
    <cellStyle name="Процентный 2 2 6 3" xfId="919" xr:uid="{ADE02101-D7AA-405B-A30A-A6EB063EF340}"/>
    <cellStyle name="Процентный 2 2 6 3 2" xfId="1970" xr:uid="{27F29A06-FCE3-4988-A9B4-6732F0038566}"/>
    <cellStyle name="Процентный 2 2 6 3 3" xfId="3492" xr:uid="{344C47F7-3EB6-4F4A-AE7E-9FF601F0551F}"/>
    <cellStyle name="Процентный 2 2 6 4" xfId="335" xr:uid="{1AB9E168-A135-4A7B-8DB3-6BA7E6FFC6BE}"/>
    <cellStyle name="Процентный 2 2 6 4 2" xfId="2896" xr:uid="{CAC2A0C5-7B23-41DC-842A-A17120B864BD}"/>
    <cellStyle name="Процентный 2 2 6 5" xfId="1300" xr:uid="{9F356423-841C-47FB-976E-1EC7311FB269}"/>
    <cellStyle name="Процентный 2 2 6 6" xfId="2788" xr:uid="{89EA7769-B300-403B-806E-6C6D95C6FFF7}"/>
    <cellStyle name="Процентный 2 2 7" xfId="445" xr:uid="{AB46F93E-0017-43AB-94F9-5BEA176271F2}"/>
    <cellStyle name="Процентный 2 2 7 2" xfId="1553" xr:uid="{80B2FBDA-BACB-4242-8887-059CC61DBBD8}"/>
    <cellStyle name="Процентный 2 2 7 3" xfId="2992" xr:uid="{FC974551-1496-4A9B-B0D4-832B7EE4A562}"/>
    <cellStyle name="Процентный 2 2 8" xfId="800" xr:uid="{C1BAD0E4-0454-4FA8-8AA9-9632754D1EA1}"/>
    <cellStyle name="Процентный 2 2 8 2" xfId="1851" xr:uid="{26D2D04B-D5F4-4AD6-B719-D75EB04E53ED}"/>
    <cellStyle name="Процентный 2 2 8 3" xfId="3373" xr:uid="{BD12DE37-9D77-4560-8632-57DAA7DF919E}"/>
    <cellStyle name="Процентный 2 2 9" xfId="319" xr:uid="{348B199A-A183-43FA-8183-6087F9BD0CDA}"/>
    <cellStyle name="Процентный 2 2 9 2" xfId="2880" xr:uid="{2CAD437A-7BCC-4CB3-84A2-71161E2736B6}"/>
    <cellStyle name="Процентный 2 3" xfId="72" xr:uid="{4E9994CB-4C5B-406C-8AF4-6FEF9892C5D4}"/>
    <cellStyle name="Процентный 2 3 2" xfId="185" xr:uid="{5F4F2B7F-CC7A-4328-B258-0F0C4E6FD3D7}"/>
    <cellStyle name="Процентный 2 3 2 2" xfId="925" xr:uid="{AA6FC150-C6E6-4225-92B6-3D4AD578A983}"/>
    <cellStyle name="Процентный 2 3 2 2 2" xfId="1976" xr:uid="{2AAA87D9-2943-4ECD-AD34-CF7CBEB61835}"/>
    <cellStyle name="Процентный 2 3 2 2 3" xfId="3498" xr:uid="{FD1BF86C-549B-47A4-9D83-B193139D3683}"/>
    <cellStyle name="Процентный 2 3 2 3" xfId="1306" xr:uid="{52EA9218-1ACD-4AC9-99C6-0901F2CB747A}"/>
    <cellStyle name="Процентный 2 3 2 4" xfId="3117" xr:uid="{B487E820-5B75-48BE-9AE8-CB1FCCACC06F}"/>
    <cellStyle name="Процентный 2 3 3" xfId="452" xr:uid="{8E20D188-0856-4DA5-9921-98056F146EC5}"/>
    <cellStyle name="Процентный 2 3 3 2" xfId="1560" xr:uid="{3261D7C6-7A39-4598-A7B0-C6CD69302C4C}"/>
    <cellStyle name="Процентный 2 3 3 3" xfId="2999" xr:uid="{DA72DB54-E4ED-4FB4-ABC0-7B00D0628DB3}"/>
    <cellStyle name="Процентный 2 3 4" xfId="807" xr:uid="{568231A1-4CD5-4261-BE35-E0D05975AC81}"/>
    <cellStyle name="Процентный 2 3 4 2" xfId="1858" xr:uid="{AD067625-8EFB-4350-80D4-1127D2546A41}"/>
    <cellStyle name="Процентный 2 3 4 3" xfId="3380" xr:uid="{A03528F3-C247-4A1B-A0DF-689C76724A97}"/>
    <cellStyle name="Процентный 2 3 5" xfId="343" xr:uid="{34A7AFB9-A5BD-479A-B225-FE44A0799C5F}"/>
    <cellStyle name="Процентный 2 3 5 2" xfId="2904" xr:uid="{0629763E-8F5E-4C94-A1D9-D84F75539057}"/>
    <cellStyle name="Процентный 2 3 6" xfId="1188" xr:uid="{43288304-829A-4D43-B86C-272DD283267C}"/>
    <cellStyle name="Процентный 2 3 7" xfId="2796" xr:uid="{FF11DDBF-0BC3-4960-BBD4-90C9D1C2092D}"/>
    <cellStyle name="Процентный 2 4" xfId="88" xr:uid="{BCB61A88-550F-48B1-B600-62DCEEB4288F}"/>
    <cellStyle name="Процентный 2 4 2" xfId="199" xr:uid="{2EEE349A-747F-499E-9050-5208A61A51B4}"/>
    <cellStyle name="Процентный 2 4 2 2" xfId="939" xr:uid="{00AD368D-FA16-4E19-8D59-BABF2A77C05F}"/>
    <cellStyle name="Процентный 2 4 2 2 2" xfId="1990" xr:uid="{2A5D7790-40D9-483E-8375-D1027C4FC9A3}"/>
    <cellStyle name="Процентный 2 4 2 2 3" xfId="3512" xr:uid="{E47CB69A-0115-44CA-814C-A3E6A1502031}"/>
    <cellStyle name="Процентный 2 4 2 3" xfId="1320" xr:uid="{FA17FC16-470F-45DF-A3DD-895844A80555}"/>
    <cellStyle name="Процентный 2 4 2 4" xfId="3131" xr:uid="{C28EABF6-C618-42AA-9338-FB4EDA20F92D}"/>
    <cellStyle name="Процентный 2 4 3" xfId="466" xr:uid="{385B1304-8572-4612-83A7-042DB52C7934}"/>
    <cellStyle name="Процентный 2 4 3 2" xfId="1574" xr:uid="{1F872592-078F-4AFE-812D-6FF1E0960AED}"/>
    <cellStyle name="Процентный 2 4 3 3" xfId="3013" xr:uid="{D61F4B39-9DED-4B46-AD2F-83C07B6FDF1C}"/>
    <cellStyle name="Процентный 2 4 4" xfId="821" xr:uid="{F3158537-72B6-4C56-B286-8B1AB4675DB6}"/>
    <cellStyle name="Процентный 2 4 4 2" xfId="1872" xr:uid="{A377A6D5-DE34-459B-8AC6-9382DECE8202}"/>
    <cellStyle name="Процентный 2 4 4 3" xfId="3394" xr:uid="{CF606831-FC85-4A64-A5C1-A5A8E93FC74B}"/>
    <cellStyle name="Процентный 2 4 5" xfId="359" xr:uid="{7FBEB68E-56A2-4C7B-91B3-280E387DEFF7}"/>
    <cellStyle name="Процентный 2 4 5 2" xfId="2920" xr:uid="{86B5D0FD-306D-4433-854A-50D5F37F2DD5}"/>
    <cellStyle name="Процентный 2 4 6" xfId="1202" xr:uid="{FA0FB790-D42A-4BB6-A9BC-8CF3F9A69C44}"/>
    <cellStyle name="Процентный 2 4 7" xfId="2812" xr:uid="{1858CB64-DF38-4BB7-9A5F-BFD26F805D36}"/>
    <cellStyle name="Процентный 2 5" xfId="104" xr:uid="{C05807D7-266B-4664-BE1A-106DDADF2C53}"/>
    <cellStyle name="Процентный 2 5 2" xfId="215" xr:uid="{FAE64427-E8FF-4B25-9FA5-73C20EFBD6AB}"/>
    <cellStyle name="Процентный 2 5 2 2" xfId="955" xr:uid="{DD800DC0-B3B8-422C-820E-7AF196BFA04F}"/>
    <cellStyle name="Процентный 2 5 2 2 2" xfId="2006" xr:uid="{7B661B97-BCCA-45E1-B0BC-BFB3FFC23660}"/>
    <cellStyle name="Процентный 2 5 2 2 3" xfId="3528" xr:uid="{7BDDA3D9-06E6-45F9-A91D-BFFBB79BDF6D}"/>
    <cellStyle name="Процентный 2 5 2 3" xfId="1336" xr:uid="{753DC95B-BBD0-49EC-A659-CF1B4E6FE2A5}"/>
    <cellStyle name="Процентный 2 5 2 4" xfId="3147" xr:uid="{60A598E3-C602-4B99-94A5-17375A68408D}"/>
    <cellStyle name="Процентный 2 5 3" xfId="482" xr:uid="{2D75474B-2849-40CD-AA46-38DAD310DA49}"/>
    <cellStyle name="Процентный 2 5 3 2" xfId="1590" xr:uid="{80957FD0-5DE0-457C-B801-2D8D03B81EF4}"/>
    <cellStyle name="Процентный 2 5 3 3" xfId="3029" xr:uid="{D1955BA3-4BD9-4D3B-9087-35ECBE3DC6ED}"/>
    <cellStyle name="Процентный 2 5 4" xfId="837" xr:uid="{DF08897D-F949-4FBA-A9D0-89FBE3F9A390}"/>
    <cellStyle name="Процентный 2 5 4 2" xfId="1888" xr:uid="{9F6F46BE-7460-4E17-8398-18A6487844AC}"/>
    <cellStyle name="Процентный 2 5 4 3" xfId="3410" xr:uid="{C8ECA0C7-8935-487C-AAD6-9996FCB01781}"/>
    <cellStyle name="Процентный 2 5 5" xfId="375" xr:uid="{D29ECA79-EA1E-4838-95D5-3C1B1908EBC7}"/>
    <cellStyle name="Процентный 2 5 5 2" xfId="2936" xr:uid="{66592466-6DD3-4828-8C22-578DAD474864}"/>
    <cellStyle name="Процентный 2 5 6" xfId="1218" xr:uid="{5DB2EBED-140D-47FE-B781-E7325918F6A7}"/>
    <cellStyle name="Процентный 2 5 7" xfId="2828" xr:uid="{B36DD53A-F418-4602-BAA1-BDCB49E8FB37}"/>
    <cellStyle name="Процентный 2 6" xfId="120" xr:uid="{557776CE-3CD3-49C5-9358-4A61E494407C}"/>
    <cellStyle name="Процентный 2 6 2" xfId="230" xr:uid="{1FE0F0A6-C674-40C3-8D93-E1E70BE6D397}"/>
    <cellStyle name="Процентный 2 6 2 2" xfId="970" xr:uid="{F8BF99ED-69CA-46D5-91A3-D1F36DCE624A}"/>
    <cellStyle name="Процентный 2 6 2 2 2" xfId="2021" xr:uid="{2F6FACF1-767A-4AB0-8D17-863DE6B0D94C}"/>
    <cellStyle name="Процентный 2 6 2 2 3" xfId="3543" xr:uid="{633B5AB7-8281-4FF9-B109-C7E9C076F058}"/>
    <cellStyle name="Процентный 2 6 2 3" xfId="1351" xr:uid="{4EF1C261-EA62-4708-AF95-6C8DFB64E542}"/>
    <cellStyle name="Процентный 2 6 2 4" xfId="3162" xr:uid="{5E9E16CC-2056-4BC1-9252-D5D3348C4578}"/>
    <cellStyle name="Процентный 2 6 3" xfId="497" xr:uid="{26D249BC-DDA7-4841-A24E-4BDAC37D3564}"/>
    <cellStyle name="Процентный 2 6 3 2" xfId="1605" xr:uid="{8118C97B-C4F2-4C67-953D-41ADC02E38A7}"/>
    <cellStyle name="Процентный 2 6 3 3" xfId="3044" xr:uid="{3909DE05-6C8C-44BF-BF71-DC79DCB5C38D}"/>
    <cellStyle name="Процентный 2 6 4" xfId="852" xr:uid="{3355C8C2-82A4-42B7-AE50-643582825967}"/>
    <cellStyle name="Процентный 2 6 4 2" xfId="1903" xr:uid="{DD1C0A07-356A-4151-9F14-E2117CE3C978}"/>
    <cellStyle name="Процентный 2 6 4 3" xfId="3425" xr:uid="{02DDAA37-FB13-4EF2-9668-17089DA20B06}"/>
    <cellStyle name="Процентный 2 6 5" xfId="391" xr:uid="{AE3DD33F-BF6A-4D56-B841-87501C7E124A}"/>
    <cellStyle name="Процентный 2 6 5 2" xfId="2952" xr:uid="{060AD49B-53CA-46F9-BD54-46761BC375B4}"/>
    <cellStyle name="Процентный 2 6 6" xfId="1233" xr:uid="{C42B30B1-E742-4E7C-985A-3E4684B9508A}"/>
    <cellStyle name="Процентный 2 6 7" xfId="2844" xr:uid="{C0836DD7-8A64-4A12-B523-5BF700F38F30}"/>
    <cellStyle name="Процентный 2 7" xfId="252" xr:uid="{765D0FC9-B7B4-4CB1-BFFF-6DD846C44F7A}"/>
    <cellStyle name="Процентный 2 7 2" xfId="516" xr:uid="{A053178B-A0DA-4A9C-95CE-546B3ADE676C}"/>
    <cellStyle name="Процентный 2 7 2 2" xfId="1623" xr:uid="{4CDD72B0-DB53-4C1C-9C62-46C3DFE0D46E}"/>
    <cellStyle name="Процентный 2 7 2 3" xfId="3065" xr:uid="{EFB66D98-C35D-4E3C-932B-E7864A58C69D}"/>
    <cellStyle name="Процентный 2 7 3" xfId="873" xr:uid="{33C86EA8-F0F1-46D5-9E17-5120F6FCC7B1}"/>
    <cellStyle name="Процентный 2 7 3 2" xfId="1924" xr:uid="{059338D6-CB1F-45F0-92EC-97A8E030D5CC}"/>
    <cellStyle name="Процентный 2 7 3 3" xfId="3446" xr:uid="{545DC37D-CF90-4F30-8D2B-E17630C01F12}"/>
    <cellStyle name="Процентный 2 7 4" xfId="327" xr:uid="{566EE6AB-BAA0-4F3D-BBF3-9B4FCE4D2BAD}"/>
    <cellStyle name="Процентный 2 7 4 2" xfId="2888" xr:uid="{7CEC81FB-A5F7-44B8-9118-1E4D98C8C4BE}"/>
    <cellStyle name="Процентный 2 7 5" xfId="1254" xr:uid="{B9580432-CFF2-4042-86C9-BFE216835F04}"/>
    <cellStyle name="Процентный 2 7 6" xfId="2780" xr:uid="{6F9F34BF-2B45-4C0F-9DC8-73C767087408}"/>
    <cellStyle name="Процентный 2 8" xfId="143" xr:uid="{41ADCF6D-443D-447D-B222-1ED7A283423C}"/>
    <cellStyle name="Процентный 2 8 2" xfId="900" xr:uid="{0DBC89AF-61D0-4266-8F54-F3DF153B1BC9}"/>
    <cellStyle name="Процентный 2 8 2 2" xfId="1951" xr:uid="{7AF0E646-6E59-4B88-8F7D-8684C2C0AD60}"/>
    <cellStyle name="Процентный 2 8 2 3" xfId="3473" xr:uid="{F8B110E4-C91B-44E0-9DDB-A578535C9173}"/>
    <cellStyle name="Процентный 2 8 3" xfId="1281" xr:uid="{7A2FAFFE-B493-42B7-ADC2-F08F984E2289}"/>
    <cellStyle name="Процентный 2 8 4" xfId="3092" xr:uid="{952D49B1-B88D-47C2-8351-B90D178AA492}"/>
    <cellStyle name="Процентный 2 9" xfId="410" xr:uid="{39FD8F7C-D148-4E15-B79E-EC1BA7C25BD6}"/>
    <cellStyle name="Процентный 2 9 2" xfId="1534" xr:uid="{29216132-C2B0-4FBC-B400-5951CC352EEF}"/>
    <cellStyle name="Процентный 2 9 3" xfId="2972" xr:uid="{8E4AC8CE-5983-41AF-800B-0FAC008EA912}"/>
    <cellStyle name="Процентный 3" xfId="8" xr:uid="{00000000-0005-0000-0000-00003F000000}"/>
  </cellStyles>
  <dxfs count="3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74" formatCode="dd/mm/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&quot;р.&quot;_-;\-* #,##0.00&quot;р.&quot;_-;_-* &quot;-&quot;??&quot;р.&quot;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-* #,##0.00[$р.-419]_-;\-* #,##0.00[$р.-419]_-;_-* &quot;-&quot;??[$р.-419]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-* #,##0.00[$р.-419]_-;\-* #,##0.00[$р.-419]_-;_-* &quot;-&quot;??[$р.-419]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&quot;р.&quot;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-* #,##0.00[$р.-419]_-;\-* #,##0.00[$р.-419]_-;_-* &quot;-&quot;??[$р.-419]_-;_-@_-"/>
      <fill>
        <patternFill patternType="solid">
          <fgColor indexed="64"/>
          <bgColor rgb="FFFFFF00"/>
        </patternFill>
      </fill>
    </dxf>
    <dxf>
      <numFmt numFmtId="168" formatCode="_-* #,##0.00[$р.-419]_-;\-* #,##0.00[$р.-419]_-;_-* &quot;-&quot;??[$р.-419]_-;_-@_-"/>
    </dxf>
    <dxf>
      <numFmt numFmtId="168" formatCode="_-* #,##0.00[$р.-419]_-;\-* #,##0.00[$р.-419]_-;_-* &quot;-&quot;??[$р.-419]_-;_-@_-"/>
    </dxf>
    <dxf>
      <numFmt numFmtId="167" formatCode="0.0%"/>
    </dxf>
    <dxf>
      <numFmt numFmtId="1" formatCode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_-* #,##0.00&quot;р.&quot;_-;\-* #,##0.00&quot;р.&quot;_-;_-* &quot;-&quot;??&quot;р.&quot;_-;_-@_-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&quot;р.&quot;_-;\-* #,##0.00&quot;р.&quot;_-;_-* &quot;-&quot;??&quot;р.&quot;_-;_-@_-"/>
    </dxf>
    <dxf>
      <numFmt numFmtId="165" formatCode="_-* #,##0.00&quot;р.&quot;_-;\-* #,##0.00&quot;р.&quot;_-;_-* &quot;-&quot;??&quot;р.&quot;_-;_-@_-"/>
    </dxf>
    <dxf>
      <numFmt numFmtId="166" formatCode="#,##0.00&quot;р.&quot;"/>
    </dxf>
    <dxf>
      <numFmt numFmtId="165" formatCode="_-* #,##0.00&quot;р.&quot;_-;\-* #,##0.00&quot;р.&quot;_-;_-* &quot;-&quot;??&quot;р.&quot;_-;_-@_-"/>
    </dxf>
    <dxf>
      <numFmt numFmtId="0" formatCode="General"/>
    </dxf>
    <dxf>
      <numFmt numFmtId="19" formatCode="dd/mm/yyyy"/>
    </dxf>
    <dxf>
      <numFmt numFmtId="169" formatCode="dd/mm/yy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theme="8" tint="0.59999389629810485"/>
          <bgColor theme="8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72" formatCode="_-* #,##0.00\ [$₽-419]_-;\-* #,##0.00\ [$₽-419]_-;_-* &quot;-&quot;??\ [$₽-419]_-;_-@_-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1" defaultTableStyle="TableStyleMedium2" defaultPivotStyle="PivotStyleLight16">
    <tableStyle name="Стиль таблицы 1" pivot="0" count="0" xr9:uid="{05879FF5-9EFD-463B-A135-77A46CFC9B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5533ebd67f55773/Boring%20Folder/Accountancy/Payments%202018.03.14%20-%202018.03.20/Payments%202018.03.14%20-%202018.03.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AccountNumbers"/>
      <sheetName val="Сontractors"/>
      <sheetName val="TransactionТype"/>
      <sheetName val="Products"/>
      <sheetName val="Projects&amp;Contracts"/>
      <sheetName val="Payments 2018.03.14 - 2018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29DE412-E362-4026-89E9-B6E196CD9C31}" name="Projects" displayName="Projects" ref="A1:S213" totalsRowShown="0" headerRowDxfId="96">
  <autoFilter ref="A1:S213" xr:uid="{00000000-0009-0000-0100-000011000000}"/>
  <tableColumns count="19">
    <tableColumn id="11" xr3:uid="{00000000-0010-0000-0100-00000B000000}" name="Status" dataDxfId="95"/>
    <tableColumn id="14" xr3:uid="{00000000-0010-0000-0100-00000E000000}" name="Type" dataDxfId="94" dataCellStyle="Обычный 3"/>
    <tableColumn id="16" xr3:uid="{00000000-0010-0000-0100-000010000000}" name="Start Date" dataDxfId="93" dataCellStyle="Обычный 3"/>
    <tableColumn id="18" xr3:uid="{089B454F-79A1-4744-9D6A-72EC625B40BD}" name="Contracts for Realization" dataDxfId="92"/>
    <tableColumn id="1" xr3:uid="{00000000-0010-0000-0100-000001000000}" name="Projects&amp;Contracts" dataDxfId="91"/>
    <tableColumn id="6" xr3:uid="{00000000-0010-0000-0100-000006000000}" name="Account Number"/>
    <tableColumn id="19" xr3:uid="{5B8AEE91-3C23-4A5B-836E-99163DA6C33D}" name="№ счета" dataCellStyle="Обычный 3"/>
    <tableColumn id="13" xr3:uid="{00000000-0010-0000-0100-00000D000000}" name="Responsible" dataDxfId="90" dataCellStyle="Обычный 3"/>
    <tableColumn id="2" xr3:uid="{00000000-0010-0000-0100-000002000000}" name="Description" dataDxfId="89"/>
    <tableColumn id="3" xr3:uid="{00000000-0010-0000-0100-000003000000}" name="Delivery time"/>
    <tableColumn id="8" xr3:uid="{00000000-0010-0000-0100-000008000000}" name="Delivery time (real)"/>
    <tableColumn id="15" xr3:uid="{B3CD781A-8AB9-41FA-8CE0-33331993BF37}" name="Закрывающие документы проекта" dataDxfId="88" dataCellStyle="Обычный 3"/>
    <tableColumn id="4" xr3:uid="{00000000-0010-0000-0100-000004000000}" name="Contract number" dataDxfId="87"/>
    <tableColumn id="5" xr3:uid="{00000000-0010-0000-0100-000005000000}" name="Price of Agreement" dataDxfId="86"/>
    <tableColumn id="7" xr3:uid="{00000000-0010-0000-0100-000007000000}" name="Advance Payment" dataDxfId="85" dataCellStyle="Денежный 3"/>
    <tableColumn id="9" xr3:uid="{00000000-0010-0000-0100-000009000000}" name="Advance Payment Date" dataDxfId="84" dataCellStyle="Денежный 3"/>
    <tableColumn id="12" xr3:uid="{00000000-0010-0000-0100-00000C000000}" name="Closing Payment" dataDxfId="83" dataCellStyle="Денежный 3"/>
    <tableColumn id="20" xr3:uid="{5DA58565-E41E-481D-B5F1-C733906996B6}" name="Closing Payment Date" dataDxfId="82" dataCellStyle="Денежный 3"/>
    <tableColumn id="10" xr3:uid="{00000000-0010-0000-0100-00000A000000}" name="Closing Date" dataDxfId="8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BFDD601-CDC6-4C80-B28A-8D7AD7E602F1}" name="Types11" displayName="Types11" ref="AL22:AL29" totalsRowShown="0" headerRowDxfId="80" dataDxfId="79" headerRowCellStyle="Обычный 3" dataCellStyle="Обычный 3">
  <autoFilter ref="AL22:AL29" xr:uid="{00000000-0009-0000-0100-000013000000}"/>
  <sortState xmlns:xlrd2="http://schemas.microsoft.com/office/spreadsheetml/2017/richdata2" ref="AL23:AL25">
    <sortCondition ref="AL22:AL25"/>
  </sortState>
  <tableColumns count="1">
    <tableColumn id="1" xr3:uid="{00000000-0010-0000-0300-000001000000}" name="Types" dataDxfId="78" dataCellStyle="Обычный 3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E1C305-1336-4F5E-A8EA-5D48E22244C0}" name="Statuses" displayName="Statuses" ref="AN22:AN25" totalsRowShown="0" headerRowDxfId="77" headerRowCellStyle="Обычный 3" dataCellStyle="Обычный 3">
  <autoFilter ref="AN22:AN25" xr:uid="{5BE1C305-1336-4F5E-A8EA-5D48E22244C0}"/>
  <tableColumns count="1">
    <tableColumn id="1" xr3:uid="{C3B2DB00-8FC9-434A-887D-C508F021B7E0}" name="Statuses" dataCellStyle="Обычный 3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F000000}" name="Contractors" displayName="Contractors" ref="A1:K748" totalsRowShown="0" headerRowDxfId="76" dataDxfId="75">
  <autoFilter ref="A1:K748" xr:uid="{00000000-000C-0000-FFFF-FFFF0F000000}"/>
  <tableColumns count="11">
    <tableColumn id="1" xr3:uid="{00000000-0010-0000-0F00-000001000000}" name="Company name" dataDxfId="74"/>
    <tableColumn id="2" xr3:uid="{00000000-0010-0000-0F00-000002000000}" name="Short name" dataDxfId="73"/>
    <tableColumn id="3" xr3:uid="{00000000-0010-0000-0F00-000003000000}" name="Ставка НДС" dataDxfId="72"/>
    <tableColumn id="4" xr3:uid="{00000000-0010-0000-0F00-000004000000}" name="Type" dataDxfId="71"/>
    <tableColumn id="5" xr3:uid="{00000000-0010-0000-0F00-000005000000}" name="Род деятельности" dataDxfId="70"/>
    <tableColumn id="6" xr3:uid="{00000000-0010-0000-0F00-000006000000}" name="Комментарии" dataDxfId="69"/>
    <tableColumn id="7" xr3:uid="{00000000-0010-0000-0F00-000007000000}" name="Контакт" dataDxfId="68"/>
    <tableColumn id="8" xr3:uid="{00000000-0010-0000-0F00-000008000000}" name="E-mail" dataDxfId="67"/>
    <tableColumn id="9" xr3:uid="{00000000-0010-0000-0F00-000009000000}" name="Web" dataDxfId="66"/>
    <tableColumn id="10" xr3:uid="{00000000-0010-0000-0F00-00000A000000}" name="Telephone" dataDxfId="65"/>
    <tableColumn id="11" xr3:uid="{00000000-0010-0000-0F00-00000B000000}" name="Address" dataDxfId="6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Salary" displayName="Salary" ref="A1:V138" totalsRowShown="0">
  <autoFilter ref="A1:V138" xr:uid="{00000000-0009-0000-0100-000004000000}"/>
  <tableColumns count="22">
    <tableColumn id="6" xr3:uid="{00000000-0010-0000-0A00-000006000000}" name="№" dataDxfId="63"/>
    <tableColumn id="1" xr3:uid="{00000000-0010-0000-0A00-000001000000}" name="Date" dataDxfId="62"/>
    <tableColumn id="5" xr3:uid="{00000000-0010-0000-0A00-000005000000}" name="Position" dataDxfId="61"/>
    <tableColumn id="9" xr3:uid="{00000000-0010-0000-0A00-000009000000}" name="Grade" dataDxfId="60">
      <calculatedColumnFormula>SUMIF(Positions[Positions],Salary[[#This Row],[Position]],Positions[Grade])</calculatedColumnFormula>
    </tableColumn>
    <tableColumn id="2" xr3:uid="{00000000-0010-0000-0A00-000002000000}" name="Employee"/>
    <tableColumn id="3" xr3:uid="{00000000-0010-0000-0A00-000003000000}" name="Salary" dataDxfId="59"/>
    <tableColumn id="4" xr3:uid="{00000000-0010-0000-0A00-000004000000}" name="Average salary per hour" dataDxfId="58">
      <calculatedColumnFormula>ROUND(Salary[[#This Row],[Salary]]/160,0)</calculatedColumnFormula>
    </tableColumn>
    <tableColumn id="7" xr3:uid="{00000000-0010-0000-0A00-000007000000}" name="FTE"/>
    <tableColumn id="8" xr3:uid="{00000000-0010-0000-0A00-000008000000}" name="Average salary per Month" dataDxfId="57">
      <calculatedColumnFormula>Salary[[#This Row],[FTE]]*Salary[[#This Row],[Salary]]</calculatedColumnFormula>
    </tableColumn>
    <tableColumn id="22" xr3:uid="{00000000-0010-0000-0A00-000016000000}" name="Base Budgeting COST" dataDxfId="56">
      <calculatedColumnFormula>INDEX(GradesAndSalaries[],MATCH(Salary[[#This Row],[Grade]],GradesAndSalaries[Grade],0),MATCH(Employee[[#Headers],[Base Budgeting COST]],GradesAndSalaries[#Headers],0))</calculatedColumnFormula>
    </tableColumn>
    <tableColumn id="10" xr3:uid="{00000000-0010-0000-0A00-00000A000000}" name="Description"/>
    <tableColumn id="21" xr3:uid="{00000000-0010-0000-0A00-000015000000}" name="SalaryOfficial">
      <calculatedColumnFormula>Salary[[#This Row],[Salary]]/(1-INDEX(Tax[НДФЛ],MATCH(Salary[[#This Row],[PaymentMethod]],Tax[PaymentMethod])))</calculatedColumnFormula>
    </tableColumn>
    <tableColumn id="11" xr3:uid="{00000000-0010-0000-0A00-00000B000000}" name="PaymentMethod"/>
    <tableColumn id="12" xr3:uid="{00000000-0010-0000-0A00-00000C000000}" name="Полный Налог">
      <calculatedColumnFormula>Salary[[#This Row],[НДФЛ]]+Salary[[#This Row],[Фонды]]+Salary[[#This Row],[Налог на прибыль]]+Salary[[#This Row],[НДС]]</calculatedColumnFormula>
    </tableColumn>
    <tableColumn id="13" xr3:uid="{00000000-0010-0000-0A00-00000D000000}" name="Полная сумма">
      <calculatedColumnFormula>Salary[[#This Row],[Salary]]+Salary[[#This Row],[Полный Налог]]</calculatedColumnFormula>
    </tableColumn>
    <tableColumn id="14" xr3:uid="{00000000-0010-0000-0A00-00000E000000}" name="Налоговая нагрузка">
      <calculatedColumnFormula>Salary[[#This Row],[Полный Налог]]/Salary[[#This Row],[Salary]]</calculatedColumnFormula>
    </tableColumn>
    <tableColumn id="15" xr3:uid="{00000000-0010-0000-0A00-00000F000000}" name="НДФЛ">
      <calculatedColumnFormula>Salary[[#This Row],[SalaryOfficial]]*INDEX(Tax[НДФЛ],MATCH(Salary[[#This Row],[PaymentMethod]],Tax[PaymentMethod], 0))</calculatedColumnFormula>
    </tableColumn>
    <tableColumn id="16" xr3:uid="{00000000-0010-0000-0A00-000010000000}" name="Фонды">
      <calculatedColumnFormula>Salary[[#This Row],[SalaryOfficial]]*INDEX(Tax[Взносы],MATCH(Salary[[#This Row],[PaymentMethod]],Tax[PaymentMethod],0))</calculatedColumnFormula>
    </tableColumn>
    <tableColumn id="17" xr3:uid="{00000000-0010-0000-0A00-000011000000}" name="ЗП+НДФЛ+Фонды">
      <calculatedColumnFormula>Salary[[#This Row],[Salary]]+Salary[[#This Row],[НДФЛ]]+Salary[[#This Row],[Фонды]]</calculatedColumnFormula>
    </tableColumn>
    <tableColumn id="18" xr3:uid="{00000000-0010-0000-0A00-000012000000}" name="Прибыль">
      <calculatedColumnFormula>Salary[[#This Row],[ЗП+НДФЛ+Фонды]]/(1-INDEX(Tax[УСН или Прибыль],MATCH(Salary[[#This Row],[PaymentMethod]],Tax[PaymentMethod],0)))</calculatedColumnFormula>
    </tableColumn>
    <tableColumn id="19" xr3:uid="{00000000-0010-0000-0A00-000013000000}" name="Налог на прибыль">
      <calculatedColumnFormula>Salary[[#This Row],[Прибыль]]*INDEX(Tax[УСН или Прибыль],MATCH(Salary[[#This Row],[PaymentMethod]],Tax[PaymentMethod],0))</calculatedColumnFormula>
    </tableColumn>
    <tableColumn id="20" xr3:uid="{00000000-0010-0000-0A00-000014000000}" name="НДС">
      <calculatedColumnFormula>Salary[[#This Row],[Прибыль]]*INDEX(Tax[НДС],MATCH(Salary[[#This Row],[PaymentMethod]],Tax[PaymentMethod],0))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AccountNumbers" displayName="AccountNumbers" ref="A1:D157" totalsRowShown="0">
  <autoFilter ref="A1:D157" xr:uid="{00000000-0009-0000-0100-000009000000}"/>
  <tableColumns count="4">
    <tableColumn id="1" xr3:uid="{00000000-0010-0000-0C00-000001000000}" name="№"/>
    <tableColumn id="3" xr3:uid="{00000000-0010-0000-0C00-000003000000}" name="Account Number"/>
    <tableColumn id="2" xr3:uid="{00000000-0010-0000-0C00-000002000000}" name="Account Type"/>
    <tableColumn id="4" xr3:uid="{184CC6F8-B8A7-49E3-B2DA-FE5D0009401F}" name="Comments" dataDxfId="55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D000000}" name="AccountTypes" displayName="AccountTypes" ref="I1:I6" totalsRowShown="0">
  <autoFilter ref="I1:I6" xr:uid="{00000000-0009-0000-0100-000003000000}"/>
  <sortState xmlns:xlrd2="http://schemas.microsoft.com/office/spreadsheetml/2017/richdata2" ref="I2:I5">
    <sortCondition ref="I1:I5"/>
  </sortState>
  <tableColumns count="1">
    <tableColumn id="1" xr3:uid="{00000000-0010-0000-0D00-000001000000}" name="Account Type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B000000}" name="Products" displayName="Products" ref="A1:B30" totalsRowShown="0">
  <autoFilter ref="A1:B30" xr:uid="{00000000-0009-0000-0100-000001000000}"/>
  <tableColumns count="2">
    <tableColumn id="1" xr3:uid="{00000000-0010-0000-0B00-000001000000}" name="Products"/>
    <tableColumn id="2" xr3:uid="{81F3243C-222D-4752-AB65-8E82E84A4D64}" name="ПРИМЕЧАНИЕ" dataDxfId="54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Positions" displayName="Positions" ref="A1:H22" totalsRowShown="0" headerRowDxfId="53">
  <autoFilter ref="A1:H22" xr:uid="{00000000-0009-0000-0100-000007000000}"/>
  <tableColumns count="8">
    <tableColumn id="1" xr3:uid="{00000000-0010-0000-0700-000001000000}" name="Positions"/>
    <tableColumn id="2" xr3:uid="{00000000-0010-0000-0700-000002000000}" name="Grade" dataDxfId="52"/>
    <tableColumn id="3" xr3:uid="{00000000-0010-0000-0700-000003000000}" name="Average Salary" dataDxfId="51">
      <calculatedColumnFormula>VLOOKUP(Positions[[#This Row],[Grade]],GradesAndSalaries[],MATCH(Positions[[#Headers],[Average Salary]],GradesAndSalaries[#Headers],0),FALSE)</calculatedColumnFormula>
    </tableColumn>
    <tableColumn id="4" xr3:uid="{00000000-0010-0000-0700-000004000000}" name="Min. Salary">
      <calculatedColumnFormula>VLOOKUP(Positions[[#This Row],[Grade]],GradesAndSalaries[],4,FALSE)</calculatedColumnFormula>
    </tableColumn>
    <tableColumn id="9" xr3:uid="{00000000-0010-0000-0700-000009000000}" name="Rate 2" dataDxfId="50">
      <calculatedColumnFormula>Positions[[#This Row],[Min. Salary]]+(Positions[[#This Row],[Max. Salary]]-Positions[[#This Row],[Min. Salary]])/4</calculatedColumnFormula>
    </tableColumn>
    <tableColumn id="8" xr3:uid="{00000000-0010-0000-0700-000008000000}" name="Rate 3" dataDxfId="49">
      <calculatedColumnFormula>Positions[[#This Row],[Rate 2]]+(Positions[[#This Row],[Max. Salary]]-Positions[[#This Row],[Min. Salary]])/4</calculatedColumnFormula>
    </tableColumn>
    <tableColumn id="7" xr3:uid="{00000000-0010-0000-0700-000007000000}" name="Rate 4" dataDxfId="48">
      <calculatedColumnFormula>Positions[[#This Row],[Rate 3]]+(Positions[[#This Row],[Max. Salary]]-Positions[[#This Row],[Min. Salary]])/4</calculatedColumnFormula>
    </tableColumn>
    <tableColumn id="5" xr3:uid="{00000000-0010-0000-0700-000005000000}" name="Max. Salary">
      <calculatedColumnFormula>VLOOKUP(Positions[[#This Row],[Grade]],GradesAndSalaries[],5,FALSE)</calculatedColumnFormula>
    </tableColumn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GradesAndSalaries" displayName="GradesAndSalaries" ref="A1:S15" totalsRowShown="0" headerRowDxfId="47">
  <autoFilter ref="A1:S15" xr:uid="{00000000-0009-0000-0100-00000B000000}"/>
  <tableColumns count="19">
    <tableColumn id="1" xr3:uid="{00000000-0010-0000-0000-000001000000}" name="Grade" dataDxfId="46"/>
    <tableColumn id="2" xr3:uid="{00000000-0010-0000-0000-000002000000}" name="Delta, %" dataDxfId="45"/>
    <tableColumn id="3" xr3:uid="{00000000-0010-0000-0000-000003000000}" name="Average Salary">
      <calculatedColumnFormula>AVERAGE(GradesAndSalaries[[#This Row],[Min. Salary]],GradesAndSalaries[[#This Row],[Max. Salary]])</calculatedColumnFormula>
    </tableColumn>
    <tableColumn id="4" xr3:uid="{00000000-0010-0000-0000-000004000000}" name="Min. Salary" dataDxfId="44"/>
    <tableColumn id="5" xr3:uid="{00000000-0010-0000-0000-000005000000}" name="Max. Salary"/>
    <tableColumn id="8" xr3:uid="{00000000-0010-0000-0000-000008000000}" name="Overhead costs multiplier" dataDxfId="43"/>
    <tableColumn id="11" xr3:uid="{00000000-0010-0000-0000-00000B000000}" name="Overhead costs + TAX" dataDxfId="42"/>
    <tableColumn id="7" xr3:uid="{00000000-0010-0000-0000-000007000000}" name="Target Utilization"/>
    <tableColumn id="16" xr3:uid="{00000000-0010-0000-0000-000010000000}" name="Costs per Person per year" dataDxfId="41"/>
    <tableColumn id="13" xr3:uid="{00000000-0010-0000-0000-00000D000000}" name="Base Budgeting COST" dataDxfId="40"/>
    <tableColumn id="14" xr3:uid="{00000000-0010-0000-0000-00000E000000}" name="Direct hour cost by Salary + Overhead costs" dataDxfId="39"/>
    <tableColumn id="6" xr3:uid="{00000000-0010-0000-0000-000006000000}" name="Project Bonus"/>
    <tableColumn id="9" xr3:uid="{00000000-0010-0000-0000-000009000000}" name="FTE in Grade" dataDxfId="38">
      <calculatedColumnFormula>SUMIF(Employee[Grade Status],GradesAndSalaries[[#This Row],[Grade]],Employee[FTE])</calculatedColumnFormula>
    </tableColumn>
    <tableColumn id="12" xr3:uid="{00000000-0010-0000-0000-00000C000000}" name="Overhead costs multiplier * FTE in Grade" dataDxfId="37">
      <calculatedColumnFormula>SUM(GradesAndSalaries[[#This Row],[Overhead costs multiplier * FTE in Grade]])</calculatedColumnFormula>
    </tableColumn>
    <tableColumn id="10" xr3:uid="{00000000-0010-0000-0000-00000A000000}" name="Average Salary TAX"/>
    <tableColumn id="15" xr3:uid="{00000000-0010-0000-0000-00000F000000}" name="Current Overhead costs + TAX"/>
    <tableColumn id="17" xr3:uid="{00000000-0010-0000-0000-000011000000}" name="Overhead costs + TAX Current Ratio" dataDxfId="36"/>
    <tableColumn id="18" xr3:uid="{00000000-0010-0000-0000-000012000000}" name="Min. Overhead costs + TAX"/>
    <tableColumn id="19" xr3:uid="{00000000-0010-0000-0000-000013000000}" name="Min. Budgeting COST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Employee" displayName="Employee" ref="A1:H47" totalsRowShown="0" headerRowDxfId="35" dataDxfId="34">
  <autoFilter ref="A1:H47" xr:uid="{00000000-0009-0000-0100-000006000000}"/>
  <tableColumns count="8">
    <tableColumn id="1" xr3:uid="{00000000-0010-0000-0400-000001000000}" name="Employee" dataDxfId="33"/>
    <tableColumn id="2" xr3:uid="{00000000-0010-0000-0400-000002000000}" name="Position Status" dataDxfId="32">
      <calculatedColumnFormula array="1">INDEX(Salary[],LARGE(IF((Salary[Employee]=Employee[[#This Row],[Employee]]),Salary[№],""),1),MATCH(Salary[[#Headers],[Position]],Salary[#Headers],0))</calculatedColumnFormula>
    </tableColumn>
    <tableColumn id="3" xr3:uid="{00000000-0010-0000-0400-000003000000}" name="Grade Status" dataDxfId="31">
      <calculatedColumnFormula>INDEX(Salary[],LARGE(IF((Salary[[#This Row],[Employee]]=Employee[[#This Row],[Employee]]),Salary[№],""),1),MATCH(Salary[[#Headers],[Grade]],Salary[#Headers],0))</calculatedColumnFormula>
    </tableColumn>
    <tableColumn id="5" xr3:uid="{00000000-0010-0000-0400-000005000000}" name="FTE" dataDxfId="30">
      <calculatedColumnFormula array="1">INDEX(Salary[],LARGE(IF((Salary[Employee]=Employee[[#This Row],[Employee]]),Salary[№],""),1),MATCH(Employee[[#Headers],[FTE]],Salary[#Headers],0))</calculatedColumnFormula>
    </tableColumn>
    <tableColumn id="7" xr3:uid="{00000000-0010-0000-0400-000007000000}" name="Target Utilization" dataDxfId="29">
      <calculatedColumnFormula>INDEX(GradesAndSalaries[],MATCH(Employee[[#This Row],[Grade Status]],GradesAndSalaries[Grade],0),MATCH("Target Utilization",GradesAndSalaries[#Headers],0))</calculatedColumnFormula>
    </tableColumn>
    <tableColumn id="4" xr3:uid="{00000000-0010-0000-0400-000004000000}" name="Base Budgeting COST" dataDxfId="28">
      <calculatedColumnFormula>INDEX(GradesAndSalaries[],MATCH(Employee[[#This Row],[Grade Status]],GradesAndSalaries[Grade],0),MATCH(Employee[[#Headers],[Base Budgeting COST]],GradesAndSalaries[#Headers],0))</calculatedColumnFormula>
    </tableColumn>
    <tableColumn id="6" xr3:uid="{00000000-0010-0000-0400-000006000000}" name="Min. Budgeting COST" dataDxfId="27">
      <calculatedColumnFormula array="1">INDEX(GradesAndSalaries[],MATCH(Employee[[#This Row],[Grade Status]],GradesAndSalaries[Grade],0),MATCH(Employee[[#Headers],[Min. Budgeting COST]],GradesAndSalaries[#Headers],0))</calculatedColumnFormula>
    </tableColumn>
    <tableColumn id="8" xr3:uid="{00000000-0010-0000-0400-000008000000}" name="Полная сумма" dataDxfId="26"/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OverheadCostTypes" displayName="OverheadCostTypes" ref="A1:A8" totalsRowShown="0">
  <autoFilter ref="A1:A8" xr:uid="{00000000-0009-0000-0100-00000C000000}"/>
  <tableColumns count="1">
    <tableColumn id="1" xr3:uid="{00000000-0010-0000-0500-000001000000}" name="Overhead Cost Types"/>
  </tableColumns>
  <tableStyleInfo name="TableStyleMedium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OverheadCostTypes2" displayName="OverheadCostTypes2" ref="A11:A13" totalsRowShown="0">
  <autoFilter ref="A11:A13" xr:uid="{00000000-0009-0000-0100-00000E000000}"/>
  <tableColumns count="1">
    <tableColumn id="1" xr3:uid="{00000000-0010-0000-0600-000001000000}" name="Overhead Cost Types 2"/>
  </tableColumns>
  <tableStyleInfo name="TableStyleMedium1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OverheadCostsTransactionalTable" displayName="OverheadCostsTransactionalTable" ref="A15:E38" totalsRowShown="0" dataDxfId="25">
  <autoFilter ref="A15:E38" xr:uid="{00000000-0009-0000-0100-00000D000000}"/>
  <sortState xmlns:xlrd2="http://schemas.microsoft.com/office/spreadsheetml/2017/richdata2" ref="A16:E37">
    <sortCondition ref="B15:B37"/>
  </sortState>
  <tableColumns count="5">
    <tableColumn id="1" xr3:uid="{00000000-0010-0000-0800-000001000000}" name="№" dataDxfId="24"/>
    <tableColumn id="3" xr3:uid="{00000000-0010-0000-0800-000003000000}" name="Date" dataDxfId="23"/>
    <tableColumn id="4" xr3:uid="{00000000-0010-0000-0800-000004000000}" name="Overhead Cost Name" dataDxfId="22"/>
    <tableColumn id="5" xr3:uid="{00000000-0010-0000-0800-000005000000}" name="Price per Month, RUB" dataDxfId="21"/>
    <tableColumn id="2" xr3:uid="{00000000-0010-0000-0800-000002000000}" name="Description" dataDxfId="20"/>
  </tableColumns>
  <tableStyleInfo name="TableStyleMedium1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OverheadCosts" displayName="OverheadCosts" ref="A1:G12" totalsRowShown="0" dataDxfId="19">
  <autoFilter ref="A1:G12" xr:uid="{00000000-0009-0000-0100-00000F000000}"/>
  <sortState xmlns:xlrd2="http://schemas.microsoft.com/office/spreadsheetml/2017/richdata2" ref="A2:G12">
    <sortCondition ref="D1:D12"/>
  </sortState>
  <tableColumns count="7">
    <tableColumn id="2" xr3:uid="{00000000-0010-0000-0900-000002000000}" name="The last Mention Date" dataDxfId="18">
      <calculatedColumnFormula array="1">LARGE(IF(OverheadCostsTransactionalTable[Overhead Cost Name]=OverheadCosts[[#This Row],[Overhead Cost Name]],OverheadCostsTransactionalTable[Date],"No Mentions"),1)</calculatedColumnFormula>
    </tableColumn>
    <tableColumn id="4" xr3:uid="{00000000-0010-0000-0900-000004000000}" name="Overhead Cost Type" dataDxfId="17"/>
    <tableColumn id="5" xr3:uid="{00000000-0010-0000-0900-000005000000}" name="Overhead Cost Type 2" dataDxfId="16"/>
    <tableColumn id="8" xr3:uid="{00000000-0010-0000-0900-000008000000}" name="Overhead Cost Item" dataDxfId="15"/>
    <tableColumn id="1" xr3:uid="{00000000-0010-0000-0900-000001000000}" name="Overhead Cost Name" dataDxfId="14"/>
    <tableColumn id="6" xr3:uid="{00000000-0010-0000-0900-000006000000}" name="Price per Month, RUB" dataDxfId="13">
      <calculatedColumnFormula>SUMIFS(OverheadCostsTransactionalTable[Price per Month, RUB],OverheadCostsTransactionalTable[Overhead Cost Name],OverheadCosts[[#This Row],[Overhead Cost Name]],OverheadCostsTransactionalTable[Date],OverheadCosts[[#This Row],[The last Mention Date]])</calculatedColumnFormula>
    </tableColumn>
    <tableColumn id="7" xr3:uid="{00000000-0010-0000-0900-000007000000}" name="Description" dataDxfId="12"/>
  </tableColumns>
  <tableStyleInfo name="TableStyleMedium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VAT" displayName="VAT" ref="A1:D5" totalsRowShown="0">
  <autoFilter ref="A1:D5" xr:uid="{00000000-0009-0000-0100-000010000000}"/>
  <tableColumns count="4">
    <tableColumn id="1" xr3:uid="{00000000-0010-0000-1000-000001000000}" name="№"/>
    <tableColumn id="2" xr3:uid="{00000000-0010-0000-1000-000002000000}" name="Date" dataDxfId="11"/>
    <tableColumn id="3" xr3:uid="{00000000-0010-0000-1000-000003000000}" name="VAT Type"/>
    <tableColumn id="4" xr3:uid="{00000000-0010-0000-1000-000004000000}" name="VAT Amount" dataDxfId="10"/>
  </tableColumns>
  <tableStyleInfo name="TableStyleMedium1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VAT_Types" displayName="VAT_Types" ref="H1:H4" totalsRowShown="0">
  <autoFilter ref="H1:H4" xr:uid="{00000000-0009-0000-0100-000014000000}"/>
  <tableColumns count="1">
    <tableColumn id="1" xr3:uid="{00000000-0010-0000-1100-000001000000}" name="VAT Types"/>
  </tableColumns>
  <tableStyleInfo name="TableStyleMedium1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Tax" displayName="Tax" ref="J1:R8" totalsRowShown="0" headerRowDxfId="9">
  <autoFilter ref="J1:R8" xr:uid="{00000000-0009-0000-0100-000016000000}"/>
  <tableColumns count="9">
    <tableColumn id="1" xr3:uid="{00000000-0010-0000-1200-000001000000}" name="PaymentMethod"/>
    <tableColumn id="2" xr3:uid="{00000000-0010-0000-1200-000002000000}" name="НДС" dataDxfId="8"/>
    <tableColumn id="3" xr3:uid="{00000000-0010-0000-1200-000003000000}" name="УСН или Прибыль"/>
    <tableColumn id="4" xr3:uid="{00000000-0010-0000-1200-000004000000}" name="ПФР" dataDxfId="7"/>
    <tableColumn id="5" xr3:uid="{00000000-0010-0000-1200-000005000000}" name="ФФОМС" dataDxfId="6"/>
    <tableColumn id="6" xr3:uid="{00000000-0010-0000-1200-000006000000}" name="ФСС" dataDxfId="5"/>
    <tableColumn id="9" xr3:uid="{00000000-0010-0000-1200-000009000000}" name="На травматизм"/>
    <tableColumn id="7" xr3:uid="{00000000-0010-0000-1200-000007000000}" name="Взносы" dataDxfId="4">
      <calculatedColumnFormula>SUM(Tax[[#This Row],[ПФР]:[На травматизм]])</calculatedColumnFormula>
    </tableColumn>
    <tableColumn id="8" xr3:uid="{00000000-0010-0000-1200-000008000000}" name="НДФЛ" dataDxfId="3"/>
  </tableColumns>
  <tableStyleInfo name="TableStyleMedium1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3000000}" name="Budget_Types" displayName="Budget_Types" ref="A1:A4" totalsRowShown="0">
  <autoFilter ref="A1:A4" xr:uid="{00000000-0009-0000-0100-000008000000}"/>
  <tableColumns count="1">
    <tableColumn id="1" xr3:uid="{00000000-0010-0000-1300-000001000000}" name="Budget Types"/>
  </tableColumns>
  <tableStyleInfo name="TableStyleMedium1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4000000}" name="Таблица101011" displayName="Таблица101011" ref="A1:A4" totalsRowShown="0">
  <autoFilter ref="A1:A4" xr:uid="{00000000-0009-0000-0100-00000A000000}"/>
  <tableColumns count="1">
    <tableColumn id="1" xr3:uid="{00000000-0010-0000-1400-000001000000}" name="Expense Items"/>
  </tableColumns>
  <tableStyleInfo name="TableStyleMedium1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8765CB5-1ABA-409D-807F-8F55718627FF}" name="Types" displayName="Types" ref="A1:A8" totalsRowShown="0" headerRowDxfId="2" dataDxfId="1" headerRowCellStyle="Обычный 3" dataCellStyle="Обычный 3">
  <autoFilter ref="A1:A8" xr:uid="{28765CB5-1ABA-409D-807F-8F55718627FF}"/>
  <sortState xmlns:xlrd2="http://schemas.microsoft.com/office/spreadsheetml/2017/richdata2" ref="A2:A4">
    <sortCondition ref="A1:A4"/>
  </sortState>
  <tableColumns count="1">
    <tableColumn id="1" xr3:uid="{2595F9A7-1739-410C-9AE6-468C6B06E563}" name="Types" dataDxfId="0" dataCellStyle="Обычный 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pro-mr.ru/" TargetMode="External"/><Relationship Id="rId21" Type="http://schemas.openxmlformats.org/officeDocument/2006/relationships/hyperlink" Target="http://www.sovis.ru/" TargetMode="External"/><Relationship Id="rId42" Type="http://schemas.openxmlformats.org/officeDocument/2006/relationships/hyperlink" Target="https://cleanshop.ru/" TargetMode="External"/><Relationship Id="rId63" Type="http://schemas.openxmlformats.org/officeDocument/2006/relationships/hyperlink" Target="https://mblmebel.com/" TargetMode="External"/><Relationship Id="rId84" Type="http://schemas.openxmlformats.org/officeDocument/2006/relationships/hyperlink" Target="https://virpil.by/" TargetMode="External"/><Relationship Id="rId138" Type="http://schemas.openxmlformats.org/officeDocument/2006/relationships/hyperlink" Target="https://www.avangard.ru/rus/" TargetMode="External"/><Relationship Id="rId107" Type="http://schemas.openxmlformats.org/officeDocument/2006/relationships/hyperlink" Target="https://www.trusted.ru/" TargetMode="External"/><Relationship Id="rId11" Type="http://schemas.openxmlformats.org/officeDocument/2006/relationships/hyperlink" Target="http://www.technic.ru/" TargetMode="External"/><Relationship Id="rId32" Type="http://schemas.openxmlformats.org/officeDocument/2006/relationships/hyperlink" Target="https://dostavista.ru/" TargetMode="External"/><Relationship Id="rId53" Type="http://schemas.openxmlformats.org/officeDocument/2006/relationships/hyperlink" Target="https://sportmarket.su/" TargetMode="External"/><Relationship Id="rId74" Type="http://schemas.openxmlformats.org/officeDocument/2006/relationships/hyperlink" Target="https://amarid.ru/" TargetMode="External"/><Relationship Id="rId128" Type="http://schemas.openxmlformats.org/officeDocument/2006/relationships/hyperlink" Target="https://krep-shop.ru/" TargetMode="External"/><Relationship Id="rId149" Type="http://schemas.openxmlformats.org/officeDocument/2006/relationships/printerSettings" Target="../printerSettings/printerSettings2.bin"/><Relationship Id="rId5" Type="http://schemas.openxmlformats.org/officeDocument/2006/relationships/hyperlink" Target="http://proplast-nn.ru/ru/tekhnologii.html" TargetMode="External"/><Relationship Id="rId95" Type="http://schemas.openxmlformats.org/officeDocument/2006/relationships/hyperlink" Target="https://www.std-shell.ru/" TargetMode="External"/><Relationship Id="rId22" Type="http://schemas.openxmlformats.org/officeDocument/2006/relationships/hyperlink" Target="http://www.tularti.ru/" TargetMode="External"/><Relationship Id="rId27" Type="http://schemas.openxmlformats.org/officeDocument/2006/relationships/hyperlink" Target="https://www.superbolt.ru/" TargetMode="External"/><Relationship Id="rId43" Type="http://schemas.openxmlformats.org/officeDocument/2006/relationships/hyperlink" Target="http://www.e-cdek.ru/" TargetMode="External"/><Relationship Id="rId48" Type="http://schemas.openxmlformats.org/officeDocument/2006/relationships/hyperlink" Target="http://www.&#1086;&#1082;&#1085;&#1072;.&#1088;&#1092;/" TargetMode="External"/><Relationship Id="rId64" Type="http://schemas.openxmlformats.org/officeDocument/2006/relationships/hyperlink" Target="http://www.tab-art.ru/" TargetMode="External"/><Relationship Id="rId69" Type="http://schemas.openxmlformats.org/officeDocument/2006/relationships/hyperlink" Target="http://www.skb-077.ru/" TargetMode="External"/><Relationship Id="rId113" Type="http://schemas.openxmlformats.org/officeDocument/2006/relationships/hyperlink" Target="https://novofon.com/" TargetMode="External"/><Relationship Id="rId118" Type="http://schemas.openxmlformats.org/officeDocument/2006/relationships/hyperlink" Target="https://htvision.ru/" TargetMode="External"/><Relationship Id="rId134" Type="http://schemas.openxmlformats.org/officeDocument/2006/relationships/hyperlink" Target="https://www.magkrep.ru/" TargetMode="External"/><Relationship Id="rId139" Type="http://schemas.openxmlformats.org/officeDocument/2006/relationships/hyperlink" Target="https://shop.tepmo.com/" TargetMode="External"/><Relationship Id="rId80" Type="http://schemas.openxmlformats.org/officeDocument/2006/relationships/hyperlink" Target="http://www.alpha-hydraulics.ru/" TargetMode="External"/><Relationship Id="rId85" Type="http://schemas.openxmlformats.org/officeDocument/2006/relationships/hyperlink" Target="http://electrum-av.com/ru/" TargetMode="External"/><Relationship Id="rId150" Type="http://schemas.openxmlformats.org/officeDocument/2006/relationships/table" Target="../tables/table4.xml"/><Relationship Id="rId12" Type="http://schemas.openxmlformats.org/officeDocument/2006/relationships/hyperlink" Target="http://www.voltmaster.ru/" TargetMode="External"/><Relationship Id="rId17" Type="http://schemas.openxmlformats.org/officeDocument/2006/relationships/hyperlink" Target="http://www.forcomposite.ru/" TargetMode="External"/><Relationship Id="rId33" Type="http://schemas.openxmlformats.org/officeDocument/2006/relationships/hyperlink" Target="http://pmk50.ru/" TargetMode="External"/><Relationship Id="rId38" Type="http://schemas.openxmlformats.org/officeDocument/2006/relationships/hyperlink" Target="http://microtensor.ru/" TargetMode="External"/><Relationship Id="rId59" Type="http://schemas.openxmlformats.org/officeDocument/2006/relationships/hyperlink" Target="https://vodnik.1000size.ru/" TargetMode="External"/><Relationship Id="rId103" Type="http://schemas.openxmlformats.org/officeDocument/2006/relationships/hyperlink" Target="http://domkraski.ru/" TargetMode="External"/><Relationship Id="rId108" Type="http://schemas.openxmlformats.org/officeDocument/2006/relationships/hyperlink" Target="https://www.perekrestok.ru/" TargetMode="External"/><Relationship Id="rId124" Type="http://schemas.openxmlformats.org/officeDocument/2006/relationships/hyperlink" Target="https://subtilit.ru/" TargetMode="External"/><Relationship Id="rId129" Type="http://schemas.openxmlformats.org/officeDocument/2006/relationships/hyperlink" Target="https://cncmagazine.ru/" TargetMode="External"/><Relationship Id="rId54" Type="http://schemas.openxmlformats.org/officeDocument/2006/relationships/hyperlink" Target="https://innovax.info/" TargetMode="External"/><Relationship Id="rId70" Type="http://schemas.openxmlformats.org/officeDocument/2006/relationships/hyperlink" Target="https://my-pack.ru/" TargetMode="External"/><Relationship Id="rId75" Type="http://schemas.openxmlformats.org/officeDocument/2006/relationships/hyperlink" Target="https://www.dellin.ru/" TargetMode="External"/><Relationship Id="rId91" Type="http://schemas.openxmlformats.org/officeDocument/2006/relationships/hyperlink" Target="http://mehlab.net/" TargetMode="External"/><Relationship Id="rId96" Type="http://schemas.openxmlformats.org/officeDocument/2006/relationships/hyperlink" Target="https://www.mir-krepega.ru/" TargetMode="External"/><Relationship Id="rId140" Type="http://schemas.openxmlformats.org/officeDocument/2006/relationships/hyperlink" Target="https://avto-bolt.ru/" TargetMode="External"/><Relationship Id="rId145" Type="http://schemas.openxmlformats.org/officeDocument/2006/relationships/hyperlink" Target="https://vils.ru/" TargetMode="External"/><Relationship Id="rId1" Type="http://schemas.openxmlformats.org/officeDocument/2006/relationships/hyperlink" Target="http://www.invent3d.ru/" TargetMode="External"/><Relationship Id="rId6" Type="http://schemas.openxmlformats.org/officeDocument/2006/relationships/hyperlink" Target="http://www.vseinstrumenti.ru/" TargetMode="External"/><Relationship Id="rId23" Type="http://schemas.openxmlformats.org/officeDocument/2006/relationships/hyperlink" Target="http://hydmarket.ru/" TargetMode="External"/><Relationship Id="rId28" Type="http://schemas.openxmlformats.org/officeDocument/2006/relationships/hyperlink" Target="http://hummerplus.ru/" TargetMode="External"/><Relationship Id="rId49" Type="http://schemas.openxmlformats.org/officeDocument/2006/relationships/hyperlink" Target="http://www.roboticsgears.com/" TargetMode="External"/><Relationship Id="rId114" Type="http://schemas.openxmlformats.org/officeDocument/2006/relationships/hyperlink" Target="https://www.ozon.ru/" TargetMode="External"/><Relationship Id="rId119" Type="http://schemas.openxmlformats.org/officeDocument/2006/relationships/hyperlink" Target="https://koronapay.com/transfers/about/" TargetMode="External"/><Relationship Id="rId44" Type="http://schemas.openxmlformats.org/officeDocument/2006/relationships/hyperlink" Target="http://am20.ru/" TargetMode="External"/><Relationship Id="rId60" Type="http://schemas.openxmlformats.org/officeDocument/2006/relationships/hyperlink" Target="tel:+74953747991" TargetMode="External"/><Relationship Id="rId65" Type="http://schemas.openxmlformats.org/officeDocument/2006/relationships/hyperlink" Target="https://ecovanna.ru/" TargetMode="External"/><Relationship Id="rId81" Type="http://schemas.openxmlformats.org/officeDocument/2006/relationships/hyperlink" Target="https://www.dragonmotors.ru/" TargetMode="External"/><Relationship Id="rId86" Type="http://schemas.openxmlformats.org/officeDocument/2006/relationships/hyperlink" Target="http://prutki.ru/" TargetMode="External"/><Relationship Id="rId130" Type="http://schemas.openxmlformats.org/officeDocument/2006/relationships/hyperlink" Target="https://magazin-detaley.ru/" TargetMode="External"/><Relationship Id="rId135" Type="http://schemas.openxmlformats.org/officeDocument/2006/relationships/hyperlink" Target="http://rostfrei.ru/" TargetMode="External"/><Relationship Id="rId13" Type="http://schemas.openxmlformats.org/officeDocument/2006/relationships/hyperlink" Target="http://plastres.ru/" TargetMode="External"/><Relationship Id="rId18" Type="http://schemas.openxmlformats.org/officeDocument/2006/relationships/hyperlink" Target="http://www.cubicprints.ru/" TargetMode="External"/><Relationship Id="rId39" Type="http://schemas.openxmlformats.org/officeDocument/2006/relationships/hyperlink" Target="http://www.mirpruzhin.ru/" TargetMode="External"/><Relationship Id="rId109" Type="http://schemas.openxmlformats.org/officeDocument/2006/relationships/hyperlink" Target="https://www.as-technics.ru/" TargetMode="External"/><Relationship Id="rId34" Type="http://schemas.openxmlformats.org/officeDocument/2006/relationships/hyperlink" Target="http://mona.ru/" TargetMode="External"/><Relationship Id="rId50" Type="http://schemas.openxmlformats.org/officeDocument/2006/relationships/hyperlink" Target="http://www.smd.ru/" TargetMode="External"/><Relationship Id="rId55" Type="http://schemas.openxmlformats.org/officeDocument/2006/relationships/hyperlink" Target="http://www.iodine.ru/" TargetMode="External"/><Relationship Id="rId76" Type="http://schemas.openxmlformats.org/officeDocument/2006/relationships/hyperlink" Target="http://www.hydrosnab.ru/" TargetMode="External"/><Relationship Id="rId97" Type="http://schemas.openxmlformats.org/officeDocument/2006/relationships/hyperlink" Target="https://zapadpribor.com/" TargetMode="External"/><Relationship Id="rId104" Type="http://schemas.openxmlformats.org/officeDocument/2006/relationships/hyperlink" Target="https://www.bornemann-gewindetechnik.de/ru/%d0%ba%d0%be%d0%bd%d1%82%d0%b0%d0%ba%d1%82%d1%8b/+49%205187-9422-26" TargetMode="External"/><Relationship Id="rId120" Type="http://schemas.openxmlformats.org/officeDocument/2006/relationships/hyperlink" Target="http://roboticsgears.com/" TargetMode="External"/><Relationship Id="rId125" Type="http://schemas.openxmlformats.org/officeDocument/2006/relationships/hyperlink" Target="https://kubotechnologies.com/cnt" TargetMode="External"/><Relationship Id="rId141" Type="http://schemas.openxmlformats.org/officeDocument/2006/relationships/hyperlink" Target="https://peliton.ru/" TargetMode="External"/><Relationship Id="rId146" Type="http://schemas.openxmlformats.org/officeDocument/2006/relationships/hyperlink" Target="https://quers.ru/" TargetMode="External"/><Relationship Id="rId7" Type="http://schemas.openxmlformats.org/officeDocument/2006/relationships/hyperlink" Target="http://rivetgun.ru/" TargetMode="External"/><Relationship Id="rId71" Type="http://schemas.openxmlformats.org/officeDocument/2006/relationships/hyperlink" Target="http://fortisflex.ru/" TargetMode="External"/><Relationship Id="rId92" Type="http://schemas.openxmlformats.org/officeDocument/2006/relationships/hyperlink" Target="https://www.aquabyte.ai/index.html" TargetMode="External"/><Relationship Id="rId2" Type="http://schemas.openxmlformats.org/officeDocument/2006/relationships/hyperlink" Target="http://www.pks1.ru/" TargetMode="External"/><Relationship Id="rId29" Type="http://schemas.openxmlformats.org/officeDocument/2006/relationships/hyperlink" Target="http://www.podshipnik.ru/" TargetMode="External"/><Relationship Id="rId24" Type="http://schemas.openxmlformats.org/officeDocument/2006/relationships/hyperlink" Target="http://www.deel.ru/" TargetMode="External"/><Relationship Id="rId40" Type="http://schemas.openxmlformats.org/officeDocument/2006/relationships/hyperlink" Target="http://www.nix.ru/" TargetMode="External"/><Relationship Id="rId45" Type="http://schemas.openxmlformats.org/officeDocument/2006/relationships/hyperlink" Target="http://www.hgroup.ru/" TargetMode="External"/><Relationship Id="rId66" Type="http://schemas.openxmlformats.org/officeDocument/2006/relationships/hyperlink" Target="https://www.onlinetrade.ru/" TargetMode="External"/><Relationship Id="rId87" Type="http://schemas.openxmlformats.org/officeDocument/2006/relationships/hyperlink" Target="http://www.aquairy.ru/" TargetMode="External"/><Relationship Id="rId110" Type="http://schemas.openxmlformats.org/officeDocument/2006/relationships/hyperlink" Target="https://lider-3d.ru/" TargetMode="External"/><Relationship Id="rId115" Type="http://schemas.openxmlformats.org/officeDocument/2006/relationships/hyperlink" Target="https://peliton.ru/" TargetMode="External"/><Relationship Id="rId131" Type="http://schemas.openxmlformats.org/officeDocument/2006/relationships/hyperlink" Target="https://alpha-hydro.com/" TargetMode="External"/><Relationship Id="rId136" Type="http://schemas.openxmlformats.org/officeDocument/2006/relationships/hyperlink" Target="https://svm24.ru/" TargetMode="External"/><Relationship Id="rId61" Type="http://schemas.openxmlformats.org/officeDocument/2006/relationships/hyperlink" Target="https://3d-diy.ru/company/" TargetMode="External"/><Relationship Id="rId82" Type="http://schemas.openxmlformats.org/officeDocument/2006/relationships/hyperlink" Target="https://urc-rgs.ru/" TargetMode="External"/><Relationship Id="rId19" Type="http://schemas.openxmlformats.org/officeDocument/2006/relationships/hyperlink" Target="https://tmteh.ru/" TargetMode="External"/><Relationship Id="rId14" Type="http://schemas.openxmlformats.org/officeDocument/2006/relationships/hyperlink" Target="http://www.indpart.ru/" TargetMode="External"/><Relationship Id="rId30" Type="http://schemas.openxmlformats.org/officeDocument/2006/relationships/hyperlink" Target="http://centrrti.ru/" TargetMode="External"/><Relationship Id="rId35" Type="http://schemas.openxmlformats.org/officeDocument/2006/relationships/hyperlink" Target="http://lumuslaser.ru/" TargetMode="External"/><Relationship Id="rId56" Type="http://schemas.openxmlformats.org/officeDocument/2006/relationships/hyperlink" Target="http://www.standarte.ru/" TargetMode="External"/><Relationship Id="rId77" Type="http://schemas.openxmlformats.org/officeDocument/2006/relationships/hyperlink" Target="https://skomplekt.com/" TargetMode="External"/><Relationship Id="rId100" Type="http://schemas.openxmlformats.org/officeDocument/2006/relationships/hyperlink" Target="http://npptemp.com/" TargetMode="External"/><Relationship Id="rId105" Type="http://schemas.openxmlformats.org/officeDocument/2006/relationships/hyperlink" Target="https://assunmotor.com/products/brushless-coreless-motor" TargetMode="External"/><Relationship Id="rId126" Type="http://schemas.openxmlformats.org/officeDocument/2006/relationships/hyperlink" Target="http://metallografika.ru/" TargetMode="External"/><Relationship Id="rId147" Type="http://schemas.openxmlformats.org/officeDocument/2006/relationships/hyperlink" Target="https://www.valkar.ru/" TargetMode="External"/><Relationship Id="rId8" Type="http://schemas.openxmlformats.org/officeDocument/2006/relationships/hyperlink" Target="http://www.niceprint.ru/" TargetMode="External"/><Relationship Id="rId51" Type="http://schemas.openxmlformats.org/officeDocument/2006/relationships/hyperlink" Target="https://www.rezonit.ru/" TargetMode="External"/><Relationship Id="rId72" Type="http://schemas.openxmlformats.org/officeDocument/2006/relationships/hyperlink" Target="mailto:info@3dtema.ru" TargetMode="External"/><Relationship Id="rId93" Type="http://schemas.openxmlformats.org/officeDocument/2006/relationships/hyperlink" Target="https://www.sdelaistanok.ru/" TargetMode="External"/><Relationship Id="rId98" Type="http://schemas.openxmlformats.org/officeDocument/2006/relationships/hyperlink" Target="http://www.alumica.ru/" TargetMode="External"/><Relationship Id="rId121" Type="http://schemas.openxmlformats.org/officeDocument/2006/relationships/hyperlink" Target="https://importmekhanika.ru/" TargetMode="External"/><Relationship Id="rId142" Type="http://schemas.openxmlformats.org/officeDocument/2006/relationships/hyperlink" Target="https://uc-osnovanie.ru/" TargetMode="External"/><Relationship Id="rId3" Type="http://schemas.openxmlformats.org/officeDocument/2006/relationships/hyperlink" Target="http://www.super-krepeg.ru/" TargetMode="External"/><Relationship Id="rId25" Type="http://schemas.openxmlformats.org/officeDocument/2006/relationships/hyperlink" Target="http://www.immerservice.ru/" TargetMode="External"/><Relationship Id="rId46" Type="http://schemas.openxmlformats.org/officeDocument/2006/relationships/hyperlink" Target="http://www.deloks.ru/" TargetMode="External"/><Relationship Id="rId67" Type="http://schemas.openxmlformats.org/officeDocument/2006/relationships/hyperlink" Target="https://giada-nn.ru/" TargetMode="External"/><Relationship Id="rId116" Type="http://schemas.openxmlformats.org/officeDocument/2006/relationships/hyperlink" Target="https://vamvelosiped.ru/" TargetMode="External"/><Relationship Id="rId137" Type="http://schemas.openxmlformats.org/officeDocument/2006/relationships/hyperlink" Target="https://5ka.ru/" TargetMode="External"/><Relationship Id="rId20" Type="http://schemas.openxmlformats.org/officeDocument/2006/relationships/hyperlink" Target="http://endshpil.ru/" TargetMode="External"/><Relationship Id="rId41" Type="http://schemas.openxmlformats.org/officeDocument/2006/relationships/hyperlink" Target="https://www.ulmart.ru/" TargetMode="External"/><Relationship Id="rId62" Type="http://schemas.openxmlformats.org/officeDocument/2006/relationships/hyperlink" Target="http://gravernu.ru/map.html" TargetMode="External"/><Relationship Id="rId83" Type="http://schemas.openxmlformats.org/officeDocument/2006/relationships/hyperlink" Target="https://www.station2025.ru/" TargetMode="External"/><Relationship Id="rId88" Type="http://schemas.openxmlformats.org/officeDocument/2006/relationships/hyperlink" Target="https://ooo-ams.promportal.su/" TargetMode="External"/><Relationship Id="rId111" Type="http://schemas.openxmlformats.org/officeDocument/2006/relationships/hyperlink" Target="https://366.ru/" TargetMode="External"/><Relationship Id="rId132" Type="http://schemas.openxmlformats.org/officeDocument/2006/relationships/hyperlink" Target="https://electroprivod.ru/" TargetMode="External"/><Relationship Id="rId15" Type="http://schemas.openxmlformats.org/officeDocument/2006/relationships/hyperlink" Target="http://www.hydral.ru/" TargetMode="External"/><Relationship Id="rId36" Type="http://schemas.openxmlformats.org/officeDocument/2006/relationships/hyperlink" Target="http://www.metalografika.ru/" TargetMode="External"/><Relationship Id="rId57" Type="http://schemas.openxmlformats.org/officeDocument/2006/relationships/hyperlink" Target="https://www.avito.ru/officeshop2/rossiya/mebel_i_interer" TargetMode="External"/><Relationship Id="rId106" Type="http://schemas.openxmlformats.org/officeDocument/2006/relationships/hyperlink" Target="http://www.statust.ru/" TargetMode="External"/><Relationship Id="rId127" Type="http://schemas.openxmlformats.org/officeDocument/2006/relationships/hyperlink" Target="http://www.laser4000.ru/ru/company/" TargetMode="External"/><Relationship Id="rId10" Type="http://schemas.openxmlformats.org/officeDocument/2006/relationships/hyperlink" Target="http://www.mirkleya.ru/" TargetMode="External"/><Relationship Id="rId31" Type="http://schemas.openxmlformats.org/officeDocument/2006/relationships/hyperlink" Target="http://www.220-volt.ru/" TargetMode="External"/><Relationship Id="rId52" Type="http://schemas.openxmlformats.org/officeDocument/2006/relationships/hyperlink" Target="http://www.m-galvanica.ru/" TargetMode="External"/><Relationship Id="rId73" Type="http://schemas.openxmlformats.org/officeDocument/2006/relationships/hyperlink" Target="https://www.zelchip.ru/" TargetMode="External"/><Relationship Id="rId78" Type="http://schemas.openxmlformats.org/officeDocument/2006/relationships/hyperlink" Target="http://www.utkonos.ru/" TargetMode="External"/><Relationship Id="rId94" Type="http://schemas.openxmlformats.org/officeDocument/2006/relationships/hyperlink" Target="http://www.immertechnik.ru/" TargetMode="External"/><Relationship Id="rId99" Type="http://schemas.openxmlformats.org/officeDocument/2006/relationships/hyperlink" Target="https://positron.ru/product-category/komplektujushhie/monitor/" TargetMode="External"/><Relationship Id="rId101" Type="http://schemas.openxmlformats.org/officeDocument/2006/relationships/hyperlink" Target="https://multicore.ru/" TargetMode="External"/><Relationship Id="rId122" Type="http://schemas.openxmlformats.org/officeDocument/2006/relationships/hyperlink" Target="http://tlparts.ru/" TargetMode="External"/><Relationship Id="rId143" Type="http://schemas.openxmlformats.org/officeDocument/2006/relationships/hyperlink" Target="mailto:admin@subtilit.ru%20&#1101;&#1083;.%20&#1040;&#1076;&#1088;&#1077;&#1089;%20&#1076;&#1083;&#1103;%20&#1076;&#1086;&#1082;&#1091;&#1084;&#1077;&#1085;&#1090;&#1086;&#1086;&#1073;&#1086;&#1088;&#1086;&#1090;&#1072;" TargetMode="External"/><Relationship Id="rId148" Type="http://schemas.openxmlformats.org/officeDocument/2006/relationships/hyperlink" Target="http://www.stolplit.ru/" TargetMode="External"/><Relationship Id="rId4" Type="http://schemas.openxmlformats.org/officeDocument/2006/relationships/hyperlink" Target="http://foamrubber.ru/" TargetMode="External"/><Relationship Id="rId9" Type="http://schemas.openxmlformats.org/officeDocument/2006/relationships/hyperlink" Target="http://www.flowtech.ru/" TargetMode="External"/><Relationship Id="rId26" Type="http://schemas.openxmlformats.org/officeDocument/2006/relationships/hyperlink" Target="http://mnitek.ru/" TargetMode="External"/><Relationship Id="rId47" Type="http://schemas.openxmlformats.org/officeDocument/2006/relationships/hyperlink" Target="http://am20.ru/" TargetMode="External"/><Relationship Id="rId68" Type="http://schemas.openxmlformats.org/officeDocument/2006/relationships/hyperlink" Target="http://www.polymersintez.ru/" TargetMode="External"/><Relationship Id="rId89" Type="http://schemas.openxmlformats.org/officeDocument/2006/relationships/hyperlink" Target="https://tmelectronics.ru/" TargetMode="External"/><Relationship Id="rId112" Type="http://schemas.openxmlformats.org/officeDocument/2006/relationships/hyperlink" Target="https://subtilit.ru/" TargetMode="External"/><Relationship Id="rId133" Type="http://schemas.openxmlformats.org/officeDocument/2006/relationships/hyperlink" Target="https://voltbricks.ru/" TargetMode="External"/><Relationship Id="rId16" Type="http://schemas.openxmlformats.org/officeDocument/2006/relationships/hyperlink" Target="http://top3dshop.ru/" TargetMode="External"/><Relationship Id="rId37" Type="http://schemas.openxmlformats.org/officeDocument/2006/relationships/hyperlink" Target="http://www.dart.ru/" TargetMode="External"/><Relationship Id="rId58" Type="http://schemas.openxmlformats.org/officeDocument/2006/relationships/hyperlink" Target="https://www.rezonit.ru/" TargetMode="External"/><Relationship Id="rId79" Type="http://schemas.openxmlformats.org/officeDocument/2006/relationships/hyperlink" Target="http://www.utkonos.ru/" TargetMode="External"/><Relationship Id="rId102" Type="http://schemas.openxmlformats.org/officeDocument/2006/relationships/hyperlink" Target="https://good-mebel.com/" TargetMode="External"/><Relationship Id="rId123" Type="http://schemas.openxmlformats.org/officeDocument/2006/relationships/hyperlink" Target="http://roboticsgears.com/o-kompanii" TargetMode="External"/><Relationship Id="rId144" Type="http://schemas.openxmlformats.org/officeDocument/2006/relationships/hyperlink" Target="https://vils.ru/" TargetMode="External"/><Relationship Id="rId90" Type="http://schemas.openxmlformats.org/officeDocument/2006/relationships/hyperlink" Target="https://aviam.r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899B-3043-4C29-80CE-8CFF7C22C9D2}">
  <sheetPr>
    <tabColor rgb="FFFFFF00"/>
  </sheetPr>
  <dimension ref="A1:AN226"/>
  <sheetViews>
    <sheetView tabSelected="1" zoomScale="70" zoomScaleNormal="70" workbookViewId="0">
      <selection activeCell="I3" sqref="I3"/>
    </sheetView>
  </sheetViews>
  <sheetFormatPr defaultColWidth="8.85546875" defaultRowHeight="15" x14ac:dyDescent="0.25"/>
  <cols>
    <col min="1" max="1" width="9.140625" style="33" bestFit="1" customWidth="1"/>
    <col min="2" max="2" width="12.7109375" style="33" bestFit="1" customWidth="1"/>
    <col min="3" max="3" width="16.28515625" style="33" bestFit="1" customWidth="1"/>
    <col min="4" max="5" width="29.28515625" style="33" customWidth="1"/>
    <col min="6" max="7" width="38.28515625" customWidth="1"/>
    <col min="8" max="8" width="29.28515625" style="33" customWidth="1"/>
    <col min="9" max="9" width="61.28515625" style="33" customWidth="1"/>
    <col min="10" max="10" width="27.7109375" style="33" hidden="1" customWidth="1"/>
    <col min="11" max="11" width="36" style="33" hidden="1" customWidth="1"/>
    <col min="12" max="13" width="36.140625" style="33" hidden="1" customWidth="1"/>
    <col min="14" max="14" width="19" style="33" customWidth="1"/>
    <col min="15" max="15" width="24.85546875" style="312" customWidth="1"/>
    <col min="16" max="16" width="24.28515625" style="33" bestFit="1" customWidth="1"/>
    <col min="17" max="17" width="21.5703125" style="33" customWidth="1"/>
    <col min="18" max="18" width="20.7109375" style="35" customWidth="1"/>
    <col min="19" max="19" width="15.5703125" style="33" customWidth="1"/>
    <col min="20" max="20" width="12.42578125" style="33" bestFit="1" customWidth="1"/>
    <col min="21" max="21" width="11.5703125" style="33" bestFit="1" customWidth="1"/>
    <col min="22" max="22" width="10.7109375" style="33" bestFit="1" customWidth="1"/>
    <col min="23" max="23" width="20.5703125" style="33" customWidth="1"/>
    <col min="24" max="24" width="11.140625" style="33" customWidth="1"/>
    <col min="25" max="27" width="8.85546875" style="33"/>
    <col min="28" max="28" width="20.140625" style="33" customWidth="1"/>
    <col min="29" max="29" width="15.85546875" style="33" bestFit="1" customWidth="1"/>
    <col min="30" max="30" width="10.7109375" style="33" bestFit="1" customWidth="1"/>
    <col min="31" max="31" width="8.85546875" style="33"/>
    <col min="32" max="32" width="10.7109375" style="33" bestFit="1" customWidth="1"/>
    <col min="33" max="37" width="8.85546875" style="33"/>
    <col min="38" max="38" width="8.85546875" style="33" customWidth="1"/>
    <col min="39" max="16384" width="8.85546875" style="33"/>
  </cols>
  <sheetData>
    <row r="1" spans="1:29" s="239" customFormat="1" ht="15.75" thickBot="1" x14ac:dyDescent="0.3">
      <c r="A1" s="239" t="s">
        <v>494</v>
      </c>
      <c r="B1" s="51" t="s">
        <v>69</v>
      </c>
      <c r="C1" s="51" t="s">
        <v>700</v>
      </c>
      <c r="D1" s="51" t="s">
        <v>3456</v>
      </c>
      <c r="E1" s="51" t="s">
        <v>366</v>
      </c>
      <c r="F1" s="239" t="s">
        <v>353</v>
      </c>
      <c r="G1" s="708" t="s">
        <v>3753</v>
      </c>
      <c r="H1" s="51" t="s">
        <v>887</v>
      </c>
      <c r="I1" s="239" t="s">
        <v>200</v>
      </c>
      <c r="J1" s="239" t="s">
        <v>201</v>
      </c>
      <c r="K1" s="239" t="s">
        <v>371</v>
      </c>
      <c r="L1" s="239" t="s">
        <v>2684</v>
      </c>
      <c r="M1" s="239" t="s">
        <v>202</v>
      </c>
      <c r="N1" s="311" t="s">
        <v>351</v>
      </c>
      <c r="O1" s="682" t="s">
        <v>535</v>
      </c>
      <c r="P1" s="682" t="s">
        <v>534</v>
      </c>
      <c r="Q1" s="682" t="s">
        <v>533</v>
      </c>
      <c r="R1" s="707" t="s">
        <v>3507</v>
      </c>
      <c r="S1" s="682" t="s">
        <v>497</v>
      </c>
    </row>
    <row r="2" spans="1:29" ht="45" x14ac:dyDescent="0.25">
      <c r="A2" s="446" t="s">
        <v>3028</v>
      </c>
      <c r="B2" s="593" t="s">
        <v>4</v>
      </c>
      <c r="C2" s="594">
        <v>44977</v>
      </c>
      <c r="D2" s="593" t="s">
        <v>3447</v>
      </c>
      <c r="E2" s="593" t="s">
        <v>3498</v>
      </c>
      <c r="F2" s="592" t="s">
        <v>360</v>
      </c>
      <c r="G2" s="592" t="s">
        <v>3805</v>
      </c>
      <c r="H2" s="608" t="s">
        <v>72</v>
      </c>
      <c r="I2" s="593" t="s">
        <v>3078</v>
      </c>
      <c r="J2" s="595"/>
      <c r="K2" s="592"/>
      <c r="L2" s="592"/>
      <c r="M2" s="593"/>
      <c r="N2" s="548">
        <v>4375000</v>
      </c>
      <c r="O2" s="466">
        <v>3062500</v>
      </c>
      <c r="P2" s="447"/>
      <c r="Q2" s="466">
        <v>1312500</v>
      </c>
      <c r="R2" s="667"/>
      <c r="S2" s="628"/>
    </row>
    <row r="3" spans="1:29" ht="214.5" customHeight="1" x14ac:dyDescent="0.25">
      <c r="A3" s="629" t="s">
        <v>496</v>
      </c>
      <c r="B3" s="593" t="s">
        <v>4</v>
      </c>
      <c r="C3" s="717">
        <v>45349</v>
      </c>
      <c r="D3" s="593" t="s">
        <v>3703</v>
      </c>
      <c r="E3" s="607" t="s">
        <v>3704</v>
      </c>
      <c r="F3" s="592" t="s">
        <v>360</v>
      </c>
      <c r="G3" s="675" t="s">
        <v>3752</v>
      </c>
      <c r="H3" s="608" t="s">
        <v>72</v>
      </c>
      <c r="I3" s="593" t="s">
        <v>3723</v>
      </c>
      <c r="J3" s="595"/>
      <c r="K3" s="592"/>
      <c r="L3" s="675"/>
      <c r="M3" s="593"/>
      <c r="N3" s="548">
        <v>124996000</v>
      </c>
      <c r="O3" s="769" t="s">
        <v>3782</v>
      </c>
      <c r="P3" s="747" t="s">
        <v>3909</v>
      </c>
      <c r="Q3" s="739">
        <v>17188000</v>
      </c>
      <c r="R3" s="447"/>
      <c r="S3" s="744">
        <v>46147</v>
      </c>
      <c r="AB3" s="239" t="s">
        <v>3783</v>
      </c>
    </row>
    <row r="4" spans="1:29" ht="45" x14ac:dyDescent="0.25">
      <c r="A4" s="629" t="s">
        <v>496</v>
      </c>
      <c r="B4" s="592" t="s">
        <v>4</v>
      </c>
      <c r="C4" s="594">
        <v>43850</v>
      </c>
      <c r="D4" s="611" t="s">
        <v>2017</v>
      </c>
      <c r="E4" s="611" t="s">
        <v>2570</v>
      </c>
      <c r="F4" s="592" t="s">
        <v>360</v>
      </c>
      <c r="G4" s="1" t="s">
        <v>3541</v>
      </c>
      <c r="H4" s="608" t="s">
        <v>72</v>
      </c>
      <c r="I4" s="593" t="s">
        <v>3194</v>
      </c>
      <c r="J4" s="592"/>
      <c r="K4" s="592"/>
      <c r="L4" s="592"/>
      <c r="M4" s="593"/>
      <c r="N4" s="548">
        <v>12600000</v>
      </c>
      <c r="O4" s="689">
        <v>12560000</v>
      </c>
      <c r="P4" s="706" t="s">
        <v>3543</v>
      </c>
      <c r="Q4" s="688">
        <v>40000</v>
      </c>
      <c r="R4" s="692"/>
      <c r="S4" s="693">
        <v>44864</v>
      </c>
      <c r="U4" s="35"/>
      <c r="V4" s="35"/>
    </row>
    <row r="5" spans="1:29" ht="45" x14ac:dyDescent="0.25">
      <c r="A5" s="629" t="s">
        <v>496</v>
      </c>
      <c r="B5" s="592" t="s">
        <v>4</v>
      </c>
      <c r="C5" s="717">
        <v>45226</v>
      </c>
      <c r="D5" s="611" t="s">
        <v>3447</v>
      </c>
      <c r="E5" s="742" t="s">
        <v>3768</v>
      </c>
      <c r="F5" s="592" t="s">
        <v>3660</v>
      </c>
      <c r="G5" s="675" t="s">
        <v>3661</v>
      </c>
      <c r="H5" s="608" t="s">
        <v>72</v>
      </c>
      <c r="I5" s="593" t="s">
        <v>3662</v>
      </c>
      <c r="J5" s="592"/>
      <c r="K5" s="592"/>
      <c r="L5" s="675"/>
      <c r="M5" s="593"/>
      <c r="N5" s="548">
        <v>17208000</v>
      </c>
      <c r="O5" s="747" t="s">
        <v>3784</v>
      </c>
      <c r="P5" s="747" t="s">
        <v>3816</v>
      </c>
      <c r="Q5" s="745">
        <v>5162400</v>
      </c>
      <c r="R5" s="692"/>
      <c r="S5" s="744">
        <v>45687</v>
      </c>
      <c r="U5" s="35"/>
      <c r="V5" s="35"/>
      <c r="W5" s="35"/>
      <c r="X5" s="35"/>
    </row>
    <row r="6" spans="1:29" ht="60" x14ac:dyDescent="0.25">
      <c r="A6" s="629" t="s">
        <v>496</v>
      </c>
      <c r="B6" s="592" t="s">
        <v>4</v>
      </c>
      <c r="C6" s="717">
        <v>45376</v>
      </c>
      <c r="D6" s="611" t="s">
        <v>3447</v>
      </c>
      <c r="E6" s="742" t="s">
        <v>3769</v>
      </c>
      <c r="F6" s="592" t="s">
        <v>3660</v>
      </c>
      <c r="G6" s="675" t="s">
        <v>3770</v>
      </c>
      <c r="H6" s="608" t="s">
        <v>72</v>
      </c>
      <c r="I6" s="593" t="s">
        <v>3771</v>
      </c>
      <c r="J6" s="592"/>
      <c r="K6" s="592"/>
      <c r="L6" s="675"/>
      <c r="M6" s="593"/>
      <c r="N6" s="548">
        <v>30426000</v>
      </c>
      <c r="O6" s="747" t="s">
        <v>3785</v>
      </c>
      <c r="P6" s="747" t="s">
        <v>3786</v>
      </c>
      <c r="Q6" s="746">
        <v>9127800</v>
      </c>
      <c r="R6" s="692"/>
      <c r="S6" s="744">
        <v>45792</v>
      </c>
      <c r="V6" s="789"/>
      <c r="W6" s="35"/>
      <c r="X6" s="35"/>
    </row>
    <row r="7" spans="1:29" x14ac:dyDescent="0.25">
      <c r="A7" s="629" t="s">
        <v>496</v>
      </c>
      <c r="B7" s="592" t="s">
        <v>4</v>
      </c>
      <c r="C7" s="717">
        <v>45310</v>
      </c>
      <c r="D7" s="611" t="s">
        <v>3712</v>
      </c>
      <c r="E7" s="742" t="s">
        <v>3713</v>
      </c>
      <c r="F7" s="592" t="s">
        <v>360</v>
      </c>
      <c r="G7" s="675" t="s">
        <v>3714</v>
      </c>
      <c r="H7" s="608" t="s">
        <v>72</v>
      </c>
      <c r="I7" s="593" t="s">
        <v>3717</v>
      </c>
      <c r="J7" s="592"/>
      <c r="K7" s="592"/>
      <c r="L7" s="675"/>
      <c r="M7" s="593"/>
      <c r="N7" s="548">
        <v>1798350</v>
      </c>
      <c r="O7" s="743">
        <v>1258845</v>
      </c>
      <c r="P7" s="447">
        <v>45379</v>
      </c>
      <c r="Q7" s="746">
        <v>539505</v>
      </c>
      <c r="R7" s="692"/>
      <c r="S7" s="744">
        <v>45744</v>
      </c>
      <c r="W7" s="35"/>
    </row>
    <row r="8" spans="1:29" ht="30" x14ac:dyDescent="0.25">
      <c r="A8" s="629" t="s">
        <v>496</v>
      </c>
      <c r="B8" s="592" t="s">
        <v>4</v>
      </c>
      <c r="C8" s="717">
        <v>45449</v>
      </c>
      <c r="D8" s="611" t="s">
        <v>3773</v>
      </c>
      <c r="E8" s="742" t="s">
        <v>3774</v>
      </c>
      <c r="F8" s="592" t="s">
        <v>360</v>
      </c>
      <c r="G8" s="675" t="s">
        <v>3775</v>
      </c>
      <c r="H8" s="608" t="s">
        <v>3119</v>
      </c>
      <c r="I8" s="593" t="s">
        <v>3776</v>
      </c>
      <c r="J8" s="592"/>
      <c r="K8" s="592"/>
      <c r="L8" s="675"/>
      <c r="M8" s="593"/>
      <c r="N8" s="548">
        <v>841672.66</v>
      </c>
      <c r="O8" s="743">
        <v>589170.86</v>
      </c>
      <c r="P8" s="732">
        <v>45464</v>
      </c>
      <c r="Q8" s="746">
        <v>252501.8</v>
      </c>
      <c r="R8" s="692"/>
      <c r="S8" s="744">
        <v>45645</v>
      </c>
      <c r="W8" s="35"/>
      <c r="X8" s="35"/>
      <c r="AC8" s="549"/>
    </row>
    <row r="9" spans="1:29" ht="45" x14ac:dyDescent="0.25">
      <c r="A9" s="629" t="s">
        <v>496</v>
      </c>
      <c r="B9" s="592" t="s">
        <v>4</v>
      </c>
      <c r="C9" s="717">
        <v>45528</v>
      </c>
      <c r="D9" s="611" t="s">
        <v>3447</v>
      </c>
      <c r="E9" s="742" t="s">
        <v>3841</v>
      </c>
      <c r="F9" s="592" t="s">
        <v>3865</v>
      </c>
      <c r="G9" s="675" t="s">
        <v>3866</v>
      </c>
      <c r="H9" s="608" t="s">
        <v>72</v>
      </c>
      <c r="I9" s="593" t="s">
        <v>3840</v>
      </c>
      <c r="J9" s="592"/>
      <c r="K9" s="592"/>
      <c r="L9" s="675"/>
      <c r="M9" s="593"/>
      <c r="N9" s="548">
        <v>7020432</v>
      </c>
      <c r="O9" s="786">
        <v>4914302</v>
      </c>
      <c r="P9" s="801">
        <v>45562</v>
      </c>
      <c r="Q9" s="787">
        <v>2106130</v>
      </c>
      <c r="R9" s="692"/>
      <c r="S9" s="788">
        <v>45712</v>
      </c>
      <c r="W9" s="35"/>
      <c r="AC9" s="549"/>
    </row>
    <row r="10" spans="1:29" ht="45" x14ac:dyDescent="0.25">
      <c r="A10" s="629" t="s">
        <v>496</v>
      </c>
      <c r="B10" s="592" t="s">
        <v>4</v>
      </c>
      <c r="C10" s="594">
        <v>45654</v>
      </c>
      <c r="D10" s="611" t="s">
        <v>3447</v>
      </c>
      <c r="E10" s="611" t="s">
        <v>3934</v>
      </c>
      <c r="F10" s="592" t="s">
        <v>3926</v>
      </c>
      <c r="G10" s="611" t="s">
        <v>3934</v>
      </c>
      <c r="H10" s="608" t="s">
        <v>2634</v>
      </c>
      <c r="I10" s="593" t="s">
        <v>3937</v>
      </c>
      <c r="J10" s="592"/>
      <c r="K10" s="592"/>
      <c r="L10" s="592"/>
      <c r="M10" s="593"/>
      <c r="N10" s="548">
        <v>9828604</v>
      </c>
      <c r="O10" s="689">
        <v>4914302</v>
      </c>
      <c r="P10" s="806">
        <v>45654</v>
      </c>
      <c r="Q10" s="689">
        <v>4914302</v>
      </c>
      <c r="R10" s="692"/>
      <c r="S10" s="693">
        <v>45804</v>
      </c>
      <c r="W10" s="35"/>
      <c r="AC10" s="549"/>
    </row>
    <row r="11" spans="1:29" ht="45" x14ac:dyDescent="0.25">
      <c r="A11" s="629" t="s">
        <v>496</v>
      </c>
      <c r="B11" s="592" t="s">
        <v>4</v>
      </c>
      <c r="C11" s="594">
        <v>45654</v>
      </c>
      <c r="D11" s="611" t="s">
        <v>3447</v>
      </c>
      <c r="E11" s="611" t="s">
        <v>3935</v>
      </c>
      <c r="F11" s="592" t="s">
        <v>3926</v>
      </c>
      <c r="G11" s="611" t="s">
        <v>3935</v>
      </c>
      <c r="H11" s="608" t="s">
        <v>2634</v>
      </c>
      <c r="I11" s="593" t="s">
        <v>3938</v>
      </c>
      <c r="J11" s="592"/>
      <c r="K11" s="592"/>
      <c r="L11" s="592"/>
      <c r="M11" s="593"/>
      <c r="N11" s="689">
        <v>4914302</v>
      </c>
      <c r="O11" s="689">
        <v>2457151</v>
      </c>
      <c r="P11" s="806">
        <v>45654</v>
      </c>
      <c r="Q11" s="688">
        <v>2457151</v>
      </c>
      <c r="R11" s="692"/>
      <c r="S11" s="693">
        <v>45804</v>
      </c>
      <c r="W11" s="35"/>
      <c r="AC11" s="549"/>
    </row>
    <row r="12" spans="1:29" ht="45" x14ac:dyDescent="0.25">
      <c r="A12" s="629" t="s">
        <v>496</v>
      </c>
      <c r="B12" s="592" t="s">
        <v>4</v>
      </c>
      <c r="C12" s="594">
        <v>45654</v>
      </c>
      <c r="D12" s="611" t="s">
        <v>3447</v>
      </c>
      <c r="E12" s="611" t="s">
        <v>3936</v>
      </c>
      <c r="F12" s="592" t="s">
        <v>3926</v>
      </c>
      <c r="G12" s="611" t="s">
        <v>3936</v>
      </c>
      <c r="H12" s="608" t="s">
        <v>2634</v>
      </c>
      <c r="I12" s="593" t="s">
        <v>3938</v>
      </c>
      <c r="J12" s="592"/>
      <c r="K12" s="592"/>
      <c r="L12" s="592"/>
      <c r="M12" s="593"/>
      <c r="N12" s="689">
        <v>4914302</v>
      </c>
      <c r="O12" s="689">
        <v>2457151</v>
      </c>
      <c r="P12" s="806">
        <v>45654</v>
      </c>
      <c r="Q12" s="688">
        <v>2457151</v>
      </c>
      <c r="R12" s="692"/>
      <c r="S12" s="693">
        <v>45804</v>
      </c>
      <c r="W12" s="35"/>
      <c r="AC12" s="549"/>
    </row>
    <row r="13" spans="1:29" ht="30" x14ac:dyDescent="0.25">
      <c r="A13" s="629" t="s">
        <v>3028</v>
      </c>
      <c r="B13" s="592" t="s">
        <v>4</v>
      </c>
      <c r="C13" s="717">
        <v>45895</v>
      </c>
      <c r="D13" s="611" t="s">
        <v>3447</v>
      </c>
      <c r="E13" s="742"/>
      <c r="F13" s="592"/>
      <c r="G13" s="675"/>
      <c r="H13" s="608" t="s">
        <v>72</v>
      </c>
      <c r="I13" s="593" t="s">
        <v>3945</v>
      </c>
      <c r="J13" s="592"/>
      <c r="K13" s="592"/>
      <c r="L13" s="675"/>
      <c r="M13" s="593"/>
      <c r="N13" s="815">
        <v>7088400</v>
      </c>
      <c r="O13" s="747" t="s">
        <v>3941</v>
      </c>
      <c r="P13" s="816"/>
      <c r="Q13" s="817">
        <v>2126520</v>
      </c>
      <c r="R13" s="692"/>
      <c r="S13" s="818"/>
      <c r="W13" s="35"/>
      <c r="AC13" s="549"/>
    </row>
    <row r="14" spans="1:29" ht="30" x14ac:dyDescent="0.25">
      <c r="A14" s="629" t="s">
        <v>3028</v>
      </c>
      <c r="B14" s="592" t="s">
        <v>4</v>
      </c>
      <c r="C14" s="717">
        <v>45895</v>
      </c>
      <c r="D14" s="611" t="s">
        <v>3447</v>
      </c>
      <c r="E14" s="742"/>
      <c r="F14" s="592"/>
      <c r="G14" s="675"/>
      <c r="H14" s="608" t="s">
        <v>72</v>
      </c>
      <c r="I14" s="593" t="s">
        <v>3944</v>
      </c>
      <c r="J14" s="592"/>
      <c r="K14" s="592"/>
      <c r="L14" s="675"/>
      <c r="M14" s="593"/>
      <c r="N14" s="815">
        <v>28701400</v>
      </c>
      <c r="O14" s="747" t="s">
        <v>3942</v>
      </c>
      <c r="P14" s="816"/>
      <c r="Q14" s="817">
        <v>8610420</v>
      </c>
      <c r="R14" s="692"/>
      <c r="S14" s="818"/>
      <c r="W14" s="35"/>
      <c r="AC14" s="549"/>
    </row>
    <row r="15" spans="1:29" ht="105" x14ac:dyDescent="0.25">
      <c r="A15" s="629" t="s">
        <v>3028</v>
      </c>
      <c r="B15" s="592" t="s">
        <v>4</v>
      </c>
      <c r="C15" s="717">
        <v>45895</v>
      </c>
      <c r="D15" s="611" t="s">
        <v>3447</v>
      </c>
      <c r="E15" s="742"/>
      <c r="F15" s="592"/>
      <c r="G15" s="675"/>
      <c r="H15" s="608" t="s">
        <v>72</v>
      </c>
      <c r="I15" s="593" t="s">
        <v>3943</v>
      </c>
      <c r="J15" s="592"/>
      <c r="K15" s="592"/>
      <c r="L15" s="675"/>
      <c r="M15" s="593"/>
      <c r="N15" s="815">
        <v>22563000</v>
      </c>
      <c r="O15" s="747" t="s">
        <v>3946</v>
      </c>
      <c r="P15" s="816"/>
      <c r="Q15" s="817">
        <v>6768900</v>
      </c>
      <c r="R15" s="692"/>
      <c r="S15" s="818"/>
      <c r="W15" s="35"/>
      <c r="AC15" s="549"/>
    </row>
    <row r="16" spans="1:29" ht="15.75" thickBot="1" x14ac:dyDescent="0.3">
      <c r="A16" s="763" t="s">
        <v>496</v>
      </c>
      <c r="B16" s="708" t="s">
        <v>4</v>
      </c>
      <c r="C16" s="631">
        <v>45131</v>
      </c>
      <c r="D16" s="708" t="s">
        <v>3560</v>
      </c>
      <c r="E16" s="708" t="s">
        <v>3562</v>
      </c>
      <c r="F16" s="632" t="s">
        <v>3558</v>
      </c>
      <c r="G16" s="681" t="s">
        <v>3563</v>
      </c>
      <c r="H16" s="764" t="s">
        <v>72</v>
      </c>
      <c r="I16" s="708" t="s">
        <v>3564</v>
      </c>
      <c r="J16" s="633"/>
      <c r="K16" s="632"/>
      <c r="L16" s="632"/>
      <c r="M16" s="708"/>
      <c r="N16" s="634">
        <v>53803000</v>
      </c>
      <c r="O16" s="765">
        <v>32281800</v>
      </c>
      <c r="P16" s="766">
        <v>45166</v>
      </c>
      <c r="Q16" s="765">
        <v>21521200</v>
      </c>
      <c r="R16" s="767"/>
      <c r="S16" s="768">
        <v>45611</v>
      </c>
      <c r="W16" s="35"/>
      <c r="AC16" s="549"/>
    </row>
    <row r="17" spans="1:40" ht="30" x14ac:dyDescent="0.25">
      <c r="A17" s="592" t="s">
        <v>496</v>
      </c>
      <c r="B17" s="33" t="s">
        <v>864</v>
      </c>
      <c r="C17" s="35">
        <v>42370</v>
      </c>
      <c r="D17" s="239"/>
      <c r="E17" s="239" t="s">
        <v>498</v>
      </c>
      <c r="F17" s="33"/>
      <c r="G17" s="33"/>
      <c r="H17" s="201"/>
      <c r="I17" s="239" t="s">
        <v>3053</v>
      </c>
      <c r="M17" s="239"/>
      <c r="N17" s="550"/>
      <c r="O17" s="34"/>
      <c r="P17" s="2"/>
      <c r="Q17" s="34"/>
      <c r="R17" s="52"/>
      <c r="S17" s="447"/>
      <c r="U17" s="35"/>
      <c r="V17" s="35"/>
      <c r="W17" s="35"/>
      <c r="X17" s="35"/>
      <c r="AC17" s="549"/>
    </row>
    <row r="18" spans="1:40" x14ac:dyDescent="0.25">
      <c r="A18" s="593" t="s">
        <v>496</v>
      </c>
      <c r="B18" s="33" t="s">
        <v>864</v>
      </c>
      <c r="C18" s="35">
        <v>45078</v>
      </c>
      <c r="D18" s="239"/>
      <c r="E18" s="676" t="s">
        <v>3621</v>
      </c>
      <c r="F18" s="33"/>
      <c r="G18" s="675"/>
      <c r="H18" s="679"/>
      <c r="I18" s="239" t="s">
        <v>3635</v>
      </c>
      <c r="L18" s="675"/>
      <c r="M18" s="239"/>
      <c r="N18" s="550"/>
      <c r="O18" s="728"/>
      <c r="P18" s="728"/>
      <c r="Q18" s="728"/>
      <c r="R18" s="52"/>
      <c r="S18" s="732"/>
      <c r="U18" s="35"/>
      <c r="AC18" s="549"/>
    </row>
    <row r="19" spans="1:40" x14ac:dyDescent="0.25">
      <c r="A19" s="593" t="s">
        <v>496</v>
      </c>
      <c r="B19" s="33" t="s">
        <v>864</v>
      </c>
      <c r="C19" s="35">
        <v>45078</v>
      </c>
      <c r="D19" s="239"/>
      <c r="E19" s="676" t="s">
        <v>3622</v>
      </c>
      <c r="F19" s="33"/>
      <c r="G19" s="33"/>
      <c r="H19" s="679"/>
      <c r="I19" s="239" t="s">
        <v>3623</v>
      </c>
      <c r="L19" s="675"/>
      <c r="M19" s="239"/>
      <c r="N19" s="550"/>
      <c r="O19" s="728"/>
      <c r="P19" s="728"/>
      <c r="Q19" s="728"/>
      <c r="R19" s="52"/>
      <c r="S19" s="732"/>
      <c r="AC19" s="549"/>
    </row>
    <row r="20" spans="1:40" x14ac:dyDescent="0.25">
      <c r="A20" s="593" t="s">
        <v>496</v>
      </c>
      <c r="B20" s="33" t="s">
        <v>864</v>
      </c>
      <c r="C20" s="35">
        <v>45078</v>
      </c>
      <c r="D20" s="239"/>
      <c r="E20" s="676" t="s">
        <v>3624</v>
      </c>
      <c r="F20" s="33"/>
      <c r="G20" s="33"/>
      <c r="H20" s="679"/>
      <c r="I20" s="239" t="s">
        <v>3625</v>
      </c>
      <c r="L20" s="675"/>
      <c r="M20" s="239"/>
      <c r="N20" s="550"/>
      <c r="O20" s="728"/>
      <c r="P20" s="728"/>
      <c r="Q20" s="728"/>
      <c r="R20" s="52"/>
      <c r="S20" s="732"/>
      <c r="AC20" s="549"/>
    </row>
    <row r="21" spans="1:40" ht="30" x14ac:dyDescent="0.25">
      <c r="A21" s="593" t="s">
        <v>496</v>
      </c>
      <c r="B21" s="33" t="s">
        <v>864</v>
      </c>
      <c r="C21" s="35">
        <v>45078</v>
      </c>
      <c r="D21" s="239"/>
      <c r="E21" s="676" t="s">
        <v>3633</v>
      </c>
      <c r="F21" s="33"/>
      <c r="G21" s="33"/>
      <c r="H21" s="679"/>
      <c r="I21" s="239" t="s">
        <v>596</v>
      </c>
      <c r="L21" s="675"/>
      <c r="M21" s="239"/>
      <c r="N21" s="550"/>
      <c r="O21" s="728"/>
      <c r="P21" s="728"/>
      <c r="Q21" s="728"/>
      <c r="R21" s="52"/>
      <c r="S21" s="732"/>
      <c r="AC21" s="549"/>
    </row>
    <row r="22" spans="1:40" ht="35.25" customHeight="1" x14ac:dyDescent="0.25">
      <c r="A22" s="593" t="s">
        <v>496</v>
      </c>
      <c r="B22" s="33" t="s">
        <v>864</v>
      </c>
      <c r="C22" s="35">
        <v>45078</v>
      </c>
      <c r="D22" s="239"/>
      <c r="E22" s="676" t="s">
        <v>3634</v>
      </c>
      <c r="F22" s="33"/>
      <c r="G22" s="33"/>
      <c r="H22" s="679"/>
      <c r="I22" s="239" t="s">
        <v>3844</v>
      </c>
      <c r="L22" s="675"/>
      <c r="M22" s="239"/>
      <c r="N22" s="550"/>
      <c r="O22" s="728"/>
      <c r="P22" s="728"/>
      <c r="Q22" s="728"/>
      <c r="R22" s="52"/>
      <c r="S22" s="732"/>
      <c r="T22" s="592"/>
      <c r="V22" s="50"/>
      <c r="AC22" s="549"/>
      <c r="AL22" s="51" t="s">
        <v>70</v>
      </c>
      <c r="AM22" s="239"/>
      <c r="AN22" s="239" t="s">
        <v>3027</v>
      </c>
    </row>
    <row r="23" spans="1:40" x14ac:dyDescent="0.25">
      <c r="A23" s="749" t="s">
        <v>496</v>
      </c>
      <c r="B23" s="750" t="s">
        <v>864</v>
      </c>
      <c r="C23" s="751">
        <v>45078</v>
      </c>
      <c r="D23" s="752"/>
      <c r="E23" s="753" t="s">
        <v>3642</v>
      </c>
      <c r="F23" s="750"/>
      <c r="G23" s="33"/>
      <c r="H23" s="755"/>
      <c r="I23" s="752" t="s">
        <v>3916</v>
      </c>
      <c r="J23" s="750"/>
      <c r="K23" s="750"/>
      <c r="L23" s="754"/>
      <c r="M23" s="752"/>
      <c r="N23" s="756"/>
      <c r="O23" s="462"/>
      <c r="P23" s="462"/>
      <c r="Q23" s="462"/>
      <c r="R23" s="668"/>
      <c r="S23" s="667"/>
      <c r="V23" s="50"/>
      <c r="AC23" s="549"/>
      <c r="AL23" s="50" t="s">
        <v>4</v>
      </c>
      <c r="AN23" s="33" t="s">
        <v>495</v>
      </c>
    </row>
    <row r="24" spans="1:40" ht="45" x14ac:dyDescent="0.25">
      <c r="A24" s="593" t="s">
        <v>496</v>
      </c>
      <c r="B24" s="593" t="s">
        <v>701</v>
      </c>
      <c r="C24" s="594">
        <v>43101</v>
      </c>
      <c r="D24" s="611"/>
      <c r="E24" s="611" t="s">
        <v>702</v>
      </c>
      <c r="F24" s="592"/>
      <c r="G24" s="33"/>
      <c r="H24" s="608">
        <v>6181</v>
      </c>
      <c r="I24" s="593" t="s">
        <v>2805</v>
      </c>
      <c r="J24" s="592"/>
      <c r="K24" s="592"/>
      <c r="L24" s="592"/>
      <c r="M24" s="593"/>
      <c r="N24" s="685"/>
      <c r="O24" s="156"/>
      <c r="P24" s="649"/>
      <c r="Q24" s="156"/>
      <c r="R24" s="447"/>
      <c r="S24" s="646"/>
      <c r="V24" s="50"/>
      <c r="AC24" s="549"/>
      <c r="AL24" s="50" t="s">
        <v>701</v>
      </c>
      <c r="AN24" s="33" t="s">
        <v>496</v>
      </c>
    </row>
    <row r="25" spans="1:40" x14ac:dyDescent="0.25">
      <c r="A25" s="33" t="s">
        <v>496</v>
      </c>
      <c r="B25" s="33" t="s">
        <v>701</v>
      </c>
      <c r="D25" s="239"/>
      <c r="E25" s="239" t="s">
        <v>3</v>
      </c>
      <c r="F25" s="33"/>
      <c r="G25" s="33"/>
      <c r="H25" s="201"/>
      <c r="I25" s="239" t="s">
        <v>3051</v>
      </c>
      <c r="M25" s="239"/>
      <c r="N25" s="550"/>
      <c r="O25" s="34"/>
      <c r="P25" s="2"/>
      <c r="Q25" s="34"/>
      <c r="R25" s="52"/>
      <c r="S25" s="52"/>
      <c r="V25" s="50"/>
      <c r="AC25" s="549"/>
      <c r="AL25" s="50" t="s">
        <v>699</v>
      </c>
      <c r="AN25" s="33" t="s">
        <v>3028</v>
      </c>
    </row>
    <row r="26" spans="1:40" ht="60" x14ac:dyDescent="0.25">
      <c r="A26" s="33" t="s">
        <v>496</v>
      </c>
      <c r="B26" s="33" t="s">
        <v>701</v>
      </c>
      <c r="C26" s="35">
        <v>44682</v>
      </c>
      <c r="D26" s="239"/>
      <c r="E26" s="239" t="s">
        <v>2860</v>
      </c>
      <c r="F26" s="33"/>
      <c r="G26" s="33"/>
      <c r="H26" s="201"/>
      <c r="I26" s="239" t="s">
        <v>2861</v>
      </c>
      <c r="M26" s="239"/>
      <c r="N26" s="550"/>
      <c r="O26" s="34"/>
      <c r="P26" s="2"/>
      <c r="Q26" s="34"/>
      <c r="R26" s="52"/>
      <c r="S26" s="52"/>
      <c r="V26" s="50"/>
      <c r="AC26" s="549"/>
      <c r="AL26" s="50" t="s">
        <v>708</v>
      </c>
    </row>
    <row r="27" spans="1:40" s="750" customFormat="1" ht="30" x14ac:dyDescent="0.25">
      <c r="A27" s="33" t="s">
        <v>496</v>
      </c>
      <c r="B27" s="33" t="s">
        <v>701</v>
      </c>
      <c r="C27" s="35">
        <v>42005</v>
      </c>
      <c r="D27" s="51"/>
      <c r="E27" s="51" t="s">
        <v>359</v>
      </c>
      <c r="F27" s="33"/>
      <c r="G27" s="33"/>
      <c r="H27" s="201"/>
      <c r="I27" s="239" t="s">
        <v>3049</v>
      </c>
      <c r="J27" s="35"/>
      <c r="K27" s="33"/>
      <c r="L27" s="33"/>
      <c r="M27" s="557"/>
      <c r="N27" s="550"/>
      <c r="O27" s="156"/>
      <c r="P27" s="2"/>
      <c r="Q27" s="156"/>
      <c r="R27" s="447"/>
      <c r="S27" s="447"/>
      <c r="AC27" s="549"/>
      <c r="AL27" s="750" t="s">
        <v>864</v>
      </c>
    </row>
    <row r="28" spans="1:40" x14ac:dyDescent="0.25">
      <c r="A28" s="239" t="s">
        <v>496</v>
      </c>
      <c r="B28" s="239" t="s">
        <v>701</v>
      </c>
      <c r="C28" s="63">
        <v>43101</v>
      </c>
      <c r="D28" s="51"/>
      <c r="E28" s="51" t="s">
        <v>710</v>
      </c>
      <c r="F28" s="33"/>
      <c r="G28" s="33"/>
      <c r="H28" s="201" t="s">
        <v>72</v>
      </c>
      <c r="I28" s="51" t="s">
        <v>608</v>
      </c>
      <c r="M28" s="239"/>
      <c r="N28" s="550"/>
      <c r="O28" s="34"/>
      <c r="P28" s="2"/>
      <c r="Q28" s="34"/>
      <c r="R28" s="52"/>
      <c r="S28" s="62"/>
      <c r="V28" s="50"/>
      <c r="AL28" s="50" t="s">
        <v>698</v>
      </c>
    </row>
    <row r="29" spans="1:40" x14ac:dyDescent="0.25">
      <c r="A29" s="239" t="s">
        <v>496</v>
      </c>
      <c r="B29" s="239" t="s">
        <v>701</v>
      </c>
      <c r="C29" s="717">
        <v>44197</v>
      </c>
      <c r="D29" s="51"/>
      <c r="E29" s="614" t="s">
        <v>3619</v>
      </c>
      <c r="F29" s="33"/>
      <c r="G29" s="675"/>
      <c r="H29" s="679"/>
      <c r="I29" s="51" t="s">
        <v>3636</v>
      </c>
      <c r="L29" s="675"/>
      <c r="M29" s="239"/>
      <c r="N29" s="550"/>
      <c r="O29" s="728"/>
      <c r="P29" s="728"/>
      <c r="Q29" s="728"/>
      <c r="R29" s="52"/>
      <c r="S29" s="729"/>
      <c r="V29" s="50"/>
      <c r="AL29" s="50" t="s">
        <v>83</v>
      </c>
    </row>
    <row r="30" spans="1:40" x14ac:dyDescent="0.25">
      <c r="A30" s="239" t="s">
        <v>496</v>
      </c>
      <c r="B30" s="239" t="s">
        <v>701</v>
      </c>
      <c r="C30" s="717">
        <v>45292</v>
      </c>
      <c r="D30" s="51"/>
      <c r="E30" s="614" t="s">
        <v>3846</v>
      </c>
      <c r="F30" s="33"/>
      <c r="G30" s="675"/>
      <c r="H30" s="679"/>
      <c r="I30" s="51" t="s">
        <v>3847</v>
      </c>
      <c r="L30" s="675"/>
      <c r="M30" s="239"/>
      <c r="N30" s="550"/>
      <c r="O30" s="790"/>
      <c r="P30" s="790"/>
      <c r="Q30" s="790"/>
      <c r="R30" s="52"/>
      <c r="S30" s="791"/>
      <c r="V30" s="50"/>
      <c r="AL30" s="50"/>
    </row>
    <row r="31" spans="1:40" x14ac:dyDescent="0.25">
      <c r="A31" s="239" t="s">
        <v>496</v>
      </c>
      <c r="B31" s="33" t="s">
        <v>698</v>
      </c>
      <c r="C31" s="35">
        <v>42370</v>
      </c>
      <c r="D31" s="239"/>
      <c r="E31" s="51" t="s">
        <v>1651</v>
      </c>
      <c r="F31" s="33"/>
      <c r="G31" s="33"/>
      <c r="H31" s="201"/>
      <c r="I31" s="239" t="s">
        <v>3050</v>
      </c>
      <c r="M31" s="239"/>
      <c r="N31" s="550"/>
      <c r="O31" s="462"/>
      <c r="P31" s="462"/>
      <c r="Q31" s="462"/>
      <c r="R31" s="668"/>
      <c r="S31" s="35"/>
    </row>
    <row r="32" spans="1:40" ht="53.25" customHeight="1" x14ac:dyDescent="0.25">
      <c r="A32" s="629" t="s">
        <v>496</v>
      </c>
      <c r="B32" s="33" t="s">
        <v>4</v>
      </c>
      <c r="C32" s="35"/>
      <c r="D32" s="239"/>
      <c r="E32" s="593" t="s">
        <v>3105</v>
      </c>
      <c r="F32" s="592"/>
      <c r="G32" s="592"/>
      <c r="H32" s="608" t="s">
        <v>72</v>
      </c>
      <c r="I32" s="593"/>
      <c r="J32" s="595"/>
      <c r="K32" s="592"/>
      <c r="L32" s="592"/>
      <c r="M32" s="593"/>
      <c r="N32" s="548"/>
      <c r="O32" s="156"/>
      <c r="P32" s="447"/>
      <c r="Q32" s="156"/>
      <c r="R32" s="447"/>
      <c r="S32" s="646"/>
      <c r="T32" s="592"/>
      <c r="U32" s="592"/>
      <c r="V32" s="35"/>
      <c r="W32" s="585"/>
    </row>
    <row r="33" spans="1:32" x14ac:dyDescent="0.25">
      <c r="A33" s="239" t="s">
        <v>496</v>
      </c>
      <c r="B33" s="33" t="s">
        <v>698</v>
      </c>
      <c r="C33" s="35">
        <v>42005</v>
      </c>
      <c r="D33" s="239"/>
      <c r="E33" s="51" t="s">
        <v>698</v>
      </c>
      <c r="F33" s="33"/>
      <c r="G33" s="33"/>
      <c r="H33" s="201">
        <v>6181</v>
      </c>
      <c r="I33" s="51" t="s">
        <v>415</v>
      </c>
      <c r="M33" s="239"/>
      <c r="N33" s="550"/>
      <c r="O33" s="34"/>
      <c r="P33" s="2"/>
      <c r="Q33" s="34"/>
      <c r="R33" s="52"/>
      <c r="S33" s="646"/>
      <c r="T33" s="592"/>
      <c r="U33" s="592"/>
      <c r="V33" s="35"/>
    </row>
    <row r="34" spans="1:32" x14ac:dyDescent="0.25">
      <c r="A34" s="592" t="s">
        <v>496</v>
      </c>
      <c r="B34" s="51" t="s">
        <v>83</v>
      </c>
      <c r="C34" s="35">
        <v>42005</v>
      </c>
      <c r="D34" s="51"/>
      <c r="E34" s="51" t="s">
        <v>83</v>
      </c>
      <c r="F34" s="33"/>
      <c r="G34" s="33"/>
      <c r="H34" s="201">
        <v>6181</v>
      </c>
      <c r="I34" s="239" t="s">
        <v>3042</v>
      </c>
      <c r="M34" s="239"/>
      <c r="N34" s="550"/>
      <c r="O34" s="34"/>
      <c r="P34" s="2"/>
      <c r="Q34" s="34"/>
      <c r="R34" s="52"/>
      <c r="S34" s="447"/>
      <c r="T34" s="592"/>
      <c r="U34" s="592"/>
    </row>
    <row r="35" spans="1:32" ht="45" x14ac:dyDescent="0.25">
      <c r="A35" s="33" t="s">
        <v>496</v>
      </c>
      <c r="B35" s="33" t="s">
        <v>701</v>
      </c>
      <c r="C35" s="35">
        <v>43101</v>
      </c>
      <c r="D35" s="51"/>
      <c r="E35" s="51" t="s">
        <v>711</v>
      </c>
      <c r="F35" s="33"/>
      <c r="G35" s="33"/>
      <c r="H35" s="201">
        <v>6181</v>
      </c>
      <c r="I35" s="477" t="s">
        <v>3845</v>
      </c>
      <c r="M35" s="239"/>
      <c r="N35" s="550"/>
      <c r="O35" s="34"/>
      <c r="P35" s="2"/>
      <c r="Q35" s="34"/>
      <c r="R35" s="52"/>
      <c r="S35" s="447"/>
      <c r="T35" s="592"/>
      <c r="U35" s="592"/>
      <c r="AD35" s="35"/>
      <c r="AF35" s="35"/>
    </row>
    <row r="36" spans="1:32" x14ac:dyDescent="0.25">
      <c r="A36" s="239" t="s">
        <v>496</v>
      </c>
      <c r="B36" s="239" t="s">
        <v>698</v>
      </c>
      <c r="C36" s="63">
        <v>42370</v>
      </c>
      <c r="D36" s="51"/>
      <c r="E36" s="51" t="s">
        <v>1635</v>
      </c>
      <c r="F36" s="33"/>
      <c r="G36" s="33"/>
      <c r="H36" s="201"/>
      <c r="I36" s="239" t="s">
        <v>1635</v>
      </c>
      <c r="M36" s="239"/>
      <c r="N36" s="550"/>
      <c r="O36" s="462"/>
      <c r="P36" s="462"/>
      <c r="Q36" s="462"/>
      <c r="R36" s="668"/>
      <c r="S36" s="35"/>
      <c r="T36" s="592"/>
      <c r="U36" s="592"/>
      <c r="AD36" s="35"/>
      <c r="AF36" s="35"/>
    </row>
    <row r="37" spans="1:32" ht="60" x14ac:dyDescent="0.25">
      <c r="A37" s="239" t="s">
        <v>496</v>
      </c>
      <c r="B37" s="676" t="s">
        <v>83</v>
      </c>
      <c r="C37" s="717">
        <v>45139</v>
      </c>
      <c r="D37" s="51"/>
      <c r="E37" s="614" t="s">
        <v>3626</v>
      </c>
      <c r="F37" s="33"/>
      <c r="G37" s="675"/>
      <c r="H37" s="679"/>
      <c r="I37" s="239" t="s">
        <v>3637</v>
      </c>
      <c r="L37" s="675"/>
      <c r="M37" s="239"/>
      <c r="N37" s="550"/>
      <c r="O37" s="728"/>
      <c r="P37" s="728"/>
      <c r="Q37" s="728"/>
      <c r="R37" s="52"/>
      <c r="S37" s="729"/>
      <c r="T37" s="592"/>
      <c r="U37" s="592"/>
    </row>
    <row r="38" spans="1:32" ht="45" x14ac:dyDescent="0.25">
      <c r="A38" s="239" t="s">
        <v>496</v>
      </c>
      <c r="B38" s="239"/>
      <c r="C38" s="63">
        <v>42370</v>
      </c>
      <c r="D38" s="1"/>
      <c r="E38" s="1" t="s">
        <v>1564</v>
      </c>
      <c r="F38" s="33"/>
      <c r="G38" s="33"/>
      <c r="H38" s="201"/>
      <c r="I38" s="239" t="s">
        <v>2806</v>
      </c>
      <c r="M38" s="239"/>
      <c r="N38" s="550"/>
      <c r="O38" s="466"/>
      <c r="P38" s="466"/>
      <c r="Q38" s="466"/>
      <c r="R38" s="667"/>
      <c r="S38" s="35"/>
      <c r="T38" s="592"/>
      <c r="U38" s="592"/>
    </row>
    <row r="39" spans="1:32" x14ac:dyDescent="0.25">
      <c r="A39" s="239" t="s">
        <v>496</v>
      </c>
      <c r="B39" s="239" t="s">
        <v>698</v>
      </c>
      <c r="C39" s="63">
        <v>42370</v>
      </c>
      <c r="D39" s="51"/>
      <c r="E39" s="51" t="s">
        <v>1636</v>
      </c>
      <c r="F39" s="33"/>
      <c r="G39" s="33"/>
      <c r="H39" s="201"/>
      <c r="I39" s="239" t="s">
        <v>3052</v>
      </c>
      <c r="M39" s="239"/>
      <c r="N39" s="550"/>
      <c r="O39" s="462"/>
      <c r="P39" s="462"/>
      <c r="Q39" s="462"/>
      <c r="R39" s="668"/>
      <c r="S39" s="35"/>
      <c r="T39" s="592"/>
      <c r="U39" s="592"/>
    </row>
    <row r="40" spans="1:32" x14ac:dyDescent="0.25">
      <c r="A40" s="33" t="s">
        <v>496</v>
      </c>
      <c r="B40" s="33" t="s">
        <v>701</v>
      </c>
      <c r="C40" s="35">
        <v>42005</v>
      </c>
      <c r="D40" s="239"/>
      <c r="E40" s="239" t="s">
        <v>5</v>
      </c>
      <c r="F40" s="33"/>
      <c r="G40" s="33"/>
      <c r="H40" s="201" t="s">
        <v>75</v>
      </c>
      <c r="I40" s="239" t="s">
        <v>1684</v>
      </c>
      <c r="M40" s="239"/>
      <c r="N40" s="550"/>
      <c r="O40" s="34"/>
      <c r="P40" s="2"/>
      <c r="Q40" s="34"/>
      <c r="R40" s="52"/>
      <c r="S40" s="52"/>
      <c r="T40" s="592"/>
      <c r="U40" s="592"/>
    </row>
    <row r="41" spans="1:32" x14ac:dyDescent="0.25">
      <c r="A41" s="33" t="s">
        <v>496</v>
      </c>
      <c r="B41" s="33" t="s">
        <v>701</v>
      </c>
      <c r="C41" s="35">
        <v>42005</v>
      </c>
      <c r="D41" s="51"/>
      <c r="E41" s="51" t="s">
        <v>704</v>
      </c>
      <c r="F41" s="33"/>
      <c r="G41" s="33"/>
      <c r="H41" s="201" t="s">
        <v>75</v>
      </c>
      <c r="I41" s="239" t="s">
        <v>3546</v>
      </c>
      <c r="M41" s="239"/>
      <c r="N41" s="550"/>
      <c r="O41" s="34"/>
      <c r="P41" s="2"/>
      <c r="Q41" s="34"/>
      <c r="R41" s="52"/>
      <c r="S41" s="52"/>
      <c r="T41" s="592"/>
      <c r="U41" s="592"/>
    </row>
    <row r="42" spans="1:32" ht="45" x14ac:dyDescent="0.25">
      <c r="A42" s="592" t="s">
        <v>496</v>
      </c>
      <c r="B42" s="33" t="s">
        <v>701</v>
      </c>
      <c r="C42" s="35">
        <v>42005</v>
      </c>
      <c r="D42" s="593"/>
      <c r="E42" s="593" t="s">
        <v>7</v>
      </c>
      <c r="F42" s="33"/>
      <c r="G42" s="33"/>
      <c r="H42" s="201"/>
      <c r="I42" s="607" t="s">
        <v>3083</v>
      </c>
      <c r="M42" s="239"/>
      <c r="N42" s="550"/>
      <c r="O42" s="34"/>
      <c r="P42" s="2"/>
      <c r="Q42" s="34"/>
      <c r="R42" s="52"/>
      <c r="S42" s="52"/>
      <c r="T42" s="592"/>
      <c r="U42" s="592"/>
    </row>
    <row r="43" spans="1:32" ht="57.6" customHeight="1" x14ac:dyDescent="0.25">
      <c r="A43" s="592" t="s">
        <v>496</v>
      </c>
      <c r="B43" s="33" t="s">
        <v>701</v>
      </c>
      <c r="C43" s="35">
        <v>42005</v>
      </c>
      <c r="D43" s="593"/>
      <c r="E43" s="593" t="s">
        <v>6</v>
      </c>
      <c r="F43" s="33"/>
      <c r="G43" s="33"/>
      <c r="H43" s="201"/>
      <c r="I43" s="239" t="s">
        <v>2862</v>
      </c>
      <c r="M43" s="239"/>
      <c r="N43" s="550"/>
      <c r="O43" s="34"/>
      <c r="P43" s="2"/>
      <c r="Q43" s="34"/>
      <c r="R43" s="52"/>
      <c r="S43" s="52"/>
      <c r="T43" s="592"/>
      <c r="U43" s="592"/>
    </row>
    <row r="44" spans="1:32" ht="30" x14ac:dyDescent="0.25">
      <c r="A44" s="239" t="s">
        <v>496</v>
      </c>
      <c r="B44" s="239" t="s">
        <v>701</v>
      </c>
      <c r="C44" s="63">
        <v>42370</v>
      </c>
      <c r="D44" s="51"/>
      <c r="E44" s="51" t="s">
        <v>1202</v>
      </c>
      <c r="F44" s="33"/>
      <c r="G44" s="33"/>
      <c r="H44" s="201" t="s">
        <v>75</v>
      </c>
      <c r="I44" s="51" t="s">
        <v>2658</v>
      </c>
      <c r="M44" s="239"/>
      <c r="N44" s="550"/>
      <c r="O44" s="34"/>
      <c r="P44" s="156"/>
      <c r="Q44" s="34"/>
      <c r="R44" s="52"/>
      <c r="S44" s="62"/>
      <c r="T44" s="592"/>
      <c r="U44" s="592"/>
    </row>
    <row r="45" spans="1:32" x14ac:dyDescent="0.25">
      <c r="A45" s="593" t="s">
        <v>496</v>
      </c>
      <c r="B45" s="239" t="s">
        <v>701</v>
      </c>
      <c r="C45" s="63">
        <v>43101</v>
      </c>
      <c r="D45" s="611"/>
      <c r="E45" s="611" t="s">
        <v>703</v>
      </c>
      <c r="F45" s="33"/>
      <c r="G45" s="33"/>
      <c r="H45" s="201" t="s">
        <v>75</v>
      </c>
      <c r="I45" s="239" t="s">
        <v>597</v>
      </c>
      <c r="M45" s="239"/>
      <c r="N45" s="550"/>
      <c r="O45" s="34"/>
      <c r="P45" s="2"/>
      <c r="Q45" s="34"/>
      <c r="R45" s="52"/>
      <c r="S45" s="62"/>
    </row>
    <row r="46" spans="1:32" ht="30" x14ac:dyDescent="0.25">
      <c r="A46" s="239" t="s">
        <v>496</v>
      </c>
      <c r="B46" s="239" t="s">
        <v>701</v>
      </c>
      <c r="C46" s="63">
        <v>43101</v>
      </c>
      <c r="D46" s="51"/>
      <c r="E46" s="51" t="s">
        <v>3631</v>
      </c>
      <c r="F46" s="33"/>
      <c r="G46" s="33"/>
      <c r="H46" s="201" t="s">
        <v>75</v>
      </c>
      <c r="I46" s="239" t="s">
        <v>596</v>
      </c>
      <c r="M46" s="239"/>
      <c r="N46" s="550"/>
      <c r="O46" s="34"/>
      <c r="P46" s="2"/>
      <c r="Q46" s="34"/>
      <c r="R46" s="52"/>
      <c r="S46" s="62"/>
    </row>
    <row r="47" spans="1:32" ht="45" x14ac:dyDescent="0.25">
      <c r="A47" s="239" t="s">
        <v>496</v>
      </c>
      <c r="B47" s="239" t="s">
        <v>701</v>
      </c>
      <c r="C47" s="63">
        <v>43101</v>
      </c>
      <c r="D47" s="51"/>
      <c r="E47" s="51" t="s">
        <v>3632</v>
      </c>
      <c r="F47" s="33"/>
      <c r="G47" s="33"/>
      <c r="H47" s="201" t="s">
        <v>75</v>
      </c>
      <c r="I47" s="239" t="s">
        <v>3844</v>
      </c>
      <c r="M47" s="239"/>
      <c r="N47" s="550"/>
      <c r="O47" s="34"/>
      <c r="P47" s="2"/>
      <c r="Q47" s="34"/>
      <c r="R47" s="52"/>
      <c r="S47" s="62"/>
    </row>
    <row r="48" spans="1:32" x14ac:dyDescent="0.25">
      <c r="A48" s="593" t="s">
        <v>496</v>
      </c>
      <c r="B48" s="239" t="s">
        <v>701</v>
      </c>
      <c r="C48" s="63">
        <v>43101</v>
      </c>
      <c r="D48" s="611"/>
      <c r="E48" s="611" t="s">
        <v>705</v>
      </c>
      <c r="F48" s="33"/>
      <c r="G48" s="33"/>
      <c r="H48" s="201">
        <v>6181</v>
      </c>
      <c r="I48" s="239" t="s">
        <v>595</v>
      </c>
      <c r="M48" s="239"/>
      <c r="N48" s="550"/>
      <c r="O48" s="34"/>
      <c r="P48" s="2"/>
      <c r="Q48" s="34"/>
      <c r="R48" s="52"/>
      <c r="S48" s="62"/>
    </row>
    <row r="49" spans="1:19" x14ac:dyDescent="0.25">
      <c r="A49" s="239" t="s">
        <v>496</v>
      </c>
      <c r="B49" s="239" t="s">
        <v>701</v>
      </c>
      <c r="C49" s="63">
        <v>43101</v>
      </c>
      <c r="D49" s="51"/>
      <c r="E49" s="51" t="s">
        <v>706</v>
      </c>
      <c r="F49" s="33"/>
      <c r="G49" s="33"/>
      <c r="H49" s="201">
        <v>6181</v>
      </c>
      <c r="I49" s="51" t="s">
        <v>593</v>
      </c>
      <c r="M49" s="239"/>
      <c r="N49" s="550"/>
      <c r="O49" s="34"/>
      <c r="P49" s="2"/>
      <c r="Q49" s="156"/>
      <c r="R49" s="447"/>
      <c r="S49" s="62"/>
    </row>
    <row r="50" spans="1:19" x14ac:dyDescent="0.25">
      <c r="A50" s="239" t="s">
        <v>496</v>
      </c>
      <c r="B50" s="239" t="s">
        <v>701</v>
      </c>
      <c r="C50" s="63">
        <v>43101</v>
      </c>
      <c r="D50" s="51"/>
      <c r="E50" s="51" t="s">
        <v>3630</v>
      </c>
      <c r="F50" s="33"/>
      <c r="G50" s="33"/>
      <c r="H50" s="201">
        <v>6181</v>
      </c>
      <c r="I50" s="239" t="s">
        <v>594</v>
      </c>
      <c r="M50" s="239"/>
      <c r="N50" s="550"/>
      <c r="O50" s="34"/>
      <c r="P50" s="2"/>
      <c r="Q50" s="34"/>
      <c r="R50" s="52"/>
      <c r="S50" s="62"/>
    </row>
    <row r="51" spans="1:19" x14ac:dyDescent="0.25">
      <c r="A51" s="239" t="s">
        <v>496</v>
      </c>
      <c r="B51" s="676"/>
      <c r="C51" s="717">
        <v>45127</v>
      </c>
      <c r="D51" s="51"/>
      <c r="E51" s="614" t="s">
        <v>3592</v>
      </c>
      <c r="F51" s="33"/>
      <c r="G51" s="675"/>
      <c r="H51" s="201" t="s">
        <v>72</v>
      </c>
      <c r="I51" s="239" t="s">
        <v>3593</v>
      </c>
      <c r="L51" s="675"/>
      <c r="M51" s="239"/>
      <c r="N51" s="550"/>
      <c r="O51" s="728"/>
      <c r="P51" s="728"/>
      <c r="Q51" s="728"/>
      <c r="R51" s="52"/>
      <c r="S51" s="729"/>
    </row>
    <row r="52" spans="1:19" ht="30" x14ac:dyDescent="0.25">
      <c r="A52" s="239" t="s">
        <v>496</v>
      </c>
      <c r="B52" s="33" t="s">
        <v>701</v>
      </c>
      <c r="C52" s="63">
        <v>43344</v>
      </c>
      <c r="D52" s="51"/>
      <c r="E52" s="51" t="s">
        <v>933</v>
      </c>
      <c r="F52" s="239"/>
      <c r="G52" s="239"/>
      <c r="H52" s="201">
        <v>6181</v>
      </c>
      <c r="I52" s="51" t="s">
        <v>2863</v>
      </c>
      <c r="J52" s="63"/>
      <c r="M52" s="239"/>
      <c r="N52" s="550"/>
      <c r="O52" s="462"/>
      <c r="P52" s="462"/>
      <c r="Q52" s="462"/>
      <c r="R52" s="668"/>
      <c r="S52" s="35"/>
    </row>
    <row r="53" spans="1:19" ht="30" x14ac:dyDescent="0.25">
      <c r="A53" s="239" t="s">
        <v>496</v>
      </c>
      <c r="B53" s="33" t="s">
        <v>701</v>
      </c>
      <c r="C53" s="717">
        <v>45642</v>
      </c>
      <c r="D53" s="51"/>
      <c r="E53" s="614" t="s">
        <v>3927</v>
      </c>
      <c r="F53" s="239"/>
      <c r="G53" s="675"/>
      <c r="H53" s="679"/>
      <c r="I53" s="51" t="s">
        <v>3928</v>
      </c>
      <c r="J53" s="63"/>
      <c r="L53" s="675"/>
      <c r="M53" s="239"/>
      <c r="N53" s="550"/>
      <c r="O53" s="790"/>
      <c r="P53" s="790"/>
      <c r="Q53" s="790"/>
      <c r="R53" s="52"/>
      <c r="S53" s="791"/>
    </row>
    <row r="54" spans="1:19" ht="30" x14ac:dyDescent="0.25">
      <c r="A54" s="239" t="s">
        <v>496</v>
      </c>
      <c r="B54" s="33" t="s">
        <v>701</v>
      </c>
      <c r="C54" s="717">
        <v>44927</v>
      </c>
      <c r="D54" s="51"/>
      <c r="E54" s="614" t="s">
        <v>3617</v>
      </c>
      <c r="F54" s="239"/>
      <c r="G54" s="675"/>
      <c r="H54" s="679"/>
      <c r="I54" s="51" t="s">
        <v>3618</v>
      </c>
      <c r="J54" s="63"/>
      <c r="L54" s="675"/>
      <c r="M54" s="239"/>
      <c r="N54" s="550"/>
      <c r="O54" s="728"/>
      <c r="P54" s="728"/>
      <c r="Q54" s="728"/>
      <c r="R54" s="52"/>
      <c r="S54" s="729"/>
    </row>
    <row r="55" spans="1:19" x14ac:dyDescent="0.25">
      <c r="A55" s="239" t="s">
        <v>496</v>
      </c>
      <c r="B55" s="239" t="s">
        <v>701</v>
      </c>
      <c r="C55" s="63">
        <v>43678</v>
      </c>
      <c r="D55" s="51"/>
      <c r="E55" s="51" t="s">
        <v>1674</v>
      </c>
      <c r="F55" s="33"/>
      <c r="G55" s="33"/>
      <c r="H55" s="201" t="s">
        <v>72</v>
      </c>
      <c r="I55" s="51" t="s">
        <v>1685</v>
      </c>
      <c r="M55" s="239"/>
      <c r="N55" s="550"/>
      <c r="O55" s="462"/>
      <c r="P55" s="462"/>
      <c r="Q55" s="462"/>
      <c r="R55" s="668"/>
      <c r="S55" s="35"/>
    </row>
    <row r="56" spans="1:19" ht="45" x14ac:dyDescent="0.25">
      <c r="A56" s="593" t="s">
        <v>496</v>
      </c>
      <c r="B56" s="239" t="s">
        <v>701</v>
      </c>
      <c r="C56" s="63">
        <v>43678</v>
      </c>
      <c r="D56" s="51"/>
      <c r="E56" s="51" t="s">
        <v>1672</v>
      </c>
      <c r="F56" s="33"/>
      <c r="G56" s="33"/>
      <c r="H56" s="201" t="s">
        <v>72</v>
      </c>
      <c r="I56" s="51" t="s">
        <v>2803</v>
      </c>
      <c r="M56" s="239"/>
      <c r="N56" s="550"/>
      <c r="O56" s="466"/>
      <c r="P56" s="466"/>
      <c r="Q56" s="466"/>
      <c r="R56" s="667"/>
      <c r="S56" s="35"/>
    </row>
    <row r="57" spans="1:19" x14ac:dyDescent="0.25">
      <c r="A57" s="593" t="s">
        <v>496</v>
      </c>
      <c r="B57" s="239" t="s">
        <v>701</v>
      </c>
      <c r="C57" s="63">
        <v>43678</v>
      </c>
      <c r="D57" s="51"/>
      <c r="E57" s="51" t="s">
        <v>1679</v>
      </c>
      <c r="F57" s="33"/>
      <c r="G57" s="33"/>
      <c r="H57" s="201" t="s">
        <v>72</v>
      </c>
      <c r="I57" s="51" t="s">
        <v>1689</v>
      </c>
      <c r="M57" s="239"/>
      <c r="N57" s="550"/>
      <c r="O57" s="462"/>
      <c r="P57" s="462"/>
      <c r="Q57" s="462"/>
      <c r="R57" s="668"/>
      <c r="S57" s="35"/>
    </row>
    <row r="58" spans="1:19" x14ac:dyDescent="0.25">
      <c r="A58" s="593" t="s">
        <v>496</v>
      </c>
      <c r="B58" s="239" t="s">
        <v>701</v>
      </c>
      <c r="C58" s="63">
        <v>43678</v>
      </c>
      <c r="D58" s="51"/>
      <c r="E58" s="51" t="s">
        <v>1673</v>
      </c>
      <c r="F58" s="33"/>
      <c r="G58" s="33"/>
      <c r="H58" s="201" t="s">
        <v>72</v>
      </c>
      <c r="I58" s="51" t="s">
        <v>1684</v>
      </c>
      <c r="M58" s="239"/>
      <c r="N58" s="550"/>
      <c r="O58" s="462"/>
      <c r="P58" s="462"/>
      <c r="Q58" s="462"/>
      <c r="R58" s="668"/>
      <c r="S58" s="35"/>
    </row>
    <row r="59" spans="1:19" x14ac:dyDescent="0.25">
      <c r="A59" s="593" t="s">
        <v>496</v>
      </c>
      <c r="B59" s="239" t="s">
        <v>701</v>
      </c>
      <c r="C59" s="63">
        <v>43678</v>
      </c>
      <c r="D59" s="51"/>
      <c r="E59" s="51" t="s">
        <v>1671</v>
      </c>
      <c r="F59" s="33"/>
      <c r="G59" s="33"/>
      <c r="H59" s="201" t="s">
        <v>72</v>
      </c>
      <c r="I59" s="51" t="s">
        <v>1683</v>
      </c>
      <c r="M59" s="239"/>
      <c r="N59" s="550"/>
      <c r="O59" s="462"/>
      <c r="P59" s="462"/>
      <c r="Q59" s="462"/>
      <c r="R59" s="668"/>
      <c r="S59" s="35"/>
    </row>
    <row r="60" spans="1:19" x14ac:dyDescent="0.25">
      <c r="A60" s="593" t="s">
        <v>496</v>
      </c>
      <c r="B60" s="239" t="s">
        <v>701</v>
      </c>
      <c r="C60" s="63">
        <v>43678</v>
      </c>
      <c r="D60" s="51"/>
      <c r="E60" s="51" t="s">
        <v>1675</v>
      </c>
      <c r="F60" s="33"/>
      <c r="G60" s="33"/>
      <c r="H60" s="201" t="s">
        <v>72</v>
      </c>
      <c r="I60" s="51" t="s">
        <v>1686</v>
      </c>
      <c r="M60" s="239"/>
      <c r="N60" s="550"/>
      <c r="O60" s="462"/>
      <c r="P60" s="462"/>
      <c r="Q60" s="462"/>
      <c r="R60" s="668"/>
      <c r="S60" s="35"/>
    </row>
    <row r="61" spans="1:19" x14ac:dyDescent="0.25">
      <c r="A61" s="593" t="s">
        <v>496</v>
      </c>
      <c r="B61" s="51" t="s">
        <v>83</v>
      </c>
      <c r="C61" s="63">
        <v>43678</v>
      </c>
      <c r="D61" s="51"/>
      <c r="E61" s="51" t="s">
        <v>1706</v>
      </c>
      <c r="F61" s="33"/>
      <c r="G61" s="33"/>
      <c r="H61" s="201" t="s">
        <v>72</v>
      </c>
      <c r="I61" s="51" t="s">
        <v>1695</v>
      </c>
      <c r="M61" s="239"/>
      <c r="N61" s="550"/>
      <c r="O61" s="462"/>
      <c r="P61" s="462"/>
      <c r="Q61" s="462"/>
      <c r="R61" s="668"/>
      <c r="S61" s="35"/>
    </row>
    <row r="62" spans="1:19" x14ac:dyDescent="0.25">
      <c r="A62" s="593" t="s">
        <v>496</v>
      </c>
      <c r="B62" s="239" t="s">
        <v>701</v>
      </c>
      <c r="C62" s="63">
        <v>43678</v>
      </c>
      <c r="D62" s="51"/>
      <c r="E62" s="51" t="s">
        <v>1676</v>
      </c>
      <c r="F62" s="33"/>
      <c r="G62" s="33"/>
      <c r="H62" s="201" t="s">
        <v>72</v>
      </c>
      <c r="I62" s="51" t="s">
        <v>1687</v>
      </c>
      <c r="M62" s="239"/>
      <c r="N62" s="550"/>
      <c r="O62" s="462"/>
      <c r="P62" s="462"/>
      <c r="Q62" s="462"/>
      <c r="R62" s="668"/>
      <c r="S62" s="35"/>
    </row>
    <row r="63" spans="1:19" x14ac:dyDescent="0.25">
      <c r="A63" s="593" t="s">
        <v>496</v>
      </c>
      <c r="B63" s="51" t="s">
        <v>864</v>
      </c>
      <c r="C63" s="63">
        <v>43678</v>
      </c>
      <c r="D63" s="51"/>
      <c r="E63" s="51" t="s">
        <v>1714</v>
      </c>
      <c r="F63" s="33"/>
      <c r="G63" s="33"/>
      <c r="H63" s="201" t="s">
        <v>72</v>
      </c>
      <c r="I63" s="51" t="s">
        <v>1715</v>
      </c>
      <c r="M63" s="239"/>
      <c r="N63" s="550"/>
      <c r="O63" s="462"/>
      <c r="P63" s="462"/>
      <c r="Q63" s="462"/>
      <c r="R63" s="668"/>
      <c r="S63" s="35"/>
    </row>
    <row r="64" spans="1:19" x14ac:dyDescent="0.25">
      <c r="A64" s="593" t="s">
        <v>496</v>
      </c>
      <c r="B64" s="239" t="s">
        <v>701</v>
      </c>
      <c r="C64" s="63">
        <v>43678</v>
      </c>
      <c r="D64" s="51"/>
      <c r="E64" s="51" t="s">
        <v>1690</v>
      </c>
      <c r="F64" s="33"/>
      <c r="G64" s="33"/>
      <c r="H64" s="201" t="s">
        <v>72</v>
      </c>
      <c r="I64" s="51" t="s">
        <v>1688</v>
      </c>
      <c r="M64" s="239"/>
      <c r="N64" s="550"/>
      <c r="O64" s="462"/>
      <c r="P64" s="462"/>
      <c r="Q64" s="462"/>
      <c r="R64" s="668"/>
      <c r="S64" s="35"/>
    </row>
    <row r="65" spans="1:19" ht="45" x14ac:dyDescent="0.25">
      <c r="A65" s="629" t="s">
        <v>495</v>
      </c>
      <c r="B65" s="592" t="s">
        <v>4</v>
      </c>
      <c r="C65" s="717">
        <v>45266</v>
      </c>
      <c r="D65" s="611" t="s">
        <v>3447</v>
      </c>
      <c r="E65" s="742" t="s">
        <v>3664</v>
      </c>
      <c r="F65" s="592" t="s">
        <v>2854</v>
      </c>
      <c r="G65" s="675" t="s">
        <v>3665</v>
      </c>
      <c r="H65" s="608" t="s">
        <v>72</v>
      </c>
      <c r="I65" s="593" t="s">
        <v>3549</v>
      </c>
      <c r="J65" s="592"/>
      <c r="K65" s="592"/>
      <c r="L65" s="675"/>
      <c r="M65" s="593"/>
      <c r="N65" s="548">
        <v>6562500</v>
      </c>
      <c r="O65" s="743">
        <v>4593750</v>
      </c>
      <c r="P65" s="748">
        <v>45289</v>
      </c>
      <c r="Q65" s="746">
        <v>1968750</v>
      </c>
      <c r="R65" s="692">
        <v>45428</v>
      </c>
      <c r="S65" s="744">
        <v>45439</v>
      </c>
    </row>
    <row r="66" spans="1:19" ht="90" x14ac:dyDescent="0.25">
      <c r="A66" s="629" t="s">
        <v>495</v>
      </c>
      <c r="B66" s="676" t="s">
        <v>4</v>
      </c>
      <c r="C66" s="594">
        <v>45328</v>
      </c>
      <c r="D66" s="593" t="s">
        <v>3447</v>
      </c>
      <c r="E66" s="687" t="s">
        <v>1517</v>
      </c>
      <c r="F66" s="610" t="s">
        <v>1339</v>
      </c>
      <c r="H66" s="679" t="s">
        <v>72</v>
      </c>
      <c r="I66" s="611" t="s">
        <v>3663</v>
      </c>
      <c r="J66" s="595">
        <v>44135</v>
      </c>
      <c r="K66" s="593" t="s">
        <v>2464</v>
      </c>
      <c r="L66" s="675"/>
      <c r="M66" s="611" t="s">
        <v>1561</v>
      </c>
      <c r="N66" s="547">
        <v>21288000</v>
      </c>
      <c r="O66" s="689">
        <v>14901600</v>
      </c>
      <c r="P66" s="447">
        <v>43862</v>
      </c>
      <c r="Q66" s="688">
        <v>6386400</v>
      </c>
      <c r="R66" s="692" t="s">
        <v>3787</v>
      </c>
      <c r="S66" s="693">
        <v>44282</v>
      </c>
    </row>
    <row r="67" spans="1:19" ht="30" x14ac:dyDescent="0.25">
      <c r="A67" s="629" t="s">
        <v>495</v>
      </c>
      <c r="B67" s="592" t="s">
        <v>4</v>
      </c>
      <c r="C67" s="717">
        <v>45015</v>
      </c>
      <c r="D67" s="611" t="s">
        <v>3447</v>
      </c>
      <c r="E67" s="742" t="s">
        <v>3721</v>
      </c>
      <c r="F67" s="592" t="s">
        <v>360</v>
      </c>
      <c r="G67" s="675" t="s">
        <v>3721</v>
      </c>
      <c r="H67" s="608" t="s">
        <v>72</v>
      </c>
      <c r="I67" s="593" t="s">
        <v>3722</v>
      </c>
      <c r="J67" s="592"/>
      <c r="K67" s="592"/>
      <c r="L67" s="675"/>
      <c r="M67" s="593"/>
      <c r="N67" s="548">
        <v>169200</v>
      </c>
      <c r="O67" s="743">
        <v>169200</v>
      </c>
      <c r="P67" s="748">
        <v>45372</v>
      </c>
      <c r="Q67" s="746">
        <v>169200</v>
      </c>
      <c r="R67" s="692"/>
      <c r="S67" s="744">
        <v>45449</v>
      </c>
    </row>
    <row r="68" spans="1:19" ht="30" x14ac:dyDescent="0.25">
      <c r="A68" s="239" t="s">
        <v>496</v>
      </c>
      <c r="B68" s="239" t="s">
        <v>699</v>
      </c>
      <c r="C68" s="63">
        <v>43221</v>
      </c>
      <c r="D68" s="51"/>
      <c r="E68" s="51" t="s">
        <v>667</v>
      </c>
      <c r="F68" s="33"/>
      <c r="G68" s="33"/>
      <c r="H68" s="201">
        <v>6181</v>
      </c>
      <c r="I68" s="51" t="s">
        <v>668</v>
      </c>
      <c r="K68" s="51" t="s">
        <v>670</v>
      </c>
      <c r="L68" s="51"/>
      <c r="M68" s="239"/>
      <c r="N68"/>
      <c r="O68" s="34"/>
      <c r="P68" s="2"/>
      <c r="Q68" s="34"/>
      <c r="R68" s="52"/>
      <c r="S68" s="62"/>
    </row>
    <row r="69" spans="1:19" ht="30" x14ac:dyDescent="0.25">
      <c r="A69" s="239" t="s">
        <v>496</v>
      </c>
      <c r="B69" s="239" t="s">
        <v>699</v>
      </c>
      <c r="C69" s="63">
        <v>43221</v>
      </c>
      <c r="D69" s="51"/>
      <c r="E69" s="51" t="s">
        <v>3023</v>
      </c>
      <c r="F69" s="33"/>
      <c r="G69" s="33"/>
      <c r="H69" s="201">
        <v>6181</v>
      </c>
      <c r="I69" s="51" t="s">
        <v>3024</v>
      </c>
      <c r="K69" s="239" t="s">
        <v>3025</v>
      </c>
      <c r="L69" s="239"/>
      <c r="M69" s="51"/>
      <c r="N69"/>
      <c r="O69" s="462"/>
      <c r="P69" s="52"/>
      <c r="Q69" s="462"/>
      <c r="R69" s="668"/>
      <c r="S69" s="35"/>
    </row>
    <row r="70" spans="1:19" x14ac:dyDescent="0.25">
      <c r="A70" s="239" t="s">
        <v>496</v>
      </c>
      <c r="B70" s="239" t="s">
        <v>4</v>
      </c>
      <c r="C70" s="63">
        <v>43328</v>
      </c>
      <c r="D70" s="239"/>
      <c r="E70" s="239" t="s">
        <v>928</v>
      </c>
      <c r="F70" s="239"/>
      <c r="G70" s="239"/>
      <c r="H70" s="201">
        <v>6181</v>
      </c>
      <c r="I70" s="239" t="s">
        <v>929</v>
      </c>
      <c r="J70" s="63"/>
      <c r="K70" s="239" t="s">
        <v>3026</v>
      </c>
      <c r="L70" s="239"/>
      <c r="M70" s="239" t="s">
        <v>930</v>
      </c>
      <c r="N70" s="551">
        <v>748000</v>
      </c>
      <c r="O70" s="471">
        <v>0</v>
      </c>
      <c r="P70" s="471"/>
      <c r="Q70" s="470"/>
      <c r="R70" s="469"/>
      <c r="S70" s="469"/>
    </row>
    <row r="71" spans="1:19" x14ac:dyDescent="0.25">
      <c r="A71" s="593" t="s">
        <v>496</v>
      </c>
      <c r="B71" s="239" t="s">
        <v>4</v>
      </c>
      <c r="C71" s="63">
        <v>43678</v>
      </c>
      <c r="D71" s="51"/>
      <c r="E71" s="51" t="s">
        <v>1681</v>
      </c>
      <c r="F71" s="33"/>
      <c r="G71" s="33"/>
      <c r="H71" s="201" t="s">
        <v>1562</v>
      </c>
      <c r="I71" s="51" t="s">
        <v>1678</v>
      </c>
      <c r="M71" s="239" t="s">
        <v>1998</v>
      </c>
      <c r="N71" s="550">
        <v>70000</v>
      </c>
      <c r="O71" s="463"/>
      <c r="P71" s="463"/>
      <c r="Q71" s="462"/>
      <c r="R71" s="668"/>
      <c r="S71" s="35"/>
    </row>
    <row r="72" spans="1:19" x14ac:dyDescent="0.25">
      <c r="A72" s="593" t="s">
        <v>496</v>
      </c>
      <c r="B72" s="239" t="s">
        <v>4</v>
      </c>
      <c r="C72" s="63">
        <v>44497</v>
      </c>
      <c r="D72" s="239"/>
      <c r="E72" s="239" t="s">
        <v>2653</v>
      </c>
      <c r="F72" s="33"/>
      <c r="G72" s="33"/>
      <c r="H72" s="201"/>
      <c r="I72" s="1" t="s">
        <v>2704</v>
      </c>
      <c r="M72" s="239"/>
      <c r="N72"/>
      <c r="O72" s="462"/>
      <c r="P72" s="462"/>
      <c r="Q72" s="462"/>
      <c r="R72" s="668"/>
      <c r="S72" s="35"/>
    </row>
    <row r="73" spans="1:19" x14ac:dyDescent="0.25">
      <c r="A73" s="472" t="s">
        <v>496</v>
      </c>
      <c r="B73" s="239" t="s">
        <v>4</v>
      </c>
      <c r="C73" s="63">
        <v>44243</v>
      </c>
      <c r="D73" s="476"/>
      <c r="E73" s="476" t="s">
        <v>2495</v>
      </c>
      <c r="F73" s="475"/>
      <c r="G73" s="475"/>
      <c r="H73" s="201" t="s">
        <v>1562</v>
      </c>
      <c r="I73" s="474" t="s">
        <v>2496</v>
      </c>
      <c r="M73" s="239"/>
      <c r="N73" s="550"/>
      <c r="O73" s="466"/>
      <c r="P73" s="466"/>
      <c r="Q73" s="466"/>
      <c r="R73" s="667"/>
      <c r="S73" s="35"/>
    </row>
    <row r="74" spans="1:19" x14ac:dyDescent="0.25">
      <c r="A74" s="239" t="s">
        <v>496</v>
      </c>
      <c r="B74" s="239" t="s">
        <v>4</v>
      </c>
      <c r="C74" s="63">
        <v>44515</v>
      </c>
      <c r="D74" s="239"/>
      <c r="E74" s="239" t="s">
        <v>2649</v>
      </c>
      <c r="F74" s="33"/>
      <c r="G74" s="33"/>
      <c r="H74" s="201" t="s">
        <v>1562</v>
      </c>
      <c r="I74" s="239" t="s">
        <v>2650</v>
      </c>
      <c r="M74" s="239"/>
      <c r="N74" s="550">
        <v>0</v>
      </c>
      <c r="O74" s="462"/>
      <c r="P74" s="462"/>
      <c r="Q74" s="462"/>
      <c r="R74" s="668"/>
      <c r="S74" s="35"/>
    </row>
    <row r="75" spans="1:19" x14ac:dyDescent="0.25">
      <c r="A75" s="239" t="s">
        <v>496</v>
      </c>
      <c r="B75" s="239" t="s">
        <v>4</v>
      </c>
      <c r="C75" s="63">
        <v>44517</v>
      </c>
      <c r="D75" s="239"/>
      <c r="E75" s="239" t="s">
        <v>2651</v>
      </c>
      <c r="F75" s="33"/>
      <c r="G75" s="33"/>
      <c r="H75" s="201" t="s">
        <v>1562</v>
      </c>
      <c r="I75" s="239" t="s">
        <v>2652</v>
      </c>
      <c r="M75" s="239"/>
      <c r="N75" s="550"/>
      <c r="O75" s="462"/>
      <c r="P75" s="462"/>
      <c r="Q75" s="462"/>
      <c r="R75" s="668"/>
      <c r="S75" s="35"/>
    </row>
    <row r="76" spans="1:19" x14ac:dyDescent="0.25">
      <c r="A76" s="239" t="s">
        <v>496</v>
      </c>
      <c r="B76" s="239" t="s">
        <v>4</v>
      </c>
      <c r="C76" s="63">
        <v>44600</v>
      </c>
      <c r="D76" s="239"/>
      <c r="E76" s="239" t="s">
        <v>2705</v>
      </c>
      <c r="F76" s="33"/>
      <c r="G76" s="33"/>
      <c r="H76" s="201" t="s">
        <v>1562</v>
      </c>
      <c r="I76" s="239" t="s">
        <v>2706</v>
      </c>
      <c r="M76" s="239"/>
      <c r="N76" s="616"/>
      <c r="O76" s="462"/>
      <c r="P76" s="462"/>
      <c r="Q76" s="462"/>
      <c r="R76" s="668"/>
      <c r="S76" s="35"/>
    </row>
    <row r="77" spans="1:19" x14ac:dyDescent="0.25">
      <c r="A77" s="239" t="s">
        <v>496</v>
      </c>
      <c r="B77" s="239" t="s">
        <v>4</v>
      </c>
      <c r="C77" s="63">
        <v>44608</v>
      </c>
      <c r="D77" s="239"/>
      <c r="E77" s="239" t="s">
        <v>2707</v>
      </c>
      <c r="F77" s="33"/>
      <c r="G77" s="33"/>
      <c r="H77" s="201" t="s">
        <v>1562</v>
      </c>
      <c r="I77" s="239" t="s">
        <v>2708</v>
      </c>
      <c r="M77" s="239"/>
      <c r="N77" s="616"/>
      <c r="O77" s="462"/>
      <c r="P77" s="462"/>
      <c r="Q77" s="462"/>
      <c r="R77" s="668"/>
      <c r="S77" s="35"/>
    </row>
    <row r="78" spans="1:19" x14ac:dyDescent="0.25">
      <c r="A78" s="239" t="s">
        <v>496</v>
      </c>
      <c r="B78" s="239" t="s">
        <v>4</v>
      </c>
      <c r="C78" s="63">
        <v>44738</v>
      </c>
      <c r="D78" s="239"/>
      <c r="E78" s="239" t="s">
        <v>2977</v>
      </c>
      <c r="H78" s="201" t="s">
        <v>2815</v>
      </c>
      <c r="I78" s="239" t="s">
        <v>2978</v>
      </c>
      <c r="M78" s="239"/>
      <c r="N78" s="550">
        <v>0</v>
      </c>
      <c r="O78" s="33"/>
      <c r="P78" s="549"/>
      <c r="Q78" s="34"/>
      <c r="R78" s="52"/>
      <c r="S78" s="62"/>
    </row>
    <row r="79" spans="1:19" x14ac:dyDescent="0.25">
      <c r="A79" s="559" t="s">
        <v>496</v>
      </c>
      <c r="B79" s="239" t="s">
        <v>4</v>
      </c>
      <c r="C79" s="63">
        <v>44781</v>
      </c>
      <c r="D79" s="51"/>
      <c r="E79" s="51" t="s">
        <v>2944</v>
      </c>
      <c r="F79" s="33"/>
      <c r="G79" s="33"/>
      <c r="H79" s="201" t="s">
        <v>2815</v>
      </c>
      <c r="I79" s="33" t="s">
        <v>2945</v>
      </c>
      <c r="N79" s="550">
        <v>0</v>
      </c>
      <c r="O79" s="33"/>
      <c r="P79" s="549"/>
    </row>
    <row r="80" spans="1:19" x14ac:dyDescent="0.25">
      <c r="A80" s="559" t="s">
        <v>496</v>
      </c>
      <c r="B80" s="239" t="s">
        <v>4</v>
      </c>
      <c r="C80" s="35">
        <v>44789</v>
      </c>
      <c r="D80" s="51"/>
      <c r="E80" s="51" t="s">
        <v>2942</v>
      </c>
      <c r="F80" s="33"/>
      <c r="G80" s="33"/>
      <c r="H80" s="33" t="s">
        <v>2815</v>
      </c>
      <c r="I80" s="33" t="s">
        <v>2943</v>
      </c>
      <c r="N80" s="550">
        <v>48714.75</v>
      </c>
      <c r="O80" s="33"/>
      <c r="P80" s="549"/>
    </row>
    <row r="81" spans="1:24" x14ac:dyDescent="0.25">
      <c r="A81" s="559" t="s">
        <v>496</v>
      </c>
      <c r="B81" s="239" t="s">
        <v>4</v>
      </c>
      <c r="C81" s="63">
        <v>44789</v>
      </c>
      <c r="D81" s="51"/>
      <c r="E81" s="51" t="s">
        <v>2937</v>
      </c>
      <c r="F81" s="33"/>
      <c r="G81" s="33"/>
      <c r="H81" s="33" t="s">
        <v>2815</v>
      </c>
      <c r="I81" s="33" t="s">
        <v>2946</v>
      </c>
      <c r="N81" s="550">
        <v>0</v>
      </c>
      <c r="O81" s="33"/>
      <c r="P81" s="549"/>
      <c r="V81" s="50" t="s">
        <v>701</v>
      </c>
      <c r="X81" s="33" t="s">
        <v>496</v>
      </c>
    </row>
    <row r="82" spans="1:24" x14ac:dyDescent="0.25">
      <c r="A82" s="559" t="s">
        <v>496</v>
      </c>
      <c r="B82" s="239" t="s">
        <v>4</v>
      </c>
      <c r="C82" s="63">
        <v>44790</v>
      </c>
      <c r="D82" s="51"/>
      <c r="E82" s="51" t="s">
        <v>2947</v>
      </c>
      <c r="F82" s="33"/>
      <c r="G82" s="33"/>
      <c r="H82" s="201" t="s">
        <v>2815</v>
      </c>
      <c r="I82" s="33" t="s">
        <v>2948</v>
      </c>
      <c r="J82" s="33" t="s">
        <v>2949</v>
      </c>
      <c r="N82" s="550">
        <v>48000</v>
      </c>
      <c r="O82" s="33"/>
      <c r="P82" s="549"/>
    </row>
    <row r="83" spans="1:24" x14ac:dyDescent="0.25">
      <c r="A83" s="239" t="s">
        <v>496</v>
      </c>
      <c r="B83" s="239" t="s">
        <v>4</v>
      </c>
      <c r="C83" s="63">
        <v>44790</v>
      </c>
      <c r="D83" s="239"/>
      <c r="E83" s="239" t="s">
        <v>2975</v>
      </c>
      <c r="H83" s="201" t="s">
        <v>2815</v>
      </c>
      <c r="I83" s="239" t="s">
        <v>2976</v>
      </c>
      <c r="J83" s="35"/>
      <c r="M83" s="239"/>
      <c r="N83" s="550">
        <v>0</v>
      </c>
      <c r="O83" s="33"/>
      <c r="P83" s="549"/>
      <c r="Q83" s="34"/>
      <c r="R83" s="52"/>
      <c r="S83" s="62"/>
    </row>
    <row r="84" spans="1:24" x14ac:dyDescent="0.25">
      <c r="A84" s="239" t="s">
        <v>496</v>
      </c>
      <c r="B84" s="239" t="s">
        <v>4</v>
      </c>
      <c r="C84" s="63">
        <v>44798</v>
      </c>
      <c r="D84" s="239"/>
      <c r="E84" s="239" t="s">
        <v>3016</v>
      </c>
      <c r="H84" s="201" t="s">
        <v>2815</v>
      </c>
      <c r="I84" s="239" t="s">
        <v>3017</v>
      </c>
      <c r="M84" s="239" t="s">
        <v>1998</v>
      </c>
      <c r="N84" s="550">
        <v>80000</v>
      </c>
      <c r="O84" s="33"/>
      <c r="P84" s="549"/>
      <c r="Q84" s="34"/>
      <c r="R84" s="52"/>
      <c r="S84" s="62"/>
    </row>
    <row r="85" spans="1:24" x14ac:dyDescent="0.25">
      <c r="A85" s="239" t="s">
        <v>496</v>
      </c>
      <c r="B85" s="239" t="s">
        <v>4</v>
      </c>
      <c r="C85" s="63">
        <v>44819</v>
      </c>
      <c r="D85" s="239"/>
      <c r="E85" s="239" t="s">
        <v>3020</v>
      </c>
      <c r="H85" s="201" t="s">
        <v>2815</v>
      </c>
      <c r="I85" s="239" t="s">
        <v>3021</v>
      </c>
      <c r="M85" s="239"/>
      <c r="N85" s="550">
        <v>500</v>
      </c>
      <c r="O85" s="33"/>
      <c r="P85" s="549"/>
      <c r="Q85" s="563"/>
      <c r="R85" s="672"/>
      <c r="S85" s="62"/>
    </row>
    <row r="86" spans="1:24" x14ac:dyDescent="0.25">
      <c r="A86" s="565" t="s">
        <v>496</v>
      </c>
      <c r="B86" s="63" t="s">
        <v>4</v>
      </c>
      <c r="C86" s="63">
        <v>44895</v>
      </c>
      <c r="D86" s="239"/>
      <c r="E86" s="239" t="s">
        <v>3072</v>
      </c>
      <c r="F86" s="33"/>
      <c r="G86" s="33"/>
      <c r="H86" s="201" t="s">
        <v>2815</v>
      </c>
      <c r="I86" s="239" t="s">
        <v>3073</v>
      </c>
      <c r="M86" s="239"/>
      <c r="N86" s="549">
        <v>25000</v>
      </c>
      <c r="O86" s="566"/>
      <c r="P86" s="566"/>
      <c r="Q86" s="566"/>
      <c r="R86" s="673"/>
      <c r="S86" s="545"/>
    </row>
    <row r="87" spans="1:24" x14ac:dyDescent="0.25">
      <c r="A87" s="565" t="s">
        <v>496</v>
      </c>
      <c r="B87" s="63" t="s">
        <v>4</v>
      </c>
      <c r="C87" s="63">
        <v>44910</v>
      </c>
      <c r="D87" s="239"/>
      <c r="E87" s="239" t="s">
        <v>3074</v>
      </c>
      <c r="F87" s="33"/>
      <c r="G87" s="33"/>
      <c r="H87" s="201" t="s">
        <v>2815</v>
      </c>
      <c r="I87" s="239" t="s">
        <v>3019</v>
      </c>
      <c r="M87" s="239"/>
      <c r="N87" s="549">
        <v>55000</v>
      </c>
      <c r="O87" s="566"/>
      <c r="P87" s="566"/>
      <c r="Q87" s="566"/>
      <c r="R87" s="673"/>
      <c r="S87" s="545"/>
    </row>
    <row r="88" spans="1:24" x14ac:dyDescent="0.25">
      <c r="A88" s="567" t="s">
        <v>496</v>
      </c>
      <c r="B88" s="63" t="s">
        <v>4</v>
      </c>
      <c r="C88" s="63">
        <v>44910</v>
      </c>
      <c r="D88" s="239"/>
      <c r="E88" s="239" t="s">
        <v>3075</v>
      </c>
      <c r="F88" s="33"/>
      <c r="G88" s="33"/>
      <c r="H88" s="201" t="s">
        <v>2815</v>
      </c>
      <c r="I88" s="239" t="s">
        <v>3044</v>
      </c>
      <c r="M88" s="239"/>
      <c r="N88" s="549">
        <v>8000</v>
      </c>
      <c r="O88" s="566"/>
      <c r="P88" s="566"/>
      <c r="Q88" s="566"/>
      <c r="R88" s="673"/>
      <c r="S88" s="545"/>
    </row>
    <row r="89" spans="1:24" x14ac:dyDescent="0.25">
      <c r="A89" s="567" t="s">
        <v>496</v>
      </c>
      <c r="B89" s="63" t="s">
        <v>4</v>
      </c>
      <c r="C89" s="63">
        <v>44573</v>
      </c>
      <c r="D89" s="239"/>
      <c r="E89" s="239" t="s">
        <v>3081</v>
      </c>
      <c r="F89" s="33"/>
      <c r="G89" s="33"/>
      <c r="H89" s="201" t="s">
        <v>2815</v>
      </c>
      <c r="I89" s="239" t="s">
        <v>3082</v>
      </c>
      <c r="M89" s="239"/>
      <c r="N89" s="549">
        <v>4000</v>
      </c>
      <c r="O89" s="568"/>
      <c r="P89" s="568"/>
      <c r="Q89" s="568"/>
      <c r="R89" s="674"/>
      <c r="S89" s="569"/>
    </row>
    <row r="90" spans="1:24" x14ac:dyDescent="0.25">
      <c r="A90" s="567" t="s">
        <v>495</v>
      </c>
      <c r="B90" s="239" t="s">
        <v>4</v>
      </c>
      <c r="C90" s="63">
        <v>44942</v>
      </c>
      <c r="D90" s="1"/>
      <c r="E90" s="1" t="s">
        <v>3092</v>
      </c>
      <c r="H90" s="201" t="s">
        <v>2815</v>
      </c>
      <c r="I90" s="239" t="s">
        <v>3093</v>
      </c>
      <c r="M90" s="239"/>
      <c r="N90" s="549">
        <v>37200</v>
      </c>
      <c r="O90" s="34"/>
      <c r="P90" s="34"/>
      <c r="Q90" s="34"/>
      <c r="R90" s="52"/>
      <c r="S90" s="62"/>
    </row>
    <row r="91" spans="1:24" x14ac:dyDescent="0.25">
      <c r="A91" s="593" t="s">
        <v>495</v>
      </c>
      <c r="B91" s="239" t="s">
        <v>4</v>
      </c>
      <c r="C91" s="63">
        <v>44942</v>
      </c>
      <c r="D91" s="1"/>
      <c r="E91" s="684" t="s">
        <v>3100</v>
      </c>
      <c r="H91" s="201" t="s">
        <v>2815</v>
      </c>
      <c r="I91" s="239" t="s">
        <v>3101</v>
      </c>
      <c r="M91" s="239"/>
      <c r="N91" s="549">
        <v>93400</v>
      </c>
      <c r="O91" s="34"/>
      <c r="P91" s="34"/>
      <c r="Q91" s="34"/>
      <c r="R91" s="52"/>
      <c r="S91" s="646"/>
    </row>
    <row r="92" spans="1:24" x14ac:dyDescent="0.25">
      <c r="A92" s="567" t="s">
        <v>496</v>
      </c>
      <c r="B92" s="63" t="s">
        <v>4</v>
      </c>
      <c r="C92" s="63"/>
      <c r="D92" s="239"/>
      <c r="E92" s="239" t="s">
        <v>3511</v>
      </c>
      <c r="F92" s="33"/>
      <c r="G92" s="33"/>
      <c r="H92" s="201" t="s">
        <v>2815</v>
      </c>
      <c r="I92" s="239" t="s">
        <v>3530</v>
      </c>
      <c r="M92" s="239"/>
      <c r="N92" s="549">
        <v>48000</v>
      </c>
      <c r="O92" s="568"/>
      <c r="P92" s="568"/>
      <c r="Q92" s="568"/>
      <c r="R92" s="674"/>
      <c r="S92" s="569"/>
    </row>
    <row r="93" spans="1:24" ht="75" x14ac:dyDescent="0.25">
      <c r="A93" s="567" t="s">
        <v>495</v>
      </c>
      <c r="B93" s="239" t="s">
        <v>699</v>
      </c>
      <c r="C93" s="63">
        <v>44515</v>
      </c>
      <c r="D93" s="1" t="s">
        <v>2675</v>
      </c>
      <c r="E93" s="1" t="s">
        <v>2672</v>
      </c>
      <c r="F93" t="s">
        <v>2674</v>
      </c>
      <c r="H93" s="201" t="s">
        <v>72</v>
      </c>
      <c r="I93" s="239" t="s">
        <v>3151</v>
      </c>
      <c r="J93" s="33">
        <v>45001</v>
      </c>
      <c r="M93" s="239"/>
      <c r="N93" s="549">
        <v>20000000</v>
      </c>
      <c r="O93" s="34"/>
      <c r="P93" s="54" t="s">
        <v>3150</v>
      </c>
      <c r="Q93" s="34"/>
      <c r="R93" s="52"/>
      <c r="S93" s="62">
        <v>45177</v>
      </c>
    </row>
    <row r="94" spans="1:24" x14ac:dyDescent="0.25">
      <c r="A94" s="33" t="s">
        <v>495</v>
      </c>
      <c r="B94" s="239" t="s">
        <v>4</v>
      </c>
      <c r="C94" s="63">
        <v>43678</v>
      </c>
      <c r="D94" s="239"/>
      <c r="E94" s="239" t="s">
        <v>1677</v>
      </c>
      <c r="F94" s="33"/>
      <c r="G94" s="33"/>
      <c r="H94" s="201" t="s">
        <v>1562</v>
      </c>
      <c r="I94" s="51" t="s">
        <v>1680</v>
      </c>
      <c r="M94" s="239" t="s">
        <v>1998</v>
      </c>
      <c r="N94" s="550">
        <v>30000</v>
      </c>
      <c r="O94" s="463"/>
      <c r="P94" s="462"/>
      <c r="Q94" s="462"/>
      <c r="R94" s="668"/>
      <c r="S94" s="35"/>
    </row>
    <row r="95" spans="1:24" x14ac:dyDescent="0.25">
      <c r="A95" s="33" t="s">
        <v>495</v>
      </c>
      <c r="B95" s="239" t="s">
        <v>4</v>
      </c>
      <c r="C95" s="63">
        <v>43678</v>
      </c>
      <c r="D95" s="51"/>
      <c r="E95" s="51" t="s">
        <v>1691</v>
      </c>
      <c r="F95" s="33"/>
      <c r="G95" s="33"/>
      <c r="H95" s="201" t="s">
        <v>1562</v>
      </c>
      <c r="I95" s="51" t="s">
        <v>1682</v>
      </c>
      <c r="M95" s="239" t="s">
        <v>1998</v>
      </c>
      <c r="N95" s="550">
        <v>4500</v>
      </c>
      <c r="O95" s="463"/>
      <c r="P95" s="462"/>
      <c r="Q95" s="462"/>
      <c r="R95" s="668"/>
      <c r="S95" s="35"/>
    </row>
    <row r="96" spans="1:24" ht="30" x14ac:dyDescent="0.25">
      <c r="A96" s="33" t="s">
        <v>495</v>
      </c>
      <c r="B96" s="239" t="s">
        <v>4</v>
      </c>
      <c r="C96" s="63">
        <v>43678</v>
      </c>
      <c r="D96" s="51"/>
      <c r="E96" s="51" t="s">
        <v>1698</v>
      </c>
      <c r="F96" s="33"/>
      <c r="G96" s="33"/>
      <c r="H96" s="201" t="s">
        <v>1562</v>
      </c>
      <c r="I96" s="51" t="s">
        <v>1707</v>
      </c>
      <c r="M96" s="239" t="s">
        <v>1998</v>
      </c>
      <c r="N96" s="550">
        <v>45000</v>
      </c>
      <c r="O96" s="462"/>
      <c r="P96" s="462"/>
      <c r="Q96" s="462"/>
      <c r="R96" s="668"/>
      <c r="S96" s="35"/>
    </row>
    <row r="97" spans="1:23" x14ac:dyDescent="0.25">
      <c r="A97" s="33" t="s">
        <v>495</v>
      </c>
      <c r="B97" s="239" t="s">
        <v>4</v>
      </c>
      <c r="C97" s="63">
        <v>43678</v>
      </c>
      <c r="D97" s="51"/>
      <c r="E97" s="51" t="s">
        <v>1700</v>
      </c>
      <c r="F97" s="33"/>
      <c r="G97" s="33"/>
      <c r="H97" s="468" t="s">
        <v>1562</v>
      </c>
      <c r="I97" s="51" t="s">
        <v>1699</v>
      </c>
      <c r="M97" s="239" t="s">
        <v>1998</v>
      </c>
      <c r="N97" s="550">
        <v>8300</v>
      </c>
      <c r="O97" s="462"/>
      <c r="P97" s="462"/>
      <c r="Q97" s="462"/>
      <c r="R97" s="668"/>
      <c r="S97" s="35"/>
    </row>
    <row r="98" spans="1:23" x14ac:dyDescent="0.25">
      <c r="A98" s="561" t="s">
        <v>495</v>
      </c>
      <c r="B98" s="239" t="s">
        <v>4</v>
      </c>
      <c r="C98" s="63">
        <v>43678</v>
      </c>
      <c r="D98" s="611"/>
      <c r="E98" s="562" t="s">
        <v>1692</v>
      </c>
      <c r="F98" s="33"/>
      <c r="G98" s="33"/>
      <c r="H98" s="201" t="s">
        <v>1562</v>
      </c>
      <c r="I98" s="51" t="s">
        <v>1693</v>
      </c>
      <c r="M98" s="239" t="s">
        <v>1998</v>
      </c>
      <c r="N98" s="550">
        <v>5000</v>
      </c>
      <c r="O98" s="463"/>
      <c r="P98" s="462"/>
      <c r="Q98" s="462"/>
      <c r="R98" s="668"/>
      <c r="S98" s="35"/>
    </row>
    <row r="99" spans="1:23" x14ac:dyDescent="0.25">
      <c r="A99" s="560" t="s">
        <v>495</v>
      </c>
      <c r="B99" s="239" t="s">
        <v>4</v>
      </c>
      <c r="C99" s="63">
        <v>43678</v>
      </c>
      <c r="D99" s="611"/>
      <c r="E99" s="562" t="s">
        <v>1694</v>
      </c>
      <c r="F99" s="33"/>
      <c r="G99" s="33"/>
      <c r="H99" s="201" t="s">
        <v>1562</v>
      </c>
      <c r="I99" s="51" t="s">
        <v>1708</v>
      </c>
      <c r="M99" s="239" t="s">
        <v>1998</v>
      </c>
      <c r="N99" s="550">
        <v>5000</v>
      </c>
      <c r="O99" s="463"/>
      <c r="P99" s="462"/>
      <c r="Q99" s="462"/>
      <c r="R99" s="668"/>
      <c r="S99" s="35"/>
    </row>
    <row r="100" spans="1:23" x14ac:dyDescent="0.25">
      <c r="A100" s="33" t="s">
        <v>495</v>
      </c>
      <c r="B100" s="239" t="s">
        <v>4</v>
      </c>
      <c r="C100" s="63">
        <v>43678</v>
      </c>
      <c r="D100" s="51"/>
      <c r="E100" s="51" t="s">
        <v>1696</v>
      </c>
      <c r="F100" s="33"/>
      <c r="G100" s="33"/>
      <c r="H100" s="201" t="s">
        <v>1562</v>
      </c>
      <c r="I100" s="51" t="s">
        <v>1697</v>
      </c>
      <c r="M100" s="239"/>
      <c r="N100" s="550">
        <v>161000</v>
      </c>
      <c r="O100" s="463"/>
      <c r="P100" s="462"/>
      <c r="Q100" s="462"/>
      <c r="R100" s="668"/>
      <c r="S100" s="35"/>
    </row>
    <row r="101" spans="1:23" x14ac:dyDescent="0.25">
      <c r="A101" s="560" t="s">
        <v>495</v>
      </c>
      <c r="B101" s="239" t="s">
        <v>4</v>
      </c>
      <c r="C101" s="63">
        <v>43678</v>
      </c>
      <c r="D101" s="611"/>
      <c r="E101" s="562" t="s">
        <v>1701</v>
      </c>
      <c r="F101" s="33"/>
      <c r="G101" s="33"/>
      <c r="H101" s="201" t="s">
        <v>1562</v>
      </c>
      <c r="I101" s="51" t="s">
        <v>1702</v>
      </c>
      <c r="M101" s="239" t="s">
        <v>1998</v>
      </c>
      <c r="N101" s="550">
        <v>4400</v>
      </c>
      <c r="O101" s="463"/>
      <c r="P101" s="462"/>
      <c r="Q101" s="462"/>
      <c r="R101" s="668"/>
      <c r="S101" s="35"/>
    </row>
    <row r="102" spans="1:23" x14ac:dyDescent="0.25">
      <c r="A102" s="33" t="s">
        <v>495</v>
      </c>
      <c r="B102" s="239" t="s">
        <v>4</v>
      </c>
      <c r="C102" s="63">
        <v>43678</v>
      </c>
      <c r="D102" s="51"/>
      <c r="E102" s="51" t="s">
        <v>1703</v>
      </c>
      <c r="F102" s="33"/>
      <c r="G102" s="33"/>
      <c r="H102" s="201" t="s">
        <v>1562</v>
      </c>
      <c r="I102" s="51" t="s">
        <v>1704</v>
      </c>
      <c r="M102" s="239" t="s">
        <v>1998</v>
      </c>
      <c r="N102" s="550">
        <v>0</v>
      </c>
      <c r="O102" s="463"/>
      <c r="P102" s="462"/>
      <c r="Q102" s="462"/>
      <c r="R102" s="668"/>
      <c r="S102" s="35"/>
      <c r="W102" s="516"/>
    </row>
    <row r="103" spans="1:23" x14ac:dyDescent="0.25">
      <c r="A103" s="33" t="s">
        <v>495</v>
      </c>
      <c r="B103" s="239" t="s">
        <v>4</v>
      </c>
      <c r="C103" s="63">
        <v>43678</v>
      </c>
      <c r="D103" s="51"/>
      <c r="E103" s="51" t="s">
        <v>1711</v>
      </c>
      <c r="F103" s="33"/>
      <c r="G103" s="33"/>
      <c r="H103" s="201" t="s">
        <v>1562</v>
      </c>
      <c r="I103" s="51" t="s">
        <v>1710</v>
      </c>
      <c r="M103" s="239" t="s">
        <v>1998</v>
      </c>
      <c r="N103" s="550">
        <v>8000</v>
      </c>
      <c r="O103" s="463"/>
      <c r="P103" s="462"/>
      <c r="Q103" s="462"/>
      <c r="R103" s="668"/>
      <c r="S103" s="35"/>
    </row>
    <row r="104" spans="1:23" ht="30" x14ac:dyDescent="0.25">
      <c r="A104" s="560" t="s">
        <v>495</v>
      </c>
      <c r="B104" s="239" t="s">
        <v>4</v>
      </c>
      <c r="C104" s="63">
        <v>43678</v>
      </c>
      <c r="D104" s="611"/>
      <c r="E104" s="562" t="s">
        <v>1705</v>
      </c>
      <c r="F104" s="33"/>
      <c r="G104" s="33"/>
      <c r="H104" s="201" t="s">
        <v>1562</v>
      </c>
      <c r="I104" s="51" t="s">
        <v>2462</v>
      </c>
      <c r="M104" s="239" t="s">
        <v>1998</v>
      </c>
      <c r="N104" s="550">
        <v>2500</v>
      </c>
      <c r="O104" s="463"/>
      <c r="P104" s="462"/>
      <c r="Q104" s="462"/>
      <c r="R104" s="668"/>
      <c r="S104" s="35"/>
    </row>
    <row r="105" spans="1:23" ht="30" x14ac:dyDescent="0.25">
      <c r="A105" s="239" t="s">
        <v>495</v>
      </c>
      <c r="B105" s="239" t="s">
        <v>4</v>
      </c>
      <c r="C105" s="63">
        <v>43851</v>
      </c>
      <c r="D105" s="51"/>
      <c r="E105" s="51" t="s">
        <v>1712</v>
      </c>
      <c r="F105" s="33"/>
      <c r="G105" s="33"/>
      <c r="H105" s="201" t="s">
        <v>1562</v>
      </c>
      <c r="I105" s="51" t="s">
        <v>1713</v>
      </c>
      <c r="M105" s="239"/>
      <c r="N105" s="550">
        <v>7260</v>
      </c>
      <c r="O105" s="463"/>
      <c r="P105" s="462"/>
      <c r="Q105" s="564"/>
      <c r="R105" s="667"/>
      <c r="S105" s="35"/>
    </row>
    <row r="106" spans="1:23" x14ac:dyDescent="0.25">
      <c r="A106" s="239" t="s">
        <v>495</v>
      </c>
      <c r="B106" s="239" t="s">
        <v>4</v>
      </c>
      <c r="C106" s="63">
        <v>43851</v>
      </c>
      <c r="D106" s="51"/>
      <c r="E106" s="51" t="s">
        <v>1738</v>
      </c>
      <c r="F106" s="33"/>
      <c r="G106" s="33"/>
      <c r="H106" s="201" t="s">
        <v>1562</v>
      </c>
      <c r="I106" s="51" t="s">
        <v>1739</v>
      </c>
      <c r="M106" s="239"/>
      <c r="N106" s="550">
        <v>1200</v>
      </c>
      <c r="O106" s="463"/>
      <c r="P106" s="462"/>
      <c r="Q106" s="462"/>
      <c r="R106" s="668"/>
      <c r="S106" s="35"/>
    </row>
    <row r="107" spans="1:23" ht="30" x14ac:dyDescent="0.25">
      <c r="A107" s="239" t="s">
        <v>495</v>
      </c>
      <c r="B107" s="239" t="s">
        <v>699</v>
      </c>
      <c r="C107" s="63">
        <v>44174</v>
      </c>
      <c r="D107" s="239"/>
      <c r="E107" s="239" t="s">
        <v>2188</v>
      </c>
      <c r="F107" s="33"/>
      <c r="G107" s="33"/>
      <c r="H107" s="201" t="s">
        <v>1562</v>
      </c>
      <c r="I107" s="239" t="s">
        <v>2189</v>
      </c>
      <c r="M107" s="239"/>
      <c r="N107" s="550"/>
      <c r="O107" s="462"/>
      <c r="P107" s="462"/>
      <c r="Q107" s="462"/>
      <c r="R107" s="668"/>
      <c r="S107" s="35"/>
    </row>
    <row r="108" spans="1:23" x14ac:dyDescent="0.25">
      <c r="A108" s="239" t="s">
        <v>495</v>
      </c>
      <c r="B108" s="239"/>
      <c r="C108" s="63"/>
      <c r="D108" s="51"/>
      <c r="E108" s="51" t="s">
        <v>1190</v>
      </c>
      <c r="F108" s="33"/>
      <c r="G108" s="33"/>
      <c r="H108" s="201"/>
      <c r="I108" s="239"/>
      <c r="M108" s="239"/>
      <c r="N108" s="550"/>
      <c r="O108" s="462"/>
      <c r="P108" s="462"/>
      <c r="Q108" s="462"/>
      <c r="R108" s="668"/>
      <c r="S108" s="35"/>
    </row>
    <row r="109" spans="1:23" x14ac:dyDescent="0.25">
      <c r="A109" s="239" t="s">
        <v>495</v>
      </c>
      <c r="B109" s="239" t="s">
        <v>699</v>
      </c>
      <c r="C109" s="63">
        <v>43902</v>
      </c>
      <c r="D109" s="239"/>
      <c r="E109" s="239" t="s">
        <v>1822</v>
      </c>
      <c r="F109" s="33"/>
      <c r="G109" s="33"/>
      <c r="H109" s="201"/>
      <c r="I109" s="239"/>
      <c r="M109" s="239"/>
      <c r="N109" s="550"/>
      <c r="O109" s="462"/>
      <c r="P109" s="462"/>
      <c r="Q109" s="462"/>
      <c r="R109" s="668"/>
      <c r="S109" s="35"/>
    </row>
    <row r="110" spans="1:23" ht="30" x14ac:dyDescent="0.25">
      <c r="A110" s="239" t="s">
        <v>495</v>
      </c>
      <c r="B110" s="239" t="s">
        <v>699</v>
      </c>
      <c r="C110" s="63">
        <v>43928</v>
      </c>
      <c r="D110" s="239"/>
      <c r="E110" s="239" t="s">
        <v>2025</v>
      </c>
      <c r="F110" s="33"/>
      <c r="G110" s="33"/>
      <c r="H110" s="201" t="s">
        <v>72</v>
      </c>
      <c r="I110" s="239" t="s">
        <v>2026</v>
      </c>
      <c r="M110" s="239"/>
      <c r="N110" s="550"/>
      <c r="O110" s="462"/>
      <c r="P110" s="462"/>
      <c r="Q110" s="462"/>
      <c r="R110" s="668"/>
      <c r="S110" s="35"/>
    </row>
    <row r="111" spans="1:23" x14ac:dyDescent="0.25">
      <c r="A111" s="239" t="s">
        <v>495</v>
      </c>
      <c r="B111" s="239" t="s">
        <v>699</v>
      </c>
      <c r="C111" s="63">
        <v>43423</v>
      </c>
      <c r="D111" s="51"/>
      <c r="E111" s="51" t="s">
        <v>1009</v>
      </c>
      <c r="F111" s="239"/>
      <c r="G111" s="239"/>
      <c r="H111" s="201" t="s">
        <v>262</v>
      </c>
      <c r="I111" s="51" t="s">
        <v>1010</v>
      </c>
      <c r="J111" s="63"/>
      <c r="K111" s="239"/>
      <c r="L111" s="239"/>
      <c r="M111" s="239"/>
      <c r="N111" s="550"/>
      <c r="O111" s="470"/>
      <c r="P111" s="470"/>
      <c r="Q111" s="470"/>
      <c r="R111" s="469"/>
      <c r="S111" s="473"/>
    </row>
    <row r="112" spans="1:23" x14ac:dyDescent="0.25">
      <c r="A112" s="239" t="s">
        <v>495</v>
      </c>
      <c r="B112" s="239" t="s">
        <v>699</v>
      </c>
      <c r="C112" s="63">
        <v>44000</v>
      </c>
      <c r="D112" s="239"/>
      <c r="E112" s="239" t="s">
        <v>1971</v>
      </c>
      <c r="F112" s="33"/>
      <c r="G112" s="33"/>
      <c r="H112" s="201" t="s">
        <v>75</v>
      </c>
      <c r="I112" s="239" t="s">
        <v>1972</v>
      </c>
      <c r="M112" s="239"/>
      <c r="N112" s="550"/>
      <c r="O112" s="462"/>
      <c r="P112" s="462"/>
      <c r="Q112" s="462"/>
      <c r="R112" s="668"/>
      <c r="S112" s="35"/>
    </row>
    <row r="113" spans="1:19" x14ac:dyDescent="0.25">
      <c r="A113" s="239" t="s">
        <v>495</v>
      </c>
      <c r="B113" s="239" t="s">
        <v>699</v>
      </c>
      <c r="C113" s="63">
        <v>43489</v>
      </c>
      <c r="D113" s="51"/>
      <c r="E113" s="51" t="s">
        <v>1797</v>
      </c>
      <c r="F113" s="33"/>
      <c r="G113" s="33"/>
      <c r="H113" s="201" t="s">
        <v>72</v>
      </c>
      <c r="I113" s="51" t="s">
        <v>1201</v>
      </c>
      <c r="M113" s="239"/>
      <c r="N113" s="550"/>
      <c r="O113" s="462"/>
      <c r="P113" s="462"/>
      <c r="Q113" s="462"/>
      <c r="R113" s="668"/>
      <c r="S113" s="35"/>
    </row>
    <row r="114" spans="1:19" x14ac:dyDescent="0.25">
      <c r="A114" s="239" t="s">
        <v>495</v>
      </c>
      <c r="B114" s="239" t="s">
        <v>699</v>
      </c>
      <c r="C114" s="63">
        <v>43497</v>
      </c>
      <c r="D114" s="51"/>
      <c r="E114" s="51" t="s">
        <v>1167</v>
      </c>
      <c r="F114" s="33"/>
      <c r="G114" s="33"/>
      <c r="H114" s="201" t="s">
        <v>72</v>
      </c>
      <c r="I114" s="51" t="s">
        <v>1200</v>
      </c>
      <c r="M114" s="239"/>
      <c r="N114" s="550"/>
      <c r="O114" s="462"/>
      <c r="P114" s="462"/>
      <c r="Q114" s="462"/>
      <c r="R114" s="668"/>
      <c r="S114" s="35"/>
    </row>
    <row r="115" spans="1:19" x14ac:dyDescent="0.25">
      <c r="A115" s="239" t="s">
        <v>495</v>
      </c>
      <c r="B115" s="239" t="s">
        <v>699</v>
      </c>
      <c r="C115" s="63">
        <v>43386</v>
      </c>
      <c r="D115" s="51"/>
      <c r="E115" s="51" t="s">
        <v>885</v>
      </c>
      <c r="F115" s="33"/>
      <c r="G115" s="33"/>
      <c r="H115" s="201" t="s">
        <v>262</v>
      </c>
      <c r="I115" s="51" t="s">
        <v>886</v>
      </c>
      <c r="M115" s="239"/>
      <c r="N115" s="550"/>
      <c r="O115" s="34"/>
      <c r="P115" s="34"/>
      <c r="Q115" s="34"/>
      <c r="R115" s="52"/>
      <c r="S115" s="62"/>
    </row>
    <row r="116" spans="1:19" ht="30" x14ac:dyDescent="0.25">
      <c r="A116" s="33" t="s">
        <v>495</v>
      </c>
      <c r="B116" s="33" t="s">
        <v>699</v>
      </c>
      <c r="C116" s="35">
        <v>43282</v>
      </c>
      <c r="D116" s="51"/>
      <c r="E116" s="51" t="s">
        <v>804</v>
      </c>
      <c r="F116" s="33"/>
      <c r="G116" s="33"/>
      <c r="H116" s="201" t="s">
        <v>262</v>
      </c>
      <c r="I116" s="51" t="s">
        <v>805</v>
      </c>
      <c r="M116" s="239"/>
      <c r="N116" s="550"/>
      <c r="O116" s="34"/>
      <c r="P116" s="2"/>
      <c r="Q116" s="34"/>
      <c r="R116" s="52"/>
      <c r="S116" s="52"/>
    </row>
    <row r="117" spans="1:19" ht="46.5" customHeight="1" x14ac:dyDescent="0.25">
      <c r="A117" s="239" t="s">
        <v>495</v>
      </c>
      <c r="B117" s="239" t="s">
        <v>699</v>
      </c>
      <c r="C117" s="63">
        <v>43101</v>
      </c>
      <c r="D117" s="51"/>
      <c r="E117" s="51" t="s">
        <v>610</v>
      </c>
      <c r="F117" s="33"/>
      <c r="G117" s="33"/>
      <c r="H117" s="201" t="s">
        <v>72</v>
      </c>
      <c r="I117" s="51" t="s">
        <v>609</v>
      </c>
      <c r="M117" s="239"/>
      <c r="N117" s="550"/>
      <c r="O117" s="34"/>
      <c r="P117" s="2"/>
      <c r="Q117" s="34"/>
      <c r="R117" s="52"/>
      <c r="S117" s="62"/>
    </row>
    <row r="118" spans="1:19" ht="30" x14ac:dyDescent="0.25">
      <c r="A118" s="239" t="s">
        <v>495</v>
      </c>
      <c r="B118" s="51" t="s">
        <v>699</v>
      </c>
      <c r="C118" s="63">
        <v>43160</v>
      </c>
      <c r="D118" s="51"/>
      <c r="E118" s="51" t="s">
        <v>803</v>
      </c>
      <c r="F118" s="33"/>
      <c r="G118" s="33"/>
      <c r="H118" s="201">
        <v>2803</v>
      </c>
      <c r="I118" s="239" t="s">
        <v>2714</v>
      </c>
      <c r="M118" s="239"/>
      <c r="N118" s="550"/>
      <c r="O118" s="34"/>
      <c r="P118" s="2"/>
      <c r="Q118" s="34"/>
      <c r="R118" s="52"/>
      <c r="S118" s="62"/>
    </row>
    <row r="119" spans="1:19" ht="66.75" customHeight="1" x14ac:dyDescent="0.25">
      <c r="A119" s="33" t="s">
        <v>495</v>
      </c>
      <c r="B119" s="33" t="s">
        <v>699</v>
      </c>
      <c r="C119" s="35">
        <v>43191</v>
      </c>
      <c r="D119" s="239"/>
      <c r="E119" s="239" t="s">
        <v>363</v>
      </c>
      <c r="F119" s="33"/>
      <c r="G119" s="33"/>
      <c r="H119" s="201">
        <v>2803</v>
      </c>
      <c r="I119" s="239" t="s">
        <v>364</v>
      </c>
      <c r="M119" s="239"/>
      <c r="N119" s="550"/>
      <c r="O119" s="34"/>
      <c r="P119" s="2"/>
      <c r="Q119" s="34"/>
      <c r="R119" s="52"/>
      <c r="S119" s="447"/>
    </row>
    <row r="120" spans="1:19" ht="24" customHeight="1" x14ac:dyDescent="0.25">
      <c r="A120" s="33" t="s">
        <v>495</v>
      </c>
      <c r="B120" s="33" t="s">
        <v>699</v>
      </c>
      <c r="C120" s="35">
        <v>42005</v>
      </c>
      <c r="D120" s="239"/>
      <c r="E120" s="239" t="s">
        <v>357</v>
      </c>
      <c r="F120" s="33"/>
      <c r="G120" s="33"/>
      <c r="H120" s="201">
        <v>6181</v>
      </c>
      <c r="I120" s="239"/>
      <c r="M120" s="239"/>
      <c r="N120" s="550"/>
      <c r="O120" s="34"/>
      <c r="P120" s="2"/>
      <c r="Q120" s="34"/>
      <c r="R120" s="52"/>
      <c r="S120" s="52"/>
    </row>
    <row r="121" spans="1:19" ht="61.5" customHeight="1" x14ac:dyDescent="0.25">
      <c r="A121" s="33" t="s">
        <v>495</v>
      </c>
      <c r="B121" s="33" t="s">
        <v>699</v>
      </c>
      <c r="C121" s="35">
        <v>42430</v>
      </c>
      <c r="D121" s="239"/>
      <c r="E121" s="239" t="s">
        <v>358</v>
      </c>
      <c r="F121" s="33"/>
      <c r="G121" s="33"/>
      <c r="H121" s="201">
        <v>6181</v>
      </c>
      <c r="I121" s="239"/>
      <c r="M121" s="239"/>
      <c r="N121" s="550"/>
      <c r="O121" s="34"/>
      <c r="P121" s="2"/>
      <c r="Q121" s="34"/>
      <c r="R121" s="52"/>
      <c r="S121" s="52"/>
    </row>
    <row r="122" spans="1:19" x14ac:dyDescent="0.25">
      <c r="A122" s="33" t="s">
        <v>495</v>
      </c>
      <c r="B122" s="33" t="s">
        <v>699</v>
      </c>
      <c r="C122" s="35">
        <v>42644</v>
      </c>
      <c r="D122" s="239"/>
      <c r="E122" s="239" t="s">
        <v>355</v>
      </c>
      <c r="F122" s="33"/>
      <c r="G122" s="33"/>
      <c r="H122" s="201">
        <v>6181</v>
      </c>
      <c r="I122" s="239"/>
      <c r="M122" s="239"/>
      <c r="N122" s="550"/>
      <c r="O122" s="34"/>
      <c r="P122" s="2"/>
      <c r="Q122" s="34"/>
      <c r="R122" s="52"/>
      <c r="S122" s="52"/>
    </row>
    <row r="123" spans="1:19" x14ac:dyDescent="0.25">
      <c r="A123" s="33" t="s">
        <v>495</v>
      </c>
      <c r="B123" s="33" t="s">
        <v>699</v>
      </c>
      <c r="C123" s="35">
        <v>42644</v>
      </c>
      <c r="D123" s="239"/>
      <c r="E123" s="239" t="s">
        <v>354</v>
      </c>
      <c r="F123" s="33"/>
      <c r="G123" s="33"/>
      <c r="H123" s="201">
        <v>6181</v>
      </c>
      <c r="I123" s="239"/>
      <c r="M123" s="239"/>
      <c r="N123" s="550"/>
      <c r="O123" s="34"/>
      <c r="P123" s="2"/>
      <c r="Q123" s="34"/>
      <c r="R123" s="52"/>
      <c r="S123" s="52"/>
    </row>
    <row r="124" spans="1:19" x14ac:dyDescent="0.25">
      <c r="A124" s="239" t="s">
        <v>495</v>
      </c>
      <c r="B124" s="239" t="s">
        <v>864</v>
      </c>
      <c r="C124" s="63">
        <v>43101</v>
      </c>
      <c r="D124" s="51"/>
      <c r="E124" s="51" t="s">
        <v>693</v>
      </c>
      <c r="F124" s="33"/>
      <c r="G124" s="33"/>
      <c r="H124" s="201"/>
      <c r="I124" s="239" t="s">
        <v>3842</v>
      </c>
      <c r="M124" s="239"/>
      <c r="N124" s="550"/>
      <c r="O124" s="34"/>
      <c r="P124" s="2"/>
      <c r="Q124" s="34"/>
      <c r="R124" s="52"/>
      <c r="S124" s="62"/>
    </row>
    <row r="125" spans="1:19" ht="75" x14ac:dyDescent="0.25">
      <c r="A125" s="592" t="s">
        <v>495</v>
      </c>
      <c r="B125" s="593" t="s">
        <v>4</v>
      </c>
      <c r="C125" s="594">
        <v>44323</v>
      </c>
      <c r="D125" s="593" t="s">
        <v>3447</v>
      </c>
      <c r="E125" s="647" t="s">
        <v>2470</v>
      </c>
      <c r="F125" s="592"/>
      <c r="G125" s="592"/>
      <c r="H125" s="608" t="s">
        <v>72</v>
      </c>
      <c r="I125" s="611" t="s">
        <v>2472</v>
      </c>
      <c r="J125" s="595">
        <v>44530</v>
      </c>
      <c r="K125" s="592" t="s">
        <v>2585</v>
      </c>
      <c r="L125" s="592"/>
      <c r="M125" s="593" t="s">
        <v>2471</v>
      </c>
      <c r="N125" s="548">
        <v>954761.28</v>
      </c>
      <c r="O125" s="466">
        <v>668332.9</v>
      </c>
      <c r="P125" s="447">
        <v>44438</v>
      </c>
      <c r="Q125" s="466">
        <f>Projects[[#This Row],[Price of Agreement]]-Projects[[#This Row],[Advance Payment]]</f>
        <v>286428.38</v>
      </c>
      <c r="R125" s="667"/>
      <c r="S125" s="646">
        <v>44608</v>
      </c>
    </row>
    <row r="126" spans="1:19" ht="30" x14ac:dyDescent="0.25">
      <c r="A126" s="33" t="s">
        <v>495</v>
      </c>
      <c r="B126" s="33" t="s">
        <v>4</v>
      </c>
      <c r="C126" s="35">
        <v>42271</v>
      </c>
      <c r="D126" s="593" t="s">
        <v>3447</v>
      </c>
      <c r="E126" s="239" t="s">
        <v>0</v>
      </c>
      <c r="F126" s="33" t="s">
        <v>360</v>
      </c>
      <c r="G126" s="33"/>
      <c r="H126" s="201">
        <v>6181</v>
      </c>
      <c r="I126" s="239" t="s">
        <v>195</v>
      </c>
      <c r="M126" s="239"/>
      <c r="N126" s="550"/>
      <c r="O126" s="34"/>
      <c r="P126" s="34"/>
      <c r="Q126" s="34"/>
      <c r="R126" s="52"/>
      <c r="S126" s="52"/>
    </row>
    <row r="127" spans="1:19" ht="30" x14ac:dyDescent="0.25">
      <c r="A127" s="33" t="s">
        <v>495</v>
      </c>
      <c r="B127" s="50" t="s">
        <v>4</v>
      </c>
      <c r="C127" s="35">
        <v>42443</v>
      </c>
      <c r="D127" s="593" t="s">
        <v>3447</v>
      </c>
      <c r="E127" s="239" t="s">
        <v>1</v>
      </c>
      <c r="F127" s="33" t="s">
        <v>486</v>
      </c>
      <c r="G127" s="33"/>
      <c r="H127" s="201">
        <v>6181</v>
      </c>
      <c r="I127" s="239" t="s">
        <v>196</v>
      </c>
      <c r="M127" s="239"/>
      <c r="N127" s="550"/>
      <c r="O127" s="34"/>
      <c r="P127" s="34"/>
      <c r="Q127" s="34"/>
      <c r="R127" s="52"/>
      <c r="S127" s="52"/>
    </row>
    <row r="128" spans="1:19" x14ac:dyDescent="0.25">
      <c r="A128" s="33" t="s">
        <v>495</v>
      </c>
      <c r="B128" s="33" t="s">
        <v>699</v>
      </c>
      <c r="C128" s="35">
        <v>42583</v>
      </c>
      <c r="D128" s="51"/>
      <c r="E128" s="51" t="s">
        <v>356</v>
      </c>
      <c r="F128" s="33"/>
      <c r="G128" s="33"/>
      <c r="H128" s="201">
        <v>6181</v>
      </c>
      <c r="I128" s="239"/>
      <c r="M128" s="239"/>
      <c r="N128" s="550"/>
      <c r="O128" s="34"/>
      <c r="P128" s="2"/>
      <c r="Q128" s="34"/>
      <c r="R128" s="52"/>
      <c r="S128" s="52"/>
    </row>
    <row r="129" spans="1:19" ht="30" x14ac:dyDescent="0.25">
      <c r="A129" s="33" t="s">
        <v>495</v>
      </c>
      <c r="B129" s="33" t="s">
        <v>4</v>
      </c>
      <c r="C129" s="62">
        <v>42607</v>
      </c>
      <c r="D129" s="593" t="s">
        <v>3447</v>
      </c>
      <c r="E129" s="239" t="s">
        <v>2</v>
      </c>
      <c r="F129" s="33" t="s">
        <v>653</v>
      </c>
      <c r="G129" s="33"/>
      <c r="H129" s="201">
        <v>6181</v>
      </c>
      <c r="I129" s="239" t="s">
        <v>197</v>
      </c>
      <c r="K129" s="35">
        <v>43032</v>
      </c>
      <c r="L129" s="35"/>
      <c r="M129" s="51" t="s">
        <v>199</v>
      </c>
      <c r="N129" s="550"/>
      <c r="O129" s="34"/>
      <c r="P129" s="34"/>
      <c r="Q129" s="34"/>
      <c r="R129" s="52"/>
      <c r="S129" s="52"/>
    </row>
    <row r="130" spans="1:19" ht="45" x14ac:dyDescent="0.25">
      <c r="A130" s="33" t="s">
        <v>495</v>
      </c>
      <c r="B130" s="33" t="s">
        <v>4</v>
      </c>
      <c r="C130" s="35">
        <v>42865</v>
      </c>
      <c r="D130" s="593" t="s">
        <v>3447</v>
      </c>
      <c r="E130" s="51" t="s">
        <v>1203</v>
      </c>
      <c r="F130" s="239" t="s">
        <v>654</v>
      </c>
      <c r="G130" s="239"/>
      <c r="H130" s="201">
        <v>6181</v>
      </c>
      <c r="I130" s="239" t="s">
        <v>194</v>
      </c>
      <c r="J130" s="35">
        <v>42993</v>
      </c>
      <c r="K130" s="239" t="s">
        <v>374</v>
      </c>
      <c r="L130" s="239"/>
      <c r="M130" s="239" t="s">
        <v>198</v>
      </c>
      <c r="N130" s="553">
        <v>15382620</v>
      </c>
      <c r="O130" s="34"/>
      <c r="P130" s="34"/>
      <c r="Q130" s="34"/>
      <c r="R130" s="52"/>
      <c r="S130" s="52">
        <v>43115</v>
      </c>
    </row>
    <row r="131" spans="1:19" ht="45" x14ac:dyDescent="0.25">
      <c r="A131" s="33" t="s">
        <v>495</v>
      </c>
      <c r="B131" s="33" t="s">
        <v>4</v>
      </c>
      <c r="C131" s="35">
        <v>42948</v>
      </c>
      <c r="D131" s="593" t="s">
        <v>3447</v>
      </c>
      <c r="E131" s="239" t="s">
        <v>321</v>
      </c>
      <c r="F131" s="33" t="s">
        <v>360</v>
      </c>
      <c r="G131" s="33"/>
      <c r="H131" s="201">
        <v>6181</v>
      </c>
      <c r="I131" s="239" t="s">
        <v>323</v>
      </c>
      <c r="J131" s="35">
        <v>43009</v>
      </c>
      <c r="K131" s="239" t="s">
        <v>372</v>
      </c>
      <c r="L131" s="239"/>
      <c r="M131" s="239" t="s">
        <v>322</v>
      </c>
      <c r="N131" s="550"/>
      <c r="O131" s="34"/>
      <c r="P131" s="34"/>
      <c r="Q131" s="34"/>
      <c r="R131" s="52"/>
      <c r="S131" s="52">
        <v>43095</v>
      </c>
    </row>
    <row r="132" spans="1:19" ht="45" x14ac:dyDescent="0.25">
      <c r="A132" s="33" t="s">
        <v>495</v>
      </c>
      <c r="B132" s="33" t="s">
        <v>4</v>
      </c>
      <c r="C132" s="35">
        <v>42992</v>
      </c>
      <c r="D132" s="593" t="s">
        <v>3447</v>
      </c>
      <c r="E132" s="51" t="s">
        <v>1204</v>
      </c>
      <c r="F132" s="51" t="s">
        <v>655</v>
      </c>
      <c r="G132" s="51"/>
      <c r="H132" s="201">
        <v>6181</v>
      </c>
      <c r="I132" s="239" t="s">
        <v>350</v>
      </c>
      <c r="J132" s="35">
        <v>43039</v>
      </c>
      <c r="K132" s="239" t="s">
        <v>373</v>
      </c>
      <c r="L132" s="239"/>
      <c r="M132" s="239" t="s">
        <v>352</v>
      </c>
      <c r="N132" s="553">
        <v>608685</v>
      </c>
      <c r="O132" s="34">
        <f>189441+175770</f>
        <v>365211</v>
      </c>
      <c r="P132" s="52">
        <v>43011</v>
      </c>
      <c r="Q132" s="34">
        <f>117180+126294</f>
        <v>243474</v>
      </c>
      <c r="R132" s="52"/>
      <c r="S132" s="52">
        <v>43196</v>
      </c>
    </row>
    <row r="133" spans="1:19" x14ac:dyDescent="0.25">
      <c r="A133" s="33" t="s">
        <v>495</v>
      </c>
      <c r="B133" s="33" t="s">
        <v>699</v>
      </c>
      <c r="C133" s="35">
        <v>43070</v>
      </c>
      <c r="D133" s="239"/>
      <c r="E133" s="239" t="s">
        <v>370</v>
      </c>
      <c r="F133" s="33"/>
      <c r="G133" s="33"/>
      <c r="H133" s="201">
        <v>6181</v>
      </c>
      <c r="I133" s="239"/>
      <c r="M133" s="239"/>
      <c r="N133" s="550"/>
      <c r="O133" s="34"/>
      <c r="P133" s="2"/>
      <c r="Q133" s="34"/>
      <c r="R133" s="52"/>
      <c r="S133" s="52"/>
    </row>
    <row r="134" spans="1:19" x14ac:dyDescent="0.25">
      <c r="A134" s="33" t="s">
        <v>495</v>
      </c>
      <c r="B134" s="33" t="s">
        <v>4</v>
      </c>
      <c r="C134" s="35">
        <v>43096</v>
      </c>
      <c r="D134" s="593" t="s">
        <v>3447</v>
      </c>
      <c r="E134" s="51" t="s">
        <v>1205</v>
      </c>
      <c r="F134" s="51" t="s">
        <v>655</v>
      </c>
      <c r="G134" s="51"/>
      <c r="H134" s="201">
        <v>6181</v>
      </c>
      <c r="I134" s="239" t="s">
        <v>491</v>
      </c>
      <c r="J134" s="35">
        <v>43218</v>
      </c>
      <c r="K134" s="50" t="s">
        <v>1011</v>
      </c>
      <c r="L134" s="50"/>
      <c r="M134" s="51" t="s">
        <v>352</v>
      </c>
      <c r="N134" s="553">
        <v>673200</v>
      </c>
      <c r="O134" s="34">
        <f>673200*0.6</f>
        <v>403920</v>
      </c>
      <c r="P134" s="52">
        <v>43196</v>
      </c>
      <c r="Q134" s="34">
        <f>Projects[[#This Row],[Price of Agreement]]-Projects[[#This Row],[Advance Payment]]</f>
        <v>269280</v>
      </c>
      <c r="R134" s="52"/>
      <c r="S134" s="52">
        <v>43816</v>
      </c>
    </row>
    <row r="135" spans="1:19" ht="75" x14ac:dyDescent="0.25">
      <c r="A135" s="33" t="s">
        <v>495</v>
      </c>
      <c r="B135" s="33" t="s">
        <v>4</v>
      </c>
      <c r="C135" s="35">
        <v>43097</v>
      </c>
      <c r="D135" s="593" t="s">
        <v>3447</v>
      </c>
      <c r="E135" s="51" t="s">
        <v>1206</v>
      </c>
      <c r="F135" s="50" t="s">
        <v>656</v>
      </c>
      <c r="G135" s="50"/>
      <c r="H135" s="201">
        <v>6181</v>
      </c>
      <c r="I135" s="51" t="s">
        <v>542</v>
      </c>
      <c r="J135" s="35">
        <v>43182</v>
      </c>
      <c r="K135" s="51" t="s">
        <v>755</v>
      </c>
      <c r="L135" s="51"/>
      <c r="M135" s="51" t="s">
        <v>715</v>
      </c>
      <c r="N135" s="553">
        <v>1319696.3999999999</v>
      </c>
      <c r="O135" s="34">
        <v>659848.19999999995</v>
      </c>
      <c r="P135" s="52">
        <v>43179</v>
      </c>
      <c r="Q135" s="34">
        <f>Projects[[#This Row],[Price of Agreement]]-Projects[[#This Row],[Advance Payment]]</f>
        <v>659848.19999999995</v>
      </c>
      <c r="R135" s="52"/>
      <c r="S135" s="52">
        <v>43454</v>
      </c>
    </row>
    <row r="136" spans="1:19" ht="90" x14ac:dyDescent="0.25">
      <c r="A136" s="239" t="s">
        <v>495</v>
      </c>
      <c r="B136" s="33" t="s">
        <v>4</v>
      </c>
      <c r="C136" s="35">
        <v>43101</v>
      </c>
      <c r="D136" s="593" t="s">
        <v>3447</v>
      </c>
      <c r="E136" s="51" t="s">
        <v>539</v>
      </c>
      <c r="F136" s="50" t="s">
        <v>540</v>
      </c>
      <c r="G136" s="50"/>
      <c r="H136" s="201">
        <v>6181</v>
      </c>
      <c r="I136" s="51" t="s">
        <v>541</v>
      </c>
      <c r="J136" s="35">
        <v>43291</v>
      </c>
      <c r="K136" s="51" t="s">
        <v>1012</v>
      </c>
      <c r="L136" s="51"/>
      <c r="M136" s="51" t="s">
        <v>1333</v>
      </c>
      <c r="N136" s="553">
        <v>1319696.3999999999</v>
      </c>
      <c r="O136" s="34">
        <v>659848.19999999995</v>
      </c>
      <c r="P136" s="52">
        <v>43203</v>
      </c>
      <c r="Q136" s="34">
        <f>Projects[[#This Row],[Price of Agreement]]-Projects[[#This Row],[Advance Payment]]</f>
        <v>659848.19999999995</v>
      </c>
      <c r="R136" s="52"/>
      <c r="S136" s="62">
        <v>44104</v>
      </c>
    </row>
    <row r="137" spans="1:19" ht="51" customHeight="1" x14ac:dyDescent="0.25">
      <c r="A137" s="239" t="s">
        <v>495</v>
      </c>
      <c r="B137" s="33" t="s">
        <v>4</v>
      </c>
      <c r="C137" s="35">
        <v>43101</v>
      </c>
      <c r="D137" s="593" t="s">
        <v>3447</v>
      </c>
      <c r="E137" s="51" t="s">
        <v>538</v>
      </c>
      <c r="F137" s="50" t="s">
        <v>657</v>
      </c>
      <c r="G137" s="50"/>
      <c r="H137" s="201">
        <v>6181</v>
      </c>
      <c r="I137" s="51" t="s">
        <v>541</v>
      </c>
      <c r="J137" s="35">
        <v>43295</v>
      </c>
      <c r="K137" s="51" t="s">
        <v>931</v>
      </c>
      <c r="L137" s="51"/>
      <c r="M137" s="51" t="s">
        <v>717</v>
      </c>
      <c r="N137" s="553">
        <v>1319696.3999999999</v>
      </c>
      <c r="O137" s="34">
        <v>659848.19999999995</v>
      </c>
      <c r="P137" s="2">
        <v>43200</v>
      </c>
      <c r="Q137" s="34">
        <f>Projects[[#This Row],[Price of Agreement]]-Projects[[#This Row],[Advance Payment]]</f>
        <v>659848.19999999995</v>
      </c>
      <c r="R137" s="52"/>
      <c r="S137" s="62">
        <v>43410</v>
      </c>
    </row>
    <row r="138" spans="1:19" ht="90" x14ac:dyDescent="0.25">
      <c r="A138" s="239" t="s">
        <v>495</v>
      </c>
      <c r="B138" s="33" t="s">
        <v>4</v>
      </c>
      <c r="C138" s="595">
        <v>43101</v>
      </c>
      <c r="D138" s="593" t="s">
        <v>3447</v>
      </c>
      <c r="E138" s="51" t="s">
        <v>537</v>
      </c>
      <c r="F138" s="50" t="s">
        <v>658</v>
      </c>
      <c r="G138" s="50"/>
      <c r="H138" s="201">
        <v>6181</v>
      </c>
      <c r="I138" s="51" t="s">
        <v>541</v>
      </c>
      <c r="J138" s="35">
        <v>43295</v>
      </c>
      <c r="K138" s="51" t="s">
        <v>932</v>
      </c>
      <c r="L138" s="51"/>
      <c r="M138" s="51" t="s">
        <v>1332</v>
      </c>
      <c r="N138" s="553">
        <v>1319696.3999999999</v>
      </c>
      <c r="O138" s="34">
        <v>659848.19999999995</v>
      </c>
      <c r="P138" s="52">
        <v>43201</v>
      </c>
      <c r="Q138" s="54" t="s">
        <v>1326</v>
      </c>
      <c r="R138" s="53"/>
      <c r="S138" s="62">
        <v>44104</v>
      </c>
    </row>
    <row r="139" spans="1:19" ht="63" customHeight="1" x14ac:dyDescent="0.25">
      <c r="A139" s="593" t="s">
        <v>495</v>
      </c>
      <c r="B139" s="33" t="s">
        <v>4</v>
      </c>
      <c r="C139" s="35">
        <v>43101</v>
      </c>
      <c r="D139" s="593" t="s">
        <v>3447</v>
      </c>
      <c r="E139" s="51" t="s">
        <v>492</v>
      </c>
      <c r="F139" s="33" t="s">
        <v>360</v>
      </c>
      <c r="G139" s="33"/>
      <c r="H139" s="201">
        <v>6181</v>
      </c>
      <c r="I139" s="51" t="s">
        <v>521</v>
      </c>
      <c r="J139" s="35">
        <v>43205</v>
      </c>
      <c r="K139" s="51" t="s">
        <v>847</v>
      </c>
      <c r="L139" s="51"/>
      <c r="M139" s="51" t="s">
        <v>716</v>
      </c>
      <c r="N139" s="553">
        <v>6598482</v>
      </c>
      <c r="O139" s="54">
        <f>659848.2+2639392.8</f>
        <v>3299241</v>
      </c>
      <c r="P139" s="53" t="s">
        <v>536</v>
      </c>
      <c r="Q139" s="34">
        <f>Projects[[#This Row],[Price of Agreement]]-Projects[[#This Row],[Advance Payment]]</f>
        <v>3299241</v>
      </c>
      <c r="R139" s="52"/>
      <c r="S139" s="447">
        <v>44174</v>
      </c>
    </row>
    <row r="140" spans="1:19" ht="59.25" customHeight="1" x14ac:dyDescent="0.25">
      <c r="A140" s="593" t="s">
        <v>495</v>
      </c>
      <c r="B140" s="593" t="s">
        <v>4</v>
      </c>
      <c r="C140" s="594">
        <v>43313</v>
      </c>
      <c r="D140" s="593" t="s">
        <v>3447</v>
      </c>
      <c r="E140" s="611" t="s">
        <v>871</v>
      </c>
      <c r="F140" s="592" t="s">
        <v>881</v>
      </c>
      <c r="G140" s="592"/>
      <c r="H140" s="608" t="s">
        <v>72</v>
      </c>
      <c r="I140" s="611" t="s">
        <v>872</v>
      </c>
      <c r="J140" s="648">
        <v>43444</v>
      </c>
      <c r="K140" s="611" t="s">
        <v>1189</v>
      </c>
      <c r="L140" s="611"/>
      <c r="M140" s="611" t="s">
        <v>873</v>
      </c>
      <c r="N140" s="548">
        <v>5278785.5999999996</v>
      </c>
      <c r="O140" s="156" t="s">
        <v>875</v>
      </c>
      <c r="P140" s="649">
        <v>43456</v>
      </c>
      <c r="Q140" s="156" t="s">
        <v>876</v>
      </c>
      <c r="R140" s="447"/>
      <c r="S140" s="646">
        <v>43556</v>
      </c>
    </row>
    <row r="141" spans="1:19" ht="92.25" customHeight="1" x14ac:dyDescent="0.25">
      <c r="A141" s="593" t="s">
        <v>495</v>
      </c>
      <c r="B141" s="239" t="s">
        <v>4</v>
      </c>
      <c r="C141" s="92">
        <v>43357</v>
      </c>
      <c r="D141" s="593" t="s">
        <v>3447</v>
      </c>
      <c r="E141" s="51" t="s">
        <v>868</v>
      </c>
      <c r="F141" s="33" t="s">
        <v>880</v>
      </c>
      <c r="G141" s="33"/>
      <c r="H141" s="201" t="s">
        <v>72</v>
      </c>
      <c r="I141" s="51" t="s">
        <v>869</v>
      </c>
      <c r="J141" s="180" t="s">
        <v>874</v>
      </c>
      <c r="K141" s="51" t="s">
        <v>2390</v>
      </c>
      <c r="L141" s="51"/>
      <c r="M141" s="51" t="s">
        <v>870</v>
      </c>
      <c r="N141" s="553">
        <v>62325000</v>
      </c>
      <c r="O141" s="54" t="s">
        <v>877</v>
      </c>
      <c r="P141" s="615" t="s">
        <v>878</v>
      </c>
      <c r="Q141" s="54" t="s">
        <v>879</v>
      </c>
      <c r="R141" s="53"/>
      <c r="S141" s="646">
        <v>43825</v>
      </c>
    </row>
    <row r="142" spans="1:19" ht="60" customHeight="1" x14ac:dyDescent="0.25">
      <c r="A142" s="239" t="s">
        <v>495</v>
      </c>
      <c r="B142" s="239" t="s">
        <v>4</v>
      </c>
      <c r="C142" s="63">
        <v>43580</v>
      </c>
      <c r="D142" s="593" t="s">
        <v>3447</v>
      </c>
      <c r="E142" s="51" t="s">
        <v>1327</v>
      </c>
      <c r="F142" s="33" t="s">
        <v>360</v>
      </c>
      <c r="G142" s="33"/>
      <c r="H142" s="201" t="s">
        <v>72</v>
      </c>
      <c r="I142" s="51" t="s">
        <v>1328</v>
      </c>
      <c r="J142" s="35">
        <v>43668</v>
      </c>
      <c r="K142" s="239" t="s">
        <v>2127</v>
      </c>
      <c r="L142" s="239"/>
      <c r="M142" s="51" t="s">
        <v>1329</v>
      </c>
      <c r="N142" s="552">
        <v>2825400</v>
      </c>
      <c r="O142" s="462">
        <v>0</v>
      </c>
      <c r="P142" s="462"/>
      <c r="Q142" s="462"/>
      <c r="R142" s="668"/>
      <c r="S142" s="654" t="s">
        <v>2330</v>
      </c>
    </row>
    <row r="143" spans="1:19" ht="45" x14ac:dyDescent="0.25">
      <c r="A143" s="592" t="s">
        <v>495</v>
      </c>
      <c r="B143" s="239" t="s">
        <v>4</v>
      </c>
      <c r="C143" s="63">
        <v>43592</v>
      </c>
      <c r="D143" s="593" t="s">
        <v>3447</v>
      </c>
      <c r="E143" s="51" t="s">
        <v>1323</v>
      </c>
      <c r="F143" s="33" t="s">
        <v>1325</v>
      </c>
      <c r="G143" s="33"/>
      <c r="H143" s="201" t="s">
        <v>72</v>
      </c>
      <c r="I143" s="51" t="s">
        <v>1322</v>
      </c>
      <c r="J143" s="35">
        <v>43650</v>
      </c>
      <c r="K143" s="33" t="s">
        <v>2388</v>
      </c>
      <c r="M143" s="51" t="s">
        <v>1324</v>
      </c>
      <c r="N143" s="552">
        <v>1412700</v>
      </c>
      <c r="O143" s="462">
        <v>706350</v>
      </c>
      <c r="P143" s="52">
        <v>43592</v>
      </c>
      <c r="Q143" s="462">
        <v>706350</v>
      </c>
      <c r="R143" s="668"/>
      <c r="S143" s="595">
        <v>43705</v>
      </c>
    </row>
    <row r="144" spans="1:19" x14ac:dyDescent="0.25">
      <c r="A144" s="239" t="s">
        <v>495</v>
      </c>
      <c r="B144" s="239" t="s">
        <v>4</v>
      </c>
      <c r="C144" s="464">
        <v>43865</v>
      </c>
      <c r="D144" s="239"/>
      <c r="E144" s="239" t="s">
        <v>1742</v>
      </c>
      <c r="F144" s="33"/>
      <c r="G144" s="33"/>
      <c r="H144" s="201" t="s">
        <v>1562</v>
      </c>
      <c r="I144" s="239" t="s">
        <v>1743</v>
      </c>
      <c r="M144" s="239"/>
      <c r="N144" s="550">
        <v>1000</v>
      </c>
      <c r="O144" s="463"/>
      <c r="P144" s="462"/>
      <c r="Q144" s="462"/>
      <c r="R144" s="668"/>
      <c r="S144" s="35"/>
    </row>
    <row r="145" spans="1:19" ht="30" x14ac:dyDescent="0.25">
      <c r="A145" s="629" t="s">
        <v>495</v>
      </c>
      <c r="B145" s="593" t="s">
        <v>4</v>
      </c>
      <c r="C145" s="594">
        <v>45183</v>
      </c>
      <c r="D145" s="593" t="s">
        <v>3447</v>
      </c>
      <c r="E145" s="593" t="s">
        <v>3589</v>
      </c>
      <c r="F145" s="592" t="s">
        <v>360</v>
      </c>
      <c r="G145" t="s">
        <v>3591</v>
      </c>
      <c r="H145" s="608" t="s">
        <v>72</v>
      </c>
      <c r="I145" s="593" t="s">
        <v>3590</v>
      </c>
      <c r="J145" s="595"/>
      <c r="K145" s="592"/>
      <c r="L145" s="592"/>
      <c r="M145" s="593"/>
      <c r="N145" s="548">
        <v>497700</v>
      </c>
      <c r="O145" s="548">
        <v>497700</v>
      </c>
      <c r="P145" s="447">
        <v>45195</v>
      </c>
      <c r="Q145" s="548">
        <v>0</v>
      </c>
      <c r="R145" s="52" t="s">
        <v>3550</v>
      </c>
      <c r="S145" s="630">
        <v>45305</v>
      </c>
    </row>
    <row r="146" spans="1:19" ht="30" x14ac:dyDescent="0.25">
      <c r="A146" s="239" t="s">
        <v>495</v>
      </c>
      <c r="B146" s="239" t="s">
        <v>4</v>
      </c>
      <c r="C146" s="63">
        <v>43866</v>
      </c>
      <c r="D146" s="239"/>
      <c r="E146" s="239" t="s">
        <v>1744</v>
      </c>
      <c r="F146" s="33"/>
      <c r="G146" s="33"/>
      <c r="H146" s="201" t="s">
        <v>1562</v>
      </c>
      <c r="I146" s="239" t="s">
        <v>1745</v>
      </c>
      <c r="M146" s="239"/>
      <c r="N146" s="550">
        <v>19600</v>
      </c>
      <c r="O146" s="463"/>
      <c r="P146" s="462"/>
      <c r="Q146" s="462"/>
      <c r="R146" s="668"/>
      <c r="S146" s="35"/>
    </row>
    <row r="147" spans="1:19" x14ac:dyDescent="0.25">
      <c r="A147" s="239" t="s">
        <v>495</v>
      </c>
      <c r="B147" s="239" t="s">
        <v>4</v>
      </c>
      <c r="C147" s="63">
        <v>43871</v>
      </c>
      <c r="D147" s="239"/>
      <c r="E147" s="239" t="s">
        <v>1746</v>
      </c>
      <c r="F147" s="33"/>
      <c r="G147" s="33"/>
      <c r="H147" s="201" t="s">
        <v>1562</v>
      </c>
      <c r="I147" s="239" t="s">
        <v>1747</v>
      </c>
      <c r="M147" s="239"/>
      <c r="N147" s="550">
        <v>11000</v>
      </c>
      <c r="O147" s="463"/>
      <c r="P147" s="462"/>
      <c r="Q147" s="462"/>
      <c r="R147" s="668"/>
      <c r="S147" s="35"/>
    </row>
    <row r="148" spans="1:19" x14ac:dyDescent="0.25">
      <c r="A148" s="239" t="s">
        <v>495</v>
      </c>
      <c r="B148" s="239" t="s">
        <v>4</v>
      </c>
      <c r="C148" s="63">
        <v>43871</v>
      </c>
      <c r="D148" s="239"/>
      <c r="E148" s="239" t="s">
        <v>1748</v>
      </c>
      <c r="F148" s="33"/>
      <c r="G148" s="33"/>
      <c r="H148" s="201" t="s">
        <v>1562</v>
      </c>
      <c r="I148" s="239" t="s">
        <v>1749</v>
      </c>
      <c r="M148" s="239"/>
      <c r="N148" s="550">
        <v>3944</v>
      </c>
      <c r="O148" s="463"/>
      <c r="P148" s="462"/>
      <c r="Q148" s="462"/>
      <c r="R148" s="668"/>
      <c r="S148" s="35"/>
    </row>
    <row r="149" spans="1:19" x14ac:dyDescent="0.25">
      <c r="A149" s="239" t="s">
        <v>495</v>
      </c>
      <c r="B149" s="239" t="s">
        <v>4</v>
      </c>
      <c r="C149" s="63">
        <v>43871</v>
      </c>
      <c r="D149" s="239"/>
      <c r="E149" s="239" t="s">
        <v>1750</v>
      </c>
      <c r="F149" s="33"/>
      <c r="G149" s="33"/>
      <c r="H149" s="201" t="s">
        <v>1562</v>
      </c>
      <c r="I149" s="239" t="s">
        <v>1751</v>
      </c>
      <c r="M149" s="239"/>
      <c r="N149" s="550">
        <v>5900</v>
      </c>
      <c r="O149" s="463"/>
      <c r="P149" s="462"/>
      <c r="Q149" s="462"/>
      <c r="R149" s="668"/>
      <c r="S149" s="35"/>
    </row>
    <row r="150" spans="1:19" x14ac:dyDescent="0.25">
      <c r="A150" s="239" t="s">
        <v>495</v>
      </c>
      <c r="B150" s="239" t="s">
        <v>4</v>
      </c>
      <c r="C150" s="63">
        <v>43879</v>
      </c>
      <c r="D150" s="239"/>
      <c r="E150" s="239" t="s">
        <v>1752</v>
      </c>
      <c r="F150" s="33"/>
      <c r="G150" s="33"/>
      <c r="H150" s="201" t="s">
        <v>1562</v>
      </c>
      <c r="I150" s="239" t="s">
        <v>1753</v>
      </c>
      <c r="M150" s="239"/>
      <c r="N150" s="550">
        <v>12500</v>
      </c>
      <c r="O150" s="463"/>
      <c r="P150" s="462"/>
      <c r="Q150" s="462"/>
      <c r="R150" s="668"/>
      <c r="S150" s="35"/>
    </row>
    <row r="151" spans="1:19" x14ac:dyDescent="0.25">
      <c r="A151" s="239" t="s">
        <v>495</v>
      </c>
      <c r="B151" s="239" t="s">
        <v>4</v>
      </c>
      <c r="C151" s="63">
        <v>43879</v>
      </c>
      <c r="D151" s="239"/>
      <c r="E151" s="239" t="s">
        <v>1754</v>
      </c>
      <c r="F151" s="33"/>
      <c r="G151" s="33"/>
      <c r="H151" s="201" t="s">
        <v>1562</v>
      </c>
      <c r="I151" s="239" t="s">
        <v>1755</v>
      </c>
      <c r="M151" s="239"/>
      <c r="N151" s="550">
        <v>4000</v>
      </c>
      <c r="O151" s="463"/>
      <c r="P151" s="462"/>
      <c r="Q151" s="462"/>
      <c r="R151" s="668"/>
      <c r="S151" s="35"/>
    </row>
    <row r="152" spans="1:19" x14ac:dyDescent="0.25">
      <c r="A152" s="239" t="s">
        <v>495</v>
      </c>
      <c r="B152" s="239" t="s">
        <v>4</v>
      </c>
      <c r="C152" s="594">
        <v>43902</v>
      </c>
      <c r="D152" s="239"/>
      <c r="E152" s="239" t="s">
        <v>1798</v>
      </c>
      <c r="F152" s="33"/>
      <c r="G152" s="33"/>
      <c r="H152" s="201" t="s">
        <v>1562</v>
      </c>
      <c r="I152" s="239" t="s">
        <v>1799</v>
      </c>
      <c r="M152" s="239"/>
      <c r="N152" s="550">
        <v>6400</v>
      </c>
      <c r="O152" s="463"/>
      <c r="P152" s="462"/>
      <c r="Q152" s="462"/>
      <c r="R152" s="668"/>
      <c r="S152" s="35"/>
    </row>
    <row r="153" spans="1:19" x14ac:dyDescent="0.25">
      <c r="A153" s="33" t="s">
        <v>495</v>
      </c>
      <c r="B153" s="239" t="s">
        <v>4</v>
      </c>
      <c r="C153" s="63">
        <v>44005</v>
      </c>
      <c r="D153" s="239"/>
      <c r="E153" s="239" t="s">
        <v>1914</v>
      </c>
      <c r="F153" s="33"/>
      <c r="G153" s="33"/>
      <c r="H153" s="201" t="s">
        <v>1562</v>
      </c>
      <c r="I153" s="239" t="s">
        <v>1915</v>
      </c>
      <c r="M153" s="239" t="s">
        <v>1998</v>
      </c>
      <c r="N153" s="550">
        <v>2070</v>
      </c>
      <c r="O153" s="463"/>
      <c r="P153" s="462"/>
      <c r="Q153" s="462"/>
      <c r="R153" s="668"/>
      <c r="S153" s="35"/>
    </row>
    <row r="154" spans="1:19" x14ac:dyDescent="0.25">
      <c r="A154" s="33" t="s">
        <v>495</v>
      </c>
      <c r="B154" s="239" t="s">
        <v>4</v>
      </c>
      <c r="C154" s="63">
        <v>44005</v>
      </c>
      <c r="D154" s="239"/>
      <c r="E154" s="239" t="s">
        <v>1948</v>
      </c>
      <c r="F154" s="33"/>
      <c r="G154" s="33"/>
      <c r="H154" s="201" t="s">
        <v>1562</v>
      </c>
      <c r="I154" s="239" t="s">
        <v>1949</v>
      </c>
      <c r="M154" s="239"/>
      <c r="N154" s="550">
        <v>4050</v>
      </c>
      <c r="O154" s="463"/>
      <c r="P154" s="462"/>
      <c r="Q154" s="462"/>
      <c r="R154" s="668"/>
      <c r="S154" s="35"/>
    </row>
    <row r="155" spans="1:19" x14ac:dyDescent="0.25">
      <c r="A155" s="33" t="s">
        <v>495</v>
      </c>
      <c r="B155" s="239" t="s">
        <v>4</v>
      </c>
      <c r="C155" s="63">
        <v>44005</v>
      </c>
      <c r="D155" s="239"/>
      <c r="E155" s="239" t="s">
        <v>1916</v>
      </c>
      <c r="F155" s="33"/>
      <c r="G155" s="33"/>
      <c r="H155" s="201" t="s">
        <v>1562</v>
      </c>
      <c r="I155" s="239" t="s">
        <v>1917</v>
      </c>
      <c r="M155" s="239" t="s">
        <v>1998</v>
      </c>
      <c r="N155" s="550">
        <v>2200</v>
      </c>
      <c r="O155" s="463"/>
      <c r="P155" s="462"/>
      <c r="Q155" s="462"/>
      <c r="R155" s="668"/>
      <c r="S155" s="35"/>
    </row>
    <row r="156" spans="1:19" ht="30" x14ac:dyDescent="0.25">
      <c r="A156" s="239" t="s">
        <v>495</v>
      </c>
      <c r="B156" s="239" t="s">
        <v>4</v>
      </c>
      <c r="C156" s="63">
        <v>43735</v>
      </c>
      <c r="D156" s="593" t="s">
        <v>3447</v>
      </c>
      <c r="E156" s="51" t="s">
        <v>2024</v>
      </c>
      <c r="F156" s="33" t="s">
        <v>360</v>
      </c>
      <c r="G156" s="33"/>
      <c r="H156" s="201" t="s">
        <v>72</v>
      </c>
      <c r="I156" s="51" t="s">
        <v>2172</v>
      </c>
      <c r="J156" s="35">
        <v>44081</v>
      </c>
      <c r="K156" s="239" t="s">
        <v>2055</v>
      </c>
      <c r="L156" s="239"/>
      <c r="M156" s="51" t="s">
        <v>1329</v>
      </c>
      <c r="N156" s="551">
        <v>691760</v>
      </c>
      <c r="O156" s="462">
        <v>484232</v>
      </c>
      <c r="P156" s="52">
        <v>44050</v>
      </c>
      <c r="Q156" s="462">
        <v>207528</v>
      </c>
      <c r="R156" s="668"/>
      <c r="S156" s="52">
        <v>44173</v>
      </c>
    </row>
    <row r="157" spans="1:19" ht="30" x14ac:dyDescent="0.25">
      <c r="A157" s="239" t="s">
        <v>495</v>
      </c>
      <c r="B157" s="239" t="s">
        <v>4</v>
      </c>
      <c r="C157" s="63">
        <v>43749</v>
      </c>
      <c r="D157" s="593" t="s">
        <v>3447</v>
      </c>
      <c r="E157" s="51" t="s">
        <v>1566</v>
      </c>
      <c r="F157" s="33" t="s">
        <v>1569</v>
      </c>
      <c r="G157" s="33"/>
      <c r="H157" s="201" t="s">
        <v>72</v>
      </c>
      <c r="I157" s="51" t="s">
        <v>1568</v>
      </c>
      <c r="J157" s="35">
        <v>43982</v>
      </c>
      <c r="K157" s="33" t="s">
        <v>2389</v>
      </c>
      <c r="M157" s="51" t="s">
        <v>1567</v>
      </c>
      <c r="N157" s="547">
        <v>326400</v>
      </c>
      <c r="O157" s="467">
        <v>228480</v>
      </c>
      <c r="P157" s="447">
        <v>43768</v>
      </c>
      <c r="Q157" s="466">
        <v>97920</v>
      </c>
      <c r="R157" s="667"/>
      <c r="S157" s="35">
        <v>43982</v>
      </c>
    </row>
    <row r="158" spans="1:19" x14ac:dyDescent="0.25">
      <c r="A158" s="33" t="s">
        <v>495</v>
      </c>
      <c r="B158" s="239" t="s">
        <v>4</v>
      </c>
      <c r="C158" s="63">
        <v>44005</v>
      </c>
      <c r="D158" s="239"/>
      <c r="E158" s="239" t="s">
        <v>1950</v>
      </c>
      <c r="F158" s="33"/>
      <c r="G158" s="33"/>
      <c r="H158" s="201" t="s">
        <v>1562</v>
      </c>
      <c r="I158" s="239" t="s">
        <v>1951</v>
      </c>
      <c r="M158" s="239"/>
      <c r="N158" s="550">
        <v>4000</v>
      </c>
      <c r="O158" s="463"/>
      <c r="P158" s="463"/>
      <c r="Q158" s="462"/>
      <c r="R158" s="668"/>
      <c r="S158" s="35"/>
    </row>
    <row r="159" spans="1:19" x14ac:dyDescent="0.25">
      <c r="A159" s="239" t="s">
        <v>495</v>
      </c>
      <c r="B159" s="239" t="s">
        <v>4</v>
      </c>
      <c r="C159" s="465">
        <v>44005</v>
      </c>
      <c r="D159" s="239"/>
      <c r="E159" s="239" t="s">
        <v>1918</v>
      </c>
      <c r="F159" s="33"/>
      <c r="G159" s="33"/>
      <c r="H159" s="201" t="s">
        <v>1562</v>
      </c>
      <c r="I159" s="239" t="s">
        <v>2463</v>
      </c>
      <c r="M159" s="239" t="s">
        <v>1998</v>
      </c>
      <c r="N159" s="550">
        <v>3200</v>
      </c>
      <c r="O159" s="463"/>
      <c r="P159" s="463"/>
      <c r="Q159" s="462"/>
      <c r="R159" s="668"/>
      <c r="S159" s="35"/>
    </row>
    <row r="160" spans="1:19" x14ac:dyDescent="0.25">
      <c r="A160" s="33" t="s">
        <v>495</v>
      </c>
      <c r="B160" s="239" t="s">
        <v>4</v>
      </c>
      <c r="C160" s="63">
        <v>44032</v>
      </c>
      <c r="D160" s="239"/>
      <c r="E160" s="239" t="s">
        <v>2029</v>
      </c>
      <c r="F160" s="33"/>
      <c r="G160" s="33"/>
      <c r="H160" s="201" t="s">
        <v>1562</v>
      </c>
      <c r="I160" s="307" t="s">
        <v>2030</v>
      </c>
      <c r="M160" s="239" t="s">
        <v>1998</v>
      </c>
      <c r="N160" s="550">
        <v>1500</v>
      </c>
      <c r="O160" s="463"/>
      <c r="P160" s="463"/>
      <c r="Q160" s="462"/>
      <c r="R160" s="668"/>
      <c r="S160" s="35"/>
    </row>
    <row r="161" spans="1:19" x14ac:dyDescent="0.25">
      <c r="A161" s="239" t="s">
        <v>495</v>
      </c>
      <c r="B161" s="239" t="s">
        <v>4</v>
      </c>
      <c r="C161" s="63">
        <v>44033</v>
      </c>
      <c r="D161" s="239"/>
      <c r="E161" s="239" t="s">
        <v>1990</v>
      </c>
      <c r="F161" s="33"/>
      <c r="G161" s="33"/>
      <c r="H161" s="201" t="s">
        <v>1562</v>
      </c>
      <c r="I161" s="239" t="s">
        <v>1991</v>
      </c>
      <c r="M161" s="239" t="s">
        <v>1998</v>
      </c>
      <c r="N161" s="550">
        <v>6650</v>
      </c>
      <c r="O161" s="463"/>
      <c r="P161" s="463"/>
      <c r="Q161" s="462"/>
      <c r="R161" s="668"/>
      <c r="S161" s="35"/>
    </row>
    <row r="162" spans="1:19" x14ac:dyDescent="0.25">
      <c r="A162" s="239" t="s">
        <v>495</v>
      </c>
      <c r="B162" s="239" t="s">
        <v>4</v>
      </c>
      <c r="C162" s="63">
        <v>44041</v>
      </c>
      <c r="D162" s="239"/>
      <c r="E162" s="239" t="s">
        <v>2027</v>
      </c>
      <c r="F162" s="33"/>
      <c r="G162" s="33"/>
      <c r="H162" s="201" t="s">
        <v>1562</v>
      </c>
      <c r="I162" s="239" t="s">
        <v>2028</v>
      </c>
      <c r="M162" s="239" t="s">
        <v>1998</v>
      </c>
      <c r="N162" s="550">
        <v>1600</v>
      </c>
      <c r="O162" s="463"/>
      <c r="P162" s="463"/>
      <c r="Q162" s="462"/>
      <c r="R162" s="668"/>
      <c r="S162" s="35"/>
    </row>
    <row r="163" spans="1:19" x14ac:dyDescent="0.25">
      <c r="A163" s="239" t="s">
        <v>495</v>
      </c>
      <c r="B163" s="239" t="s">
        <v>4</v>
      </c>
      <c r="C163" s="63">
        <v>44074</v>
      </c>
      <c r="D163" s="239"/>
      <c r="E163" s="239" t="s">
        <v>2056</v>
      </c>
      <c r="F163" s="33"/>
      <c r="G163" s="33"/>
      <c r="H163" s="201" t="s">
        <v>1562</v>
      </c>
      <c r="I163" s="239" t="s">
        <v>2057</v>
      </c>
      <c r="M163" s="239" t="s">
        <v>1998</v>
      </c>
      <c r="N163" s="550">
        <v>6200</v>
      </c>
      <c r="O163" s="463"/>
      <c r="P163" s="463"/>
      <c r="Q163" s="462"/>
      <c r="R163" s="668"/>
      <c r="S163" s="35"/>
    </row>
    <row r="164" spans="1:19" x14ac:dyDescent="0.25">
      <c r="A164" s="239" t="s">
        <v>495</v>
      </c>
      <c r="B164" s="239" t="s">
        <v>4</v>
      </c>
      <c r="C164" s="63">
        <v>44077</v>
      </c>
      <c r="D164" s="239"/>
      <c r="E164" s="239" t="s">
        <v>2058</v>
      </c>
      <c r="F164" s="33"/>
      <c r="G164" s="33"/>
      <c r="H164" s="201" t="s">
        <v>1562</v>
      </c>
      <c r="I164" s="239" t="s">
        <v>2059</v>
      </c>
      <c r="M164" s="239" t="s">
        <v>1998</v>
      </c>
      <c r="N164" s="550">
        <v>4450</v>
      </c>
      <c r="O164" s="463"/>
      <c r="P164" s="463"/>
      <c r="Q164" s="462"/>
      <c r="R164" s="668"/>
      <c r="S164" s="35"/>
    </row>
    <row r="165" spans="1:19" x14ac:dyDescent="0.25">
      <c r="A165" s="239" t="s">
        <v>495</v>
      </c>
      <c r="B165" s="239" t="s">
        <v>4</v>
      </c>
      <c r="C165" s="63">
        <v>44154</v>
      </c>
      <c r="D165" s="239"/>
      <c r="E165" s="239" t="s">
        <v>2170</v>
      </c>
      <c r="F165" s="33"/>
      <c r="G165" s="33"/>
      <c r="H165" s="201" t="s">
        <v>1562</v>
      </c>
      <c r="I165" s="239" t="s">
        <v>2171</v>
      </c>
      <c r="M165" s="239" t="s">
        <v>1998</v>
      </c>
      <c r="N165" s="550">
        <v>5000</v>
      </c>
      <c r="O165" s="463"/>
      <c r="P165" s="463"/>
      <c r="Q165" s="462"/>
      <c r="R165" s="668"/>
      <c r="S165" s="35"/>
    </row>
    <row r="166" spans="1:19" x14ac:dyDescent="0.25">
      <c r="A166" s="239" t="s">
        <v>495</v>
      </c>
      <c r="B166" s="239" t="s">
        <v>4</v>
      </c>
      <c r="C166" s="63">
        <v>44160</v>
      </c>
      <c r="D166" s="239"/>
      <c r="E166" s="239" t="s">
        <v>2186</v>
      </c>
      <c r="F166" s="33"/>
      <c r="G166" s="33"/>
      <c r="H166" s="201" t="s">
        <v>1562</v>
      </c>
      <c r="I166" s="239" t="s">
        <v>2187</v>
      </c>
      <c r="M166" s="239" t="s">
        <v>1998</v>
      </c>
      <c r="N166" s="550">
        <v>5500</v>
      </c>
      <c r="O166" s="463"/>
      <c r="P166" s="463"/>
      <c r="Q166" s="462"/>
      <c r="R166" s="668"/>
      <c r="S166" s="35"/>
    </row>
    <row r="167" spans="1:19" x14ac:dyDescent="0.25">
      <c r="A167" s="239" t="s">
        <v>495</v>
      </c>
      <c r="B167" s="239" t="s">
        <v>4</v>
      </c>
      <c r="C167" s="63">
        <v>43983</v>
      </c>
      <c r="D167" s="239"/>
      <c r="E167" s="239" t="s">
        <v>2107</v>
      </c>
      <c r="F167" s="33"/>
      <c r="G167" s="33"/>
      <c r="H167" s="201" t="s">
        <v>262</v>
      </c>
      <c r="I167" s="239"/>
      <c r="M167" s="239"/>
      <c r="N167" s="550"/>
      <c r="O167" s="463"/>
      <c r="P167" s="462"/>
      <c r="Q167" s="462"/>
      <c r="R167" s="668"/>
      <c r="S167" s="35">
        <v>44245</v>
      </c>
    </row>
    <row r="168" spans="1:19" x14ac:dyDescent="0.25">
      <c r="A168" s="33" t="s">
        <v>495</v>
      </c>
      <c r="B168" s="239" t="s">
        <v>4</v>
      </c>
      <c r="C168" s="63">
        <v>44228</v>
      </c>
      <c r="D168" s="239"/>
      <c r="E168" s="239" t="s">
        <v>2211</v>
      </c>
      <c r="F168" s="33"/>
      <c r="G168" s="33"/>
      <c r="H168" s="201" t="s">
        <v>1562</v>
      </c>
      <c r="I168" s="239" t="s">
        <v>2212</v>
      </c>
      <c r="M168" s="239" t="s">
        <v>1998</v>
      </c>
      <c r="N168" s="550">
        <v>21000</v>
      </c>
      <c r="O168" s="463"/>
      <c r="P168" s="463"/>
      <c r="Q168" s="462"/>
      <c r="R168" s="668"/>
      <c r="S168" s="35"/>
    </row>
    <row r="169" spans="1:19" x14ac:dyDescent="0.25">
      <c r="A169" s="239" t="s">
        <v>495</v>
      </c>
      <c r="B169" s="239" t="s">
        <v>4</v>
      </c>
      <c r="C169" s="63">
        <v>44243</v>
      </c>
      <c r="D169" s="239"/>
      <c r="E169" s="239" t="s">
        <v>2298</v>
      </c>
      <c r="F169" s="33"/>
      <c r="G169" s="33"/>
      <c r="H169" s="201" t="s">
        <v>1562</v>
      </c>
      <c r="I169" s="239" t="s">
        <v>2299</v>
      </c>
      <c r="M169" s="239" t="s">
        <v>1998</v>
      </c>
      <c r="N169" s="550">
        <v>3300</v>
      </c>
      <c r="O169" s="463"/>
      <c r="P169" s="463"/>
      <c r="Q169" s="462"/>
      <c r="R169" s="668"/>
      <c r="S169" s="35"/>
    </row>
    <row r="170" spans="1:19" x14ac:dyDescent="0.25">
      <c r="A170" s="33" t="s">
        <v>495</v>
      </c>
      <c r="B170" s="239" t="s">
        <v>4</v>
      </c>
      <c r="C170" s="63">
        <v>44244</v>
      </c>
      <c r="D170" s="239"/>
      <c r="E170" s="239" t="s">
        <v>2241</v>
      </c>
      <c r="F170" s="33"/>
      <c r="G170" s="33"/>
      <c r="H170" s="201" t="s">
        <v>1562</v>
      </c>
      <c r="I170" s="239" t="s">
        <v>2242</v>
      </c>
      <c r="M170" s="239" t="s">
        <v>1998</v>
      </c>
      <c r="N170" s="550">
        <v>4900</v>
      </c>
      <c r="O170" s="463"/>
      <c r="P170" s="462"/>
      <c r="Q170" s="462"/>
      <c r="R170" s="668"/>
      <c r="S170" s="35"/>
    </row>
    <row r="171" spans="1:19" x14ac:dyDescent="0.25">
      <c r="A171" s="33" t="s">
        <v>495</v>
      </c>
      <c r="B171" s="239" t="s">
        <v>4</v>
      </c>
      <c r="C171" s="63">
        <v>44251</v>
      </c>
      <c r="D171" s="239"/>
      <c r="E171" s="239" t="s">
        <v>2239</v>
      </c>
      <c r="F171" s="33"/>
      <c r="G171" s="33"/>
      <c r="H171" s="201" t="s">
        <v>1562</v>
      </c>
      <c r="I171" s="239" t="s">
        <v>2240</v>
      </c>
      <c r="M171" t="s">
        <v>1998</v>
      </c>
      <c r="N171" s="550">
        <v>3900</v>
      </c>
      <c r="O171" s="463"/>
      <c r="P171" s="462"/>
      <c r="Q171" s="462"/>
      <c r="R171" s="668"/>
      <c r="S171" s="35"/>
    </row>
    <row r="172" spans="1:19" x14ac:dyDescent="0.25">
      <c r="A172" s="33" t="s">
        <v>495</v>
      </c>
      <c r="B172" s="239" t="s">
        <v>4</v>
      </c>
      <c r="C172" s="63">
        <v>44260</v>
      </c>
      <c r="D172" s="239"/>
      <c r="E172" s="239" t="s">
        <v>2243</v>
      </c>
      <c r="F172" s="33"/>
      <c r="G172" s="33"/>
      <c r="H172" s="201" t="s">
        <v>1562</v>
      </c>
      <c r="I172" s="239" t="s">
        <v>2244</v>
      </c>
      <c r="M172" t="s">
        <v>1998</v>
      </c>
      <c r="N172" s="550">
        <v>19050</v>
      </c>
      <c r="O172" s="463"/>
      <c r="P172" s="462"/>
      <c r="Q172" s="462"/>
      <c r="R172" s="668"/>
      <c r="S172" s="35"/>
    </row>
    <row r="173" spans="1:19" x14ac:dyDescent="0.25">
      <c r="A173" s="33" t="s">
        <v>495</v>
      </c>
      <c r="B173" s="239" t="s">
        <v>4</v>
      </c>
      <c r="C173" s="63">
        <v>44270</v>
      </c>
      <c r="D173" s="239"/>
      <c r="E173" s="239" t="s">
        <v>2273</v>
      </c>
      <c r="F173" s="33"/>
      <c r="G173" s="33"/>
      <c r="H173" s="201" t="s">
        <v>1562</v>
      </c>
      <c r="I173" s="239" t="s">
        <v>2274</v>
      </c>
      <c r="M173" t="s">
        <v>1998</v>
      </c>
      <c r="N173" s="550">
        <v>30560</v>
      </c>
      <c r="O173" s="463"/>
      <c r="P173" s="462"/>
      <c r="Q173" s="462"/>
      <c r="R173" s="668"/>
      <c r="S173" s="35"/>
    </row>
    <row r="174" spans="1:19" x14ac:dyDescent="0.25">
      <c r="A174" s="33" t="s">
        <v>495</v>
      </c>
      <c r="B174" s="239" t="s">
        <v>4</v>
      </c>
      <c r="C174" s="63">
        <v>44270</v>
      </c>
      <c r="D174" s="239"/>
      <c r="E174" s="239" t="s">
        <v>2294</v>
      </c>
      <c r="F174" s="33"/>
      <c r="G174" s="33"/>
      <c r="H174" s="201" t="s">
        <v>1562</v>
      </c>
      <c r="I174" s="239" t="s">
        <v>2295</v>
      </c>
      <c r="M174" t="s">
        <v>1998</v>
      </c>
      <c r="N174" s="550">
        <v>2750</v>
      </c>
      <c r="O174" s="463"/>
      <c r="P174" s="462"/>
      <c r="Q174" s="462"/>
      <c r="R174" s="668"/>
      <c r="S174" s="35"/>
    </row>
    <row r="175" spans="1:19" x14ac:dyDescent="0.25">
      <c r="A175" s="33" t="s">
        <v>495</v>
      </c>
      <c r="B175" s="239" t="s">
        <v>4</v>
      </c>
      <c r="C175" s="63">
        <v>44270</v>
      </c>
      <c r="D175" s="239"/>
      <c r="E175" s="239" t="s">
        <v>2296</v>
      </c>
      <c r="F175" s="33"/>
      <c r="G175" s="33"/>
      <c r="H175" s="201" t="s">
        <v>1562</v>
      </c>
      <c r="I175" s="239" t="s">
        <v>2297</v>
      </c>
      <c r="M175" t="s">
        <v>1998</v>
      </c>
      <c r="N175" s="550">
        <v>2000</v>
      </c>
      <c r="O175" s="463"/>
      <c r="P175" s="462"/>
      <c r="Q175" s="462"/>
      <c r="R175" s="668"/>
      <c r="S175" s="35"/>
    </row>
    <row r="176" spans="1:19" x14ac:dyDescent="0.25">
      <c r="A176" s="33" t="s">
        <v>495</v>
      </c>
      <c r="B176" s="239" t="s">
        <v>4</v>
      </c>
      <c r="C176" s="63">
        <v>44288</v>
      </c>
      <c r="D176" s="239"/>
      <c r="E176" s="239" t="s">
        <v>2347</v>
      </c>
      <c r="F176" s="33"/>
      <c r="G176" s="33"/>
      <c r="H176" s="201" t="s">
        <v>1562</v>
      </c>
      <c r="I176" s="239" t="s">
        <v>2348</v>
      </c>
      <c r="M176" s="239"/>
      <c r="N176" s="550">
        <v>0</v>
      </c>
      <c r="O176" s="303"/>
      <c r="P176" s="303"/>
      <c r="Q176" s="34"/>
      <c r="R176" s="52"/>
      <c r="S176" s="62"/>
    </row>
    <row r="177" spans="1:20" x14ac:dyDescent="0.25">
      <c r="A177" s="33" t="s">
        <v>495</v>
      </c>
      <c r="B177" s="239" t="s">
        <v>4</v>
      </c>
      <c r="C177" s="63">
        <v>44337</v>
      </c>
      <c r="D177" s="239"/>
      <c r="E177" s="239" t="s">
        <v>2349</v>
      </c>
      <c r="F177" s="33"/>
      <c r="G177" s="33"/>
      <c r="H177" s="201" t="s">
        <v>1562</v>
      </c>
      <c r="I177" s="239" t="s">
        <v>2350</v>
      </c>
      <c r="M177" s="239" t="s">
        <v>1998</v>
      </c>
      <c r="N177" s="550">
        <v>3400</v>
      </c>
      <c r="O177" s="303"/>
      <c r="P177" s="303"/>
      <c r="Q177" s="34"/>
      <c r="R177" s="52"/>
      <c r="S177" s="62"/>
    </row>
    <row r="178" spans="1:20" x14ac:dyDescent="0.25">
      <c r="A178" s="239" t="s">
        <v>495</v>
      </c>
      <c r="B178" s="239" t="s">
        <v>4</v>
      </c>
      <c r="C178" s="63">
        <v>44636</v>
      </c>
      <c r="D178" s="51"/>
      <c r="E178" s="51" t="s">
        <v>2814</v>
      </c>
      <c r="F178" s="33"/>
      <c r="G178" s="33"/>
      <c r="H178" s="201" t="s">
        <v>2815</v>
      </c>
      <c r="I178" s="239" t="s">
        <v>2706</v>
      </c>
      <c r="J178" s="35"/>
      <c r="M178" s="51"/>
      <c r="N178" s="616">
        <v>2015</v>
      </c>
      <c r="O178" s="33"/>
      <c r="P178" s="549"/>
      <c r="Q178" s="505"/>
      <c r="R178" s="669"/>
      <c r="S178" s="506"/>
    </row>
    <row r="179" spans="1:20" x14ac:dyDescent="0.25">
      <c r="A179" s="239" t="s">
        <v>495</v>
      </c>
      <c r="B179" s="239" t="s">
        <v>4</v>
      </c>
      <c r="C179" s="63">
        <v>44642</v>
      </c>
      <c r="D179" s="239"/>
      <c r="E179" s="239" t="s">
        <v>2974</v>
      </c>
      <c r="H179" s="201" t="s">
        <v>2815</v>
      </c>
      <c r="I179" s="239" t="s">
        <v>3114</v>
      </c>
      <c r="M179" s="239" t="s">
        <v>1998</v>
      </c>
      <c r="N179" s="616">
        <v>37000</v>
      </c>
      <c r="O179" s="33"/>
      <c r="P179" s="549"/>
      <c r="Q179" s="34"/>
      <c r="R179" s="52"/>
      <c r="S179" s="62"/>
    </row>
    <row r="180" spans="1:20" x14ac:dyDescent="0.25">
      <c r="A180" s="239" t="s">
        <v>495</v>
      </c>
      <c r="B180" s="239" t="s">
        <v>4</v>
      </c>
      <c r="C180" s="63">
        <v>44694</v>
      </c>
      <c r="D180" s="239"/>
      <c r="E180" s="239" t="s">
        <v>2858</v>
      </c>
      <c r="F180" s="33"/>
      <c r="G180" s="33"/>
      <c r="H180" s="201" t="s">
        <v>2815</v>
      </c>
      <c r="I180" s="239" t="s">
        <v>2859</v>
      </c>
      <c r="M180" s="239"/>
      <c r="N180" s="616">
        <v>500</v>
      </c>
      <c r="O180" s="33"/>
      <c r="P180" s="549"/>
      <c r="Q180" s="513"/>
      <c r="R180" s="670"/>
      <c r="S180" s="514"/>
    </row>
    <row r="181" spans="1:20" x14ac:dyDescent="0.25">
      <c r="A181" s="239" t="s">
        <v>495</v>
      </c>
      <c r="B181" s="239" t="s">
        <v>4</v>
      </c>
      <c r="C181" s="63">
        <v>44726</v>
      </c>
      <c r="D181" s="239"/>
      <c r="E181" s="239" t="s">
        <v>2874</v>
      </c>
      <c r="F181" s="33"/>
      <c r="G181" s="33"/>
      <c r="H181" s="201" t="s">
        <v>2815</v>
      </c>
      <c r="I181" s="239" t="s">
        <v>2875</v>
      </c>
      <c r="M181" s="239"/>
      <c r="N181" s="616">
        <v>10000</v>
      </c>
      <c r="O181" s="33"/>
      <c r="P181" s="549"/>
      <c r="S181" s="515"/>
    </row>
    <row r="182" spans="1:20" x14ac:dyDescent="0.25">
      <c r="A182" s="239" t="s">
        <v>495</v>
      </c>
      <c r="B182" s="239" t="s">
        <v>4</v>
      </c>
      <c r="C182" s="63">
        <v>44734</v>
      </c>
      <c r="D182" s="239"/>
      <c r="E182" s="239" t="s">
        <v>3045</v>
      </c>
      <c r="H182" s="201" t="s">
        <v>2815</v>
      </c>
      <c r="I182" s="239" t="s">
        <v>3046</v>
      </c>
      <c r="M182" s="239" t="s">
        <v>1998</v>
      </c>
      <c r="N182" s="550">
        <v>43000</v>
      </c>
      <c r="O182" s="33"/>
      <c r="P182" s="549"/>
      <c r="Q182" s="544"/>
      <c r="R182" s="671"/>
      <c r="S182" s="545"/>
    </row>
    <row r="183" spans="1:20" ht="30" x14ac:dyDescent="0.25">
      <c r="A183" s="593" t="s">
        <v>495</v>
      </c>
      <c r="B183" s="239" t="s">
        <v>4</v>
      </c>
      <c r="C183" s="63">
        <v>43577</v>
      </c>
      <c r="D183" s="593" t="s">
        <v>3447</v>
      </c>
      <c r="E183" s="51" t="s">
        <v>1331</v>
      </c>
      <c r="F183" s="33" t="s">
        <v>360</v>
      </c>
      <c r="G183" s="33"/>
      <c r="H183" s="201" t="s">
        <v>72</v>
      </c>
      <c r="I183" s="239" t="s">
        <v>1330</v>
      </c>
      <c r="J183" s="35">
        <v>43668</v>
      </c>
      <c r="K183" s="239" t="s">
        <v>2128</v>
      </c>
      <c r="L183" s="239"/>
      <c r="M183" s="51" t="s">
        <v>1329</v>
      </c>
      <c r="N183" s="550">
        <v>351900</v>
      </c>
      <c r="O183" s="462">
        <f>Projects[[#This Row],[Price of Agreement]]*0.5</f>
        <v>175950</v>
      </c>
      <c r="P183" s="52">
        <v>43601</v>
      </c>
      <c r="Q183" s="462">
        <f>Projects[[#This Row],[Price of Agreement]]*0.5</f>
        <v>175950</v>
      </c>
      <c r="R183" s="668"/>
      <c r="S183" s="35">
        <v>43643</v>
      </c>
    </row>
    <row r="184" spans="1:20" ht="30" x14ac:dyDescent="0.25">
      <c r="A184" s="593" t="s">
        <v>495</v>
      </c>
      <c r="B184" s="239" t="s">
        <v>4</v>
      </c>
      <c r="C184" s="63">
        <v>43735</v>
      </c>
      <c r="D184" s="593" t="s">
        <v>3447</v>
      </c>
      <c r="E184" s="51" t="s">
        <v>1881</v>
      </c>
      <c r="F184" s="33" t="s">
        <v>360</v>
      </c>
      <c r="G184" s="33"/>
      <c r="H184" s="201" t="s">
        <v>72</v>
      </c>
      <c r="I184" s="239" t="s">
        <v>1330</v>
      </c>
      <c r="J184" s="35">
        <v>43948</v>
      </c>
      <c r="K184" s="33" t="s">
        <v>2126</v>
      </c>
      <c r="M184" s="51" t="s">
        <v>1329</v>
      </c>
      <c r="N184" s="550">
        <v>351900</v>
      </c>
      <c r="O184" s="462">
        <v>246330</v>
      </c>
      <c r="P184" s="52">
        <v>43826</v>
      </c>
      <c r="Q184" s="462">
        <v>105570</v>
      </c>
      <c r="R184" s="668"/>
      <c r="S184" s="35">
        <v>44137</v>
      </c>
    </row>
    <row r="185" spans="1:20" x14ac:dyDescent="0.25">
      <c r="A185" s="593" t="s">
        <v>495</v>
      </c>
      <c r="B185" s="239" t="s">
        <v>4</v>
      </c>
      <c r="C185" s="63">
        <v>44807</v>
      </c>
      <c r="D185" s="239"/>
      <c r="E185" s="239" t="s">
        <v>3018</v>
      </c>
      <c r="H185" s="201" t="s">
        <v>2815</v>
      </c>
      <c r="I185" s="239" t="s">
        <v>3019</v>
      </c>
      <c r="M185" s="239"/>
      <c r="N185" s="550">
        <v>55000</v>
      </c>
      <c r="O185" s="33"/>
      <c r="P185" s="549"/>
      <c r="Q185" s="34"/>
      <c r="R185" s="52"/>
      <c r="S185" s="62"/>
    </row>
    <row r="186" spans="1:20" x14ac:dyDescent="0.25">
      <c r="A186" s="593" t="s">
        <v>495</v>
      </c>
      <c r="B186" s="239" t="s">
        <v>4</v>
      </c>
      <c r="C186" s="63">
        <v>44807</v>
      </c>
      <c r="D186" s="239"/>
      <c r="E186" s="239" t="s">
        <v>3043</v>
      </c>
      <c r="H186" s="201" t="s">
        <v>2815</v>
      </c>
      <c r="I186" s="239" t="s">
        <v>3044</v>
      </c>
      <c r="M186" s="239"/>
      <c r="N186" s="550">
        <v>8000</v>
      </c>
      <c r="O186" s="33"/>
      <c r="P186" s="549"/>
      <c r="Q186" s="544"/>
      <c r="R186" s="671"/>
      <c r="S186" s="545"/>
    </row>
    <row r="187" spans="1:20" x14ac:dyDescent="0.25">
      <c r="A187" s="593" t="s">
        <v>495</v>
      </c>
      <c r="B187" s="239" t="s">
        <v>4</v>
      </c>
      <c r="C187" s="63">
        <v>44807</v>
      </c>
      <c r="D187" s="239"/>
      <c r="E187" s="239" t="s">
        <v>3018</v>
      </c>
      <c r="H187" s="201" t="s">
        <v>2815</v>
      </c>
      <c r="I187" s="239" t="s">
        <v>3019</v>
      </c>
      <c r="M187" s="239"/>
      <c r="N187" s="550">
        <v>55000</v>
      </c>
      <c r="O187" s="33"/>
      <c r="P187" s="549"/>
      <c r="Q187" s="544"/>
      <c r="R187" s="671"/>
      <c r="S187" s="545"/>
    </row>
    <row r="188" spans="1:20" x14ac:dyDescent="0.25">
      <c r="A188" s="239" t="s">
        <v>495</v>
      </c>
      <c r="B188" s="239" t="s">
        <v>4</v>
      </c>
      <c r="C188" s="63">
        <v>44819</v>
      </c>
      <c r="D188" s="239"/>
      <c r="E188" s="239" t="s">
        <v>3020</v>
      </c>
      <c r="H188" s="201" t="s">
        <v>2815</v>
      </c>
      <c r="I188" s="239" t="s">
        <v>3021</v>
      </c>
      <c r="M188" s="239"/>
      <c r="N188" s="550">
        <v>500</v>
      </c>
      <c r="O188" s="33"/>
      <c r="P188" s="549"/>
      <c r="Q188" s="544"/>
      <c r="R188" s="671"/>
      <c r="S188" s="545"/>
      <c r="T188" s="592"/>
    </row>
    <row r="189" spans="1:20" x14ac:dyDescent="0.25">
      <c r="A189" s="593" t="s">
        <v>495</v>
      </c>
      <c r="B189" s="63" t="s">
        <v>4</v>
      </c>
      <c r="C189" s="63">
        <v>44864</v>
      </c>
      <c r="D189" s="239"/>
      <c r="E189" s="239" t="s">
        <v>3047</v>
      </c>
      <c r="H189" s="201" t="s">
        <v>2815</v>
      </c>
      <c r="I189" s="239" t="s">
        <v>3048</v>
      </c>
      <c r="M189" s="239"/>
      <c r="N189" s="554">
        <v>6500</v>
      </c>
      <c r="O189" s="33"/>
      <c r="P189" s="549"/>
      <c r="Q189" s="544"/>
      <c r="R189" s="671"/>
      <c r="S189" s="545"/>
    </row>
    <row r="190" spans="1:20" ht="45" x14ac:dyDescent="0.25">
      <c r="A190" s="629" t="s">
        <v>495</v>
      </c>
      <c r="B190" s="676" t="s">
        <v>4</v>
      </c>
      <c r="C190" s="63">
        <v>44900</v>
      </c>
      <c r="D190" s="593" t="s">
        <v>3447</v>
      </c>
      <c r="E190" s="607" t="s">
        <v>3069</v>
      </c>
      <c r="F190" s="613" t="s">
        <v>2687</v>
      </c>
      <c r="G190" s="613"/>
      <c r="H190" s="679" t="s">
        <v>72</v>
      </c>
      <c r="I190" s="593" t="s">
        <v>3070</v>
      </c>
      <c r="J190" s="612"/>
      <c r="K190" s="592"/>
      <c r="L190" s="675"/>
      <c r="M190" s="593"/>
      <c r="N190" s="609">
        <v>7739600</v>
      </c>
      <c r="O190" s="688">
        <f>Projects[[#This Row],[Price of Agreement]]*0.7</f>
        <v>5417720</v>
      </c>
      <c r="P190" s="691">
        <v>44970</v>
      </c>
      <c r="Q190" s="688">
        <f>Projects[[#This Row],[Price of Agreement]]*0.3</f>
        <v>2321880</v>
      </c>
      <c r="R190" s="447">
        <v>45075</v>
      </c>
      <c r="S190" s="678">
        <v>45120</v>
      </c>
    </row>
    <row r="191" spans="1:20" ht="30" x14ac:dyDescent="0.25">
      <c r="A191" s="629" t="s">
        <v>495</v>
      </c>
      <c r="B191" s="676" t="s">
        <v>4</v>
      </c>
      <c r="C191" s="63">
        <v>44721</v>
      </c>
      <c r="D191" s="593" t="s">
        <v>3447</v>
      </c>
      <c r="E191" s="607" t="s">
        <v>2893</v>
      </c>
      <c r="F191" s="613" t="s">
        <v>360</v>
      </c>
      <c r="G191" s="613"/>
      <c r="H191" s="679" t="s">
        <v>72</v>
      </c>
      <c r="I191" s="593" t="s">
        <v>2894</v>
      </c>
      <c r="J191" s="612">
        <v>44871</v>
      </c>
      <c r="K191" s="592"/>
      <c r="L191" s="675"/>
      <c r="M191" s="593"/>
      <c r="N191" s="609">
        <v>1976400</v>
      </c>
      <c r="O191" s="688">
        <v>1383480</v>
      </c>
      <c r="P191" s="691">
        <v>44769</v>
      </c>
      <c r="Q191" s="688">
        <v>592920</v>
      </c>
      <c r="R191" s="447">
        <v>44919</v>
      </c>
      <c r="S191" s="678">
        <v>44919</v>
      </c>
    </row>
    <row r="192" spans="1:20" ht="45" x14ac:dyDescent="0.25">
      <c r="A192" s="629" t="s">
        <v>495</v>
      </c>
      <c r="B192" s="676" t="s">
        <v>4</v>
      </c>
      <c r="C192" s="63">
        <v>44671</v>
      </c>
      <c r="D192" s="593" t="s">
        <v>3447</v>
      </c>
      <c r="E192" s="607" t="s">
        <v>2855</v>
      </c>
      <c r="F192" s="613" t="s">
        <v>2854</v>
      </c>
      <c r="G192" s="613"/>
      <c r="H192" s="679" t="s">
        <v>72</v>
      </c>
      <c r="I192" s="593" t="s">
        <v>2856</v>
      </c>
      <c r="J192" s="593" t="s">
        <v>2867</v>
      </c>
      <c r="K192" s="592"/>
      <c r="L192" s="675"/>
      <c r="M192" s="593" t="s">
        <v>2857</v>
      </c>
      <c r="N192" s="609">
        <v>5804700</v>
      </c>
      <c r="O192" s="688">
        <v>4063290</v>
      </c>
      <c r="P192" s="691">
        <v>44693</v>
      </c>
      <c r="Q192" s="688">
        <v>1741410</v>
      </c>
      <c r="R192" s="447">
        <v>44843</v>
      </c>
      <c r="S192" s="678">
        <v>44859</v>
      </c>
    </row>
    <row r="193" spans="1:19" ht="45" x14ac:dyDescent="0.25">
      <c r="A193" s="629" t="s">
        <v>495</v>
      </c>
      <c r="B193" s="592" t="s">
        <v>4</v>
      </c>
      <c r="C193" s="717">
        <v>45152</v>
      </c>
      <c r="D193" s="593" t="s">
        <v>3447</v>
      </c>
      <c r="E193" s="593" t="s">
        <v>3547</v>
      </c>
      <c r="F193" s="592" t="s">
        <v>360</v>
      </c>
      <c r="G193" t="s">
        <v>3548</v>
      </c>
      <c r="H193" s="608" t="s">
        <v>72</v>
      </c>
      <c r="I193" s="593" t="s">
        <v>3549</v>
      </c>
      <c r="L193" s="675"/>
      <c r="M193" s="239"/>
      <c r="N193" s="549">
        <v>6562500</v>
      </c>
      <c r="O193" s="677">
        <v>6562500</v>
      </c>
      <c r="P193" s="695">
        <v>45154</v>
      </c>
      <c r="Q193" s="677">
        <v>0</v>
      </c>
      <c r="R193" s="52" t="s">
        <v>3550</v>
      </c>
      <c r="S193" s="628">
        <v>45260</v>
      </c>
    </row>
    <row r="194" spans="1:19" ht="45" x14ac:dyDescent="0.25">
      <c r="A194" s="629" t="s">
        <v>495</v>
      </c>
      <c r="B194" s="676" t="s">
        <v>4</v>
      </c>
      <c r="C194" s="63">
        <v>44700</v>
      </c>
      <c r="D194" s="593" t="s">
        <v>3447</v>
      </c>
      <c r="E194" s="607" t="s">
        <v>2873</v>
      </c>
      <c r="F194" s="613" t="s">
        <v>360</v>
      </c>
      <c r="G194" s="613"/>
      <c r="H194" s="679" t="s">
        <v>72</v>
      </c>
      <c r="I194" s="593" t="s">
        <v>2866</v>
      </c>
      <c r="J194" s="593" t="s">
        <v>2868</v>
      </c>
      <c r="K194" s="592"/>
      <c r="L194" s="675"/>
      <c r="M194" s="593"/>
      <c r="N194" s="609">
        <v>1934900</v>
      </c>
      <c r="O194" s="688">
        <v>1354900</v>
      </c>
      <c r="P194" s="691">
        <v>44713</v>
      </c>
      <c r="Q194" s="688">
        <v>580000</v>
      </c>
      <c r="R194" s="447">
        <v>44863</v>
      </c>
      <c r="S194" s="678">
        <v>44868</v>
      </c>
    </row>
    <row r="195" spans="1:19" x14ac:dyDescent="0.25">
      <c r="A195" s="686" t="s">
        <v>495</v>
      </c>
      <c r="B195" s="676" t="s">
        <v>4</v>
      </c>
      <c r="C195" s="63">
        <v>44630</v>
      </c>
      <c r="D195" s="593" t="s">
        <v>3447</v>
      </c>
      <c r="E195" s="607" t="s">
        <v>2691</v>
      </c>
      <c r="F195" s="592" t="s">
        <v>360</v>
      </c>
      <c r="G195" s="592"/>
      <c r="H195" s="679" t="s">
        <v>72</v>
      </c>
      <c r="I195" s="593" t="s">
        <v>2689</v>
      </c>
      <c r="J195" s="595">
        <v>44767</v>
      </c>
      <c r="K195" s="595">
        <v>44712</v>
      </c>
      <c r="L195" s="675" t="s">
        <v>2876</v>
      </c>
      <c r="M195" s="593"/>
      <c r="N195" s="546">
        <v>6930</v>
      </c>
      <c r="O195" s="688">
        <v>6930</v>
      </c>
      <c r="P195" s="691">
        <v>44630</v>
      </c>
      <c r="Q195" s="688">
        <v>0</v>
      </c>
      <c r="R195" s="447">
        <v>44630</v>
      </c>
      <c r="S195" s="691"/>
    </row>
    <row r="196" spans="1:19" ht="30" x14ac:dyDescent="0.25">
      <c r="A196" s="629" t="s">
        <v>495</v>
      </c>
      <c r="B196" s="676" t="s">
        <v>4</v>
      </c>
      <c r="C196" s="63">
        <v>44704</v>
      </c>
      <c r="D196" s="593" t="s">
        <v>3447</v>
      </c>
      <c r="E196" s="607" t="s">
        <v>2869</v>
      </c>
      <c r="F196" s="613" t="s">
        <v>360</v>
      </c>
      <c r="G196" s="613"/>
      <c r="H196" s="679" t="s">
        <v>262</v>
      </c>
      <c r="I196" s="593" t="s">
        <v>2872</v>
      </c>
      <c r="J196" s="595">
        <v>44841</v>
      </c>
      <c r="K196" s="592"/>
      <c r="L196" s="675"/>
      <c r="M196" s="593"/>
      <c r="N196" s="609">
        <v>653000</v>
      </c>
      <c r="O196" s="688">
        <v>457100</v>
      </c>
      <c r="P196" s="691">
        <v>44721</v>
      </c>
      <c r="Q196" s="688">
        <v>195900</v>
      </c>
      <c r="R196" s="447">
        <v>45001</v>
      </c>
      <c r="S196" s="678">
        <v>44636</v>
      </c>
    </row>
    <row r="197" spans="1:19" ht="30" x14ac:dyDescent="0.25">
      <c r="A197" s="629" t="s">
        <v>495</v>
      </c>
      <c r="B197" s="676" t="s">
        <v>4</v>
      </c>
      <c r="C197" s="63">
        <v>44916</v>
      </c>
      <c r="D197" s="607" t="s">
        <v>12</v>
      </c>
      <c r="E197" s="607" t="s">
        <v>3071</v>
      </c>
      <c r="F197" s="613" t="s">
        <v>730</v>
      </c>
      <c r="G197" s="613"/>
      <c r="H197" s="679" t="s">
        <v>72</v>
      </c>
      <c r="I197" s="593" t="s">
        <v>3079</v>
      </c>
      <c r="J197" s="595"/>
      <c r="K197" s="592"/>
      <c r="L197" s="675"/>
      <c r="M197" s="593"/>
      <c r="N197" s="609">
        <v>62400</v>
      </c>
      <c r="O197" s="688">
        <v>0</v>
      </c>
      <c r="P197" s="691" t="s">
        <v>3080</v>
      </c>
      <c r="Q197" s="688">
        <v>62400</v>
      </c>
      <c r="R197" s="447">
        <v>44917</v>
      </c>
      <c r="S197" s="678">
        <v>44925</v>
      </c>
    </row>
    <row r="198" spans="1:19" ht="45" x14ac:dyDescent="0.25">
      <c r="A198" s="629" t="s">
        <v>495</v>
      </c>
      <c r="B198" s="676" t="s">
        <v>4</v>
      </c>
      <c r="C198" s="63">
        <v>44596</v>
      </c>
      <c r="D198" s="593" t="s">
        <v>3447</v>
      </c>
      <c r="E198" s="676" t="s">
        <v>2685</v>
      </c>
      <c r="F198" s="33" t="s">
        <v>360</v>
      </c>
      <c r="G198" s="33"/>
      <c r="H198" s="679" t="s">
        <v>72</v>
      </c>
      <c r="I198" s="239" t="s">
        <v>2693</v>
      </c>
      <c r="J198" s="35">
        <v>44686</v>
      </c>
      <c r="K198" s="35">
        <v>44678</v>
      </c>
      <c r="L198" s="675" t="s">
        <v>2828</v>
      </c>
      <c r="M198" s="239"/>
      <c r="N198" s="546">
        <v>806900</v>
      </c>
      <c r="O198" s="688">
        <v>564830</v>
      </c>
      <c r="P198" s="695">
        <v>44596</v>
      </c>
      <c r="Q198" s="688">
        <v>242070</v>
      </c>
      <c r="R198" s="447">
        <v>44756</v>
      </c>
      <c r="S198" s="691">
        <v>44686</v>
      </c>
    </row>
    <row r="199" spans="1:19" ht="45" x14ac:dyDescent="0.25">
      <c r="A199" s="629" t="s">
        <v>495</v>
      </c>
      <c r="B199" s="676" t="s">
        <v>4</v>
      </c>
      <c r="C199" s="63">
        <v>44588</v>
      </c>
      <c r="D199" s="593" t="s">
        <v>3447</v>
      </c>
      <c r="E199" s="676" t="s">
        <v>2686</v>
      </c>
      <c r="F199" s="33" t="s">
        <v>2687</v>
      </c>
      <c r="G199" s="33"/>
      <c r="H199" s="679" t="s">
        <v>72</v>
      </c>
      <c r="I199" s="239" t="s">
        <v>2694</v>
      </c>
      <c r="J199" s="35">
        <v>44704</v>
      </c>
      <c r="K199" s="35">
        <v>44707</v>
      </c>
      <c r="L199" s="675" t="s">
        <v>2864</v>
      </c>
      <c r="M199" s="239" t="s">
        <v>2688</v>
      </c>
      <c r="N199" s="546">
        <v>2420700</v>
      </c>
      <c r="O199" s="688">
        <v>1694490</v>
      </c>
      <c r="P199" s="695">
        <v>44614</v>
      </c>
      <c r="Q199" s="688">
        <v>726210</v>
      </c>
      <c r="R199" s="447">
        <v>44756</v>
      </c>
      <c r="S199" s="691">
        <v>44764</v>
      </c>
    </row>
    <row r="200" spans="1:19" ht="60" x14ac:dyDescent="0.25">
      <c r="A200" s="629" t="s">
        <v>495</v>
      </c>
      <c r="B200" s="676" t="s">
        <v>4</v>
      </c>
      <c r="C200" s="63">
        <v>44588</v>
      </c>
      <c r="D200" s="593" t="s">
        <v>3447</v>
      </c>
      <c r="E200" s="676" t="s">
        <v>2690</v>
      </c>
      <c r="F200" s="33" t="s">
        <v>360</v>
      </c>
      <c r="G200" s="33"/>
      <c r="H200" s="679" t="s">
        <v>72</v>
      </c>
      <c r="I200" s="239" t="s">
        <v>2692</v>
      </c>
      <c r="J200" s="35">
        <v>44658</v>
      </c>
      <c r="L200" s="675" t="s">
        <v>2907</v>
      </c>
      <c r="M200" s="239"/>
      <c r="N200" s="546">
        <v>110360</v>
      </c>
      <c r="O200" s="688">
        <v>77252</v>
      </c>
      <c r="P200" s="695">
        <v>44588</v>
      </c>
      <c r="Q200" s="688">
        <v>33108</v>
      </c>
      <c r="R200" s="447">
        <v>44630</v>
      </c>
      <c r="S200" s="691">
        <v>44658</v>
      </c>
    </row>
    <row r="201" spans="1:19" ht="45" x14ac:dyDescent="0.25">
      <c r="A201" s="239" t="s">
        <v>495</v>
      </c>
      <c r="B201" s="676" t="s">
        <v>4</v>
      </c>
      <c r="C201" s="63">
        <v>44386</v>
      </c>
      <c r="D201" s="593" t="s">
        <v>3447</v>
      </c>
      <c r="E201" s="614" t="s">
        <v>2417</v>
      </c>
      <c r="F201" s="33" t="s">
        <v>360</v>
      </c>
      <c r="G201" s="33"/>
      <c r="H201" s="679" t="s">
        <v>262</v>
      </c>
      <c r="I201" s="239" t="s">
        <v>2586</v>
      </c>
      <c r="K201" s="239" t="s">
        <v>2587</v>
      </c>
      <c r="L201" s="675"/>
      <c r="M201" s="51" t="s">
        <v>1329</v>
      </c>
      <c r="N201" s="552">
        <v>210000</v>
      </c>
      <c r="O201" s="677">
        <v>147000</v>
      </c>
      <c r="P201" s="695">
        <v>44386</v>
      </c>
      <c r="Q201" s="677">
        <v>63000</v>
      </c>
      <c r="R201" s="52">
        <v>44610</v>
      </c>
      <c r="S201" s="680" t="s">
        <v>3508</v>
      </c>
    </row>
    <row r="202" spans="1:19" ht="30" x14ac:dyDescent="0.25">
      <c r="A202" s="239" t="s">
        <v>495</v>
      </c>
      <c r="B202" s="676" t="s">
        <v>4</v>
      </c>
      <c r="C202" s="63">
        <v>44081</v>
      </c>
      <c r="D202" s="593" t="s">
        <v>3447</v>
      </c>
      <c r="E202" s="614" t="s">
        <v>2124</v>
      </c>
      <c r="F202" s="33" t="s">
        <v>360</v>
      </c>
      <c r="G202" s="33"/>
      <c r="H202" s="679" t="s">
        <v>72</v>
      </c>
      <c r="I202" s="51" t="s">
        <v>2332</v>
      </c>
      <c r="J202" s="35">
        <v>44155</v>
      </c>
      <c r="K202" s="239" t="s">
        <v>2331</v>
      </c>
      <c r="L202" s="675"/>
      <c r="M202" s="51" t="s">
        <v>1329</v>
      </c>
      <c r="N202" s="552">
        <v>719120</v>
      </c>
      <c r="O202" s="677">
        <v>503384</v>
      </c>
      <c r="P202" s="696">
        <v>44169</v>
      </c>
      <c r="Q202" s="677">
        <f>Projects[[#This Row],[Price of Agreement]]-Projects[[#This Row],[Advance Payment]]</f>
        <v>215736</v>
      </c>
      <c r="R202" s="52">
        <v>44442</v>
      </c>
      <c r="S202" s="680">
        <v>44155</v>
      </c>
    </row>
    <row r="203" spans="1:19" ht="30" x14ac:dyDescent="0.25">
      <c r="A203" s="239" t="s">
        <v>495</v>
      </c>
      <c r="B203" s="676" t="s">
        <v>4</v>
      </c>
      <c r="C203" s="63">
        <v>44235</v>
      </c>
      <c r="D203" s="593" t="s">
        <v>3447</v>
      </c>
      <c r="E203" s="614" t="s">
        <v>2237</v>
      </c>
      <c r="F203" s="33" t="s">
        <v>360</v>
      </c>
      <c r="G203" s="33"/>
      <c r="H203" s="679" t="s">
        <v>72</v>
      </c>
      <c r="I203" s="51" t="s">
        <v>2238</v>
      </c>
      <c r="J203" s="35">
        <v>44351</v>
      </c>
      <c r="K203" s="239" t="s">
        <v>2387</v>
      </c>
      <c r="L203" s="675"/>
      <c r="M203" s="51" t="s">
        <v>1329</v>
      </c>
      <c r="N203" s="551">
        <v>353100</v>
      </c>
      <c r="O203" s="690">
        <v>247170</v>
      </c>
      <c r="P203" s="697">
        <v>44259</v>
      </c>
      <c r="Q203" s="677">
        <v>105930</v>
      </c>
      <c r="R203" s="52">
        <v>44364</v>
      </c>
      <c r="S203" s="680">
        <v>44357</v>
      </c>
    </row>
    <row r="204" spans="1:19" ht="30" x14ac:dyDescent="0.25">
      <c r="A204" s="239" t="s">
        <v>495</v>
      </c>
      <c r="B204" s="676" t="s">
        <v>4</v>
      </c>
      <c r="C204" s="63">
        <v>44229</v>
      </c>
      <c r="D204" s="239" t="s">
        <v>3509</v>
      </c>
      <c r="E204" s="676" t="s">
        <v>3022</v>
      </c>
      <c r="F204" s="33" t="s">
        <v>360</v>
      </c>
      <c r="G204" s="33"/>
      <c r="H204" s="679" t="s">
        <v>72</v>
      </c>
      <c r="I204" s="239" t="s">
        <v>2226</v>
      </c>
      <c r="J204" s="35">
        <v>44229</v>
      </c>
      <c r="K204" s="33" t="s">
        <v>2228</v>
      </c>
      <c r="L204" s="675"/>
      <c r="M204" s="239" t="s">
        <v>2227</v>
      </c>
      <c r="N204" s="555">
        <v>353100</v>
      </c>
      <c r="O204" s="690">
        <v>353100</v>
      </c>
      <c r="P204" s="695">
        <v>44236</v>
      </c>
      <c r="Q204" s="677">
        <v>0</v>
      </c>
      <c r="R204" s="52">
        <v>44236</v>
      </c>
      <c r="S204" s="680">
        <v>44239</v>
      </c>
    </row>
    <row r="205" spans="1:19" ht="75" x14ac:dyDescent="0.25">
      <c r="A205" s="239" t="s">
        <v>495</v>
      </c>
      <c r="B205" s="676" t="s">
        <v>4</v>
      </c>
      <c r="C205" s="63"/>
      <c r="D205" s="63" t="s">
        <v>2017</v>
      </c>
      <c r="E205" s="676" t="s">
        <v>3525</v>
      </c>
      <c r="F205" s="33"/>
      <c r="G205" s="33"/>
      <c r="H205" s="679" t="s">
        <v>72</v>
      </c>
      <c r="I205" s="239" t="s">
        <v>3527</v>
      </c>
      <c r="J205" s="35"/>
      <c r="L205" s="675"/>
      <c r="M205" s="239"/>
      <c r="N205" s="555"/>
      <c r="O205" s="690"/>
      <c r="P205" s="695"/>
      <c r="Q205" s="677"/>
      <c r="R205" s="52"/>
      <c r="S205" s="680"/>
    </row>
    <row r="206" spans="1:19" ht="45" x14ac:dyDescent="0.25">
      <c r="A206" s="629" t="s">
        <v>495</v>
      </c>
      <c r="B206" s="676" t="s">
        <v>4</v>
      </c>
      <c r="C206" s="63">
        <v>44939</v>
      </c>
      <c r="D206" s="593" t="s">
        <v>3447</v>
      </c>
      <c r="E206" s="683" t="s">
        <v>3077</v>
      </c>
      <c r="F206" s="592" t="s">
        <v>2854</v>
      </c>
      <c r="G206" s="592"/>
      <c r="H206" s="679" t="s">
        <v>72</v>
      </c>
      <c r="I206" s="593" t="s">
        <v>3078</v>
      </c>
      <c r="J206" s="592"/>
      <c r="K206" s="592"/>
      <c r="L206" s="675"/>
      <c r="M206" s="593"/>
      <c r="N206" s="548">
        <v>4375000</v>
      </c>
      <c r="O206" s="688">
        <v>3062500</v>
      </c>
      <c r="P206" s="694">
        <v>44970</v>
      </c>
      <c r="Q206" s="688">
        <v>1312500</v>
      </c>
      <c r="R206" s="447">
        <v>45132</v>
      </c>
      <c r="S206" s="693">
        <v>45120</v>
      </c>
    </row>
    <row r="207" spans="1:19" ht="30" x14ac:dyDescent="0.25">
      <c r="A207" s="629" t="s">
        <v>495</v>
      </c>
      <c r="B207" s="676" t="s">
        <v>4</v>
      </c>
      <c r="C207" s="63">
        <v>44209</v>
      </c>
      <c r="D207" s="593" t="s">
        <v>2329</v>
      </c>
      <c r="E207" s="607" t="s">
        <v>2328</v>
      </c>
      <c r="F207" s="592" t="s">
        <v>360</v>
      </c>
      <c r="G207" s="675" t="s">
        <v>3542</v>
      </c>
      <c r="H207" s="679" t="s">
        <v>72</v>
      </c>
      <c r="I207" s="593" t="s">
        <v>2865</v>
      </c>
      <c r="J207" s="595">
        <v>44319</v>
      </c>
      <c r="K207" s="592" t="s">
        <v>2465</v>
      </c>
      <c r="L207" s="675"/>
      <c r="M207" s="593" t="s">
        <v>2236</v>
      </c>
      <c r="N207" s="548">
        <v>1020000</v>
      </c>
      <c r="O207" s="718">
        <v>714000</v>
      </c>
      <c r="P207" s="760">
        <v>44386</v>
      </c>
      <c r="Q207" s="718">
        <f>Projects[[#This Row],[Price of Agreement]]-Projects[[#This Row],[Advance Payment]]</f>
        <v>306000</v>
      </c>
      <c r="R207" s="692" t="s">
        <v>3552</v>
      </c>
      <c r="S207" s="719">
        <v>44484</v>
      </c>
    </row>
    <row r="208" spans="1:19" x14ac:dyDescent="0.25">
      <c r="A208" s="629" t="s">
        <v>495</v>
      </c>
      <c r="B208" s="676" t="s">
        <v>4</v>
      </c>
      <c r="C208" s="717">
        <v>44942</v>
      </c>
      <c r="D208" s="593"/>
      <c r="E208" s="607" t="s">
        <v>3638</v>
      </c>
      <c r="F208" s="592"/>
      <c r="G208" s="675"/>
      <c r="H208" s="201" t="s">
        <v>2815</v>
      </c>
      <c r="I208" s="593" t="s">
        <v>3639</v>
      </c>
      <c r="J208" s="595"/>
      <c r="K208" s="592"/>
      <c r="L208" s="675"/>
      <c r="M208" s="593"/>
      <c r="N208" s="548">
        <v>26400</v>
      </c>
      <c r="O208" s="739"/>
      <c r="P208" s="732"/>
      <c r="Q208" s="739"/>
      <c r="R208" s="692"/>
      <c r="S208" s="740"/>
    </row>
    <row r="209" spans="1:21" x14ac:dyDescent="0.25">
      <c r="A209" s="593" t="s">
        <v>496</v>
      </c>
      <c r="B209" s="676" t="s">
        <v>4</v>
      </c>
      <c r="C209" s="717">
        <v>44942</v>
      </c>
      <c r="D209" s="1"/>
      <c r="E209" s="683" t="s">
        <v>3640</v>
      </c>
      <c r="G209" s="675"/>
      <c r="H209" s="201" t="s">
        <v>2815</v>
      </c>
      <c r="I209" s="239" t="s">
        <v>3641</v>
      </c>
      <c r="L209" s="675"/>
      <c r="M209" s="239"/>
      <c r="N209" s="549"/>
      <c r="O209" s="728"/>
      <c r="P209" s="761"/>
      <c r="Q209" s="728"/>
      <c r="R209" s="52"/>
      <c r="S209" s="729"/>
    </row>
    <row r="210" spans="1:21" ht="30" x14ac:dyDescent="0.25">
      <c r="A210" s="239" t="s">
        <v>495</v>
      </c>
      <c r="B210" s="239" t="s">
        <v>864</v>
      </c>
      <c r="C210" s="717">
        <v>44562</v>
      </c>
      <c r="D210" s="1"/>
      <c r="E210" s="614" t="s">
        <v>3690</v>
      </c>
      <c r="G210" s="675"/>
      <c r="H210" s="679"/>
      <c r="I210" s="239" t="s">
        <v>3843</v>
      </c>
      <c r="L210" s="675"/>
      <c r="M210" s="239"/>
      <c r="N210" s="549"/>
      <c r="O210" s="728"/>
      <c r="P210" s="761"/>
      <c r="Q210" s="728"/>
      <c r="R210" s="52"/>
      <c r="S210" s="729"/>
    </row>
    <row r="211" spans="1:21" ht="30" x14ac:dyDescent="0.25">
      <c r="A211" s="239"/>
      <c r="B211" s="239" t="s">
        <v>864</v>
      </c>
      <c r="C211" s="717">
        <v>44927</v>
      </c>
      <c r="D211" s="1"/>
      <c r="E211" s="614" t="s">
        <v>3691</v>
      </c>
      <c r="G211" s="675"/>
      <c r="H211" s="679"/>
      <c r="I211" s="239" t="s">
        <v>3843</v>
      </c>
      <c r="L211" s="675"/>
      <c r="M211" s="239"/>
      <c r="N211" s="549"/>
      <c r="O211" s="728"/>
      <c r="P211" s="761"/>
      <c r="Q211" s="728"/>
      <c r="R211" s="52"/>
      <c r="S211" s="729"/>
    </row>
    <row r="212" spans="1:21" ht="105" x14ac:dyDescent="0.25">
      <c r="A212" s="239" t="s">
        <v>496</v>
      </c>
      <c r="B212" s="676"/>
      <c r="C212" s="717">
        <v>45335</v>
      </c>
      <c r="D212" s="239"/>
      <c r="E212" s="676" t="s">
        <v>3730</v>
      </c>
      <c r="F212" s="33" t="s">
        <v>360</v>
      </c>
      <c r="G212" s="675" t="s">
        <v>3708</v>
      </c>
      <c r="H212" s="679" t="s">
        <v>72</v>
      </c>
      <c r="I212" s="239" t="s">
        <v>3709</v>
      </c>
      <c r="L212" s="675"/>
      <c r="M212" s="239"/>
      <c r="N212" s="549">
        <v>39430.47</v>
      </c>
      <c r="O212" s="549">
        <v>39430.47</v>
      </c>
      <c r="P212" s="761">
        <v>45362</v>
      </c>
      <c r="Q212" s="549">
        <v>39430.47</v>
      </c>
      <c r="R212" s="52"/>
      <c r="S212" s="729">
        <v>45376</v>
      </c>
    </row>
    <row r="213" spans="1:21" x14ac:dyDescent="0.25">
      <c r="A213" s="239" t="s">
        <v>496</v>
      </c>
      <c r="B213" s="792"/>
      <c r="C213" s="793">
        <v>45309</v>
      </c>
      <c r="D213" s="792" t="s">
        <v>12</v>
      </c>
      <c r="E213" s="792" t="s">
        <v>3860</v>
      </c>
      <c r="F213" s="794" t="s">
        <v>3855</v>
      </c>
      <c r="G213" s="794" t="s">
        <v>3858</v>
      </c>
      <c r="H213" s="795" t="s">
        <v>72</v>
      </c>
      <c r="I213" s="792" t="s">
        <v>3859</v>
      </c>
      <c r="J213" s="794"/>
      <c r="K213" s="794"/>
      <c r="L213" s="794"/>
      <c r="M213" s="792"/>
      <c r="N213" s="796">
        <v>4909300</v>
      </c>
      <c r="O213" s="797">
        <v>2454650</v>
      </c>
      <c r="P213" s="800">
        <v>45407</v>
      </c>
      <c r="Q213" s="797">
        <v>2454650</v>
      </c>
      <c r="R213" s="798"/>
      <c r="S213" s="799">
        <v>45557</v>
      </c>
      <c r="U213" s="33" t="s">
        <v>3857</v>
      </c>
    </row>
    <row r="216" spans="1:21" x14ac:dyDescent="0.25">
      <c r="P216" s="35"/>
    </row>
    <row r="217" spans="1:21" x14ac:dyDescent="0.25">
      <c r="P217" s="35"/>
    </row>
    <row r="218" spans="1:21" x14ac:dyDescent="0.25">
      <c r="P218" s="35"/>
    </row>
    <row r="226" spans="14:14" x14ac:dyDescent="0.25">
      <c r="N226" s="549"/>
    </row>
  </sheetData>
  <sheetProtection selectLockedCells="1" selectUnlockedCells="1"/>
  <phoneticPr fontId="78" type="noConversion"/>
  <conditionalFormatting sqref="A148 A164:A165 A154:A156 A167:A208 A65:A66 A212:A4039 A68:A146 A2:A9 A16:A62">
    <cfRule type="containsText" dxfId="313" priority="237" operator="containsText" text="Open">
      <formula>NOT(ISERROR(SEARCH("Open",A2)))</formula>
    </cfRule>
    <cfRule type="containsText" dxfId="312" priority="238" operator="containsText" text="Closed">
      <formula>NOT(ISERROR(SEARCH("Closed",A2)))</formula>
    </cfRule>
    <cfRule type="cellIs" dxfId="311" priority="239" operator="equal">
      <formula>"Planned"</formula>
    </cfRule>
  </conditionalFormatting>
  <conditionalFormatting sqref="A135">
    <cfRule type="containsText" dxfId="310" priority="234" operator="containsText" text="Open">
      <formula>NOT(ISERROR(SEARCH("Open",A135)))</formula>
    </cfRule>
    <cfRule type="containsText" dxfId="309" priority="235" operator="containsText" text="Closed">
      <formula>NOT(ISERROR(SEARCH("Closed",A135)))</formula>
    </cfRule>
    <cfRule type="cellIs" dxfId="308" priority="236" operator="equal">
      <formula>"Planned"</formula>
    </cfRule>
  </conditionalFormatting>
  <conditionalFormatting sqref="A136">
    <cfRule type="containsText" dxfId="307" priority="231" operator="containsText" text="Open">
      <formula>NOT(ISERROR(SEARCH("Open",A136)))</formula>
    </cfRule>
    <cfRule type="containsText" dxfId="306" priority="232" operator="containsText" text="Closed">
      <formula>NOT(ISERROR(SEARCH("Closed",A136)))</formula>
    </cfRule>
    <cfRule type="cellIs" dxfId="305" priority="233" operator="equal">
      <formula>"Planned"</formula>
    </cfRule>
  </conditionalFormatting>
  <conditionalFormatting sqref="A136">
    <cfRule type="containsText" dxfId="304" priority="228" operator="containsText" text="Open">
      <formula>NOT(ISERROR(SEARCH("Open",A136)))</formula>
    </cfRule>
    <cfRule type="containsText" dxfId="303" priority="229" operator="containsText" text="Closed">
      <formula>NOT(ISERROR(SEARCH("Closed",A136)))</formula>
    </cfRule>
    <cfRule type="cellIs" dxfId="302" priority="230" operator="equal">
      <formula>"Planned"</formula>
    </cfRule>
  </conditionalFormatting>
  <conditionalFormatting sqref="A137">
    <cfRule type="containsText" dxfId="301" priority="225" operator="containsText" text="Open">
      <formula>NOT(ISERROR(SEARCH("Open",A137)))</formula>
    </cfRule>
    <cfRule type="containsText" dxfId="300" priority="226" operator="containsText" text="Closed">
      <formula>NOT(ISERROR(SEARCH("Closed",A137)))</formula>
    </cfRule>
    <cfRule type="cellIs" dxfId="299" priority="227" operator="equal">
      <formula>"Planned"</formula>
    </cfRule>
  </conditionalFormatting>
  <conditionalFormatting sqref="A137">
    <cfRule type="containsText" dxfId="298" priority="222" operator="containsText" text="Open">
      <formula>NOT(ISERROR(SEARCH("Open",A137)))</formula>
    </cfRule>
    <cfRule type="containsText" dxfId="297" priority="223" operator="containsText" text="Closed">
      <formula>NOT(ISERROR(SEARCH("Closed",A137)))</formula>
    </cfRule>
    <cfRule type="cellIs" dxfId="296" priority="224" operator="equal">
      <formula>"Planned"</formula>
    </cfRule>
  </conditionalFormatting>
  <conditionalFormatting sqref="A138">
    <cfRule type="containsText" dxfId="295" priority="219" operator="containsText" text="Open">
      <formula>NOT(ISERROR(SEARCH("Open",A138)))</formula>
    </cfRule>
    <cfRule type="containsText" dxfId="294" priority="220" operator="containsText" text="Closed">
      <formula>NOT(ISERROR(SEARCH("Closed",A138)))</formula>
    </cfRule>
    <cfRule type="cellIs" dxfId="293" priority="221" operator="equal">
      <formula>"Planned"</formula>
    </cfRule>
  </conditionalFormatting>
  <conditionalFormatting sqref="A138">
    <cfRule type="containsText" dxfId="292" priority="216" operator="containsText" text="Open">
      <formula>NOT(ISERROR(SEARCH("Open",A138)))</formula>
    </cfRule>
    <cfRule type="containsText" dxfId="291" priority="217" operator="containsText" text="Closed">
      <formula>NOT(ISERROR(SEARCH("Closed",A138)))</formula>
    </cfRule>
    <cfRule type="cellIs" dxfId="290" priority="218" operator="equal">
      <formula>"Planned"</formula>
    </cfRule>
  </conditionalFormatting>
  <conditionalFormatting sqref="A139">
    <cfRule type="containsText" dxfId="289" priority="213" operator="containsText" text="Open">
      <formula>NOT(ISERROR(SEARCH("Open",A139)))</formula>
    </cfRule>
    <cfRule type="containsText" dxfId="288" priority="214" operator="containsText" text="Closed">
      <formula>NOT(ISERROR(SEARCH("Closed",A139)))</formula>
    </cfRule>
    <cfRule type="cellIs" dxfId="287" priority="215" operator="equal">
      <formula>"Planned"</formula>
    </cfRule>
  </conditionalFormatting>
  <conditionalFormatting sqref="A139">
    <cfRule type="containsText" dxfId="286" priority="210" operator="containsText" text="Open">
      <formula>NOT(ISERROR(SEARCH("Open",A139)))</formula>
    </cfRule>
    <cfRule type="containsText" dxfId="285" priority="211" operator="containsText" text="Closed">
      <formula>NOT(ISERROR(SEARCH("Closed",A139)))</formula>
    </cfRule>
    <cfRule type="cellIs" dxfId="284" priority="212" operator="equal">
      <formula>"Planned"</formula>
    </cfRule>
  </conditionalFormatting>
  <conditionalFormatting sqref="A140">
    <cfRule type="containsText" dxfId="283" priority="207" operator="containsText" text="Open">
      <formula>NOT(ISERROR(SEARCH("Open",A140)))</formula>
    </cfRule>
    <cfRule type="containsText" dxfId="282" priority="208" operator="containsText" text="Closed">
      <formula>NOT(ISERROR(SEARCH("Closed",A140)))</formula>
    </cfRule>
    <cfRule type="cellIs" dxfId="281" priority="209" operator="equal">
      <formula>"Planned"</formula>
    </cfRule>
  </conditionalFormatting>
  <conditionalFormatting sqref="A140">
    <cfRule type="containsText" dxfId="280" priority="204" operator="containsText" text="Open">
      <formula>NOT(ISERROR(SEARCH("Open",A140)))</formula>
    </cfRule>
    <cfRule type="containsText" dxfId="279" priority="205" operator="containsText" text="Closed">
      <formula>NOT(ISERROR(SEARCH("Closed",A140)))</formula>
    </cfRule>
    <cfRule type="cellIs" dxfId="278" priority="206" operator="equal">
      <formula>"Planned"</formula>
    </cfRule>
  </conditionalFormatting>
  <conditionalFormatting sqref="A70">
    <cfRule type="containsText" dxfId="277" priority="201" operator="containsText" text="Open">
      <formula>NOT(ISERROR(SEARCH("Open",A70)))</formula>
    </cfRule>
    <cfRule type="containsText" dxfId="276" priority="202" operator="containsText" text="Closed">
      <formula>NOT(ISERROR(SEARCH("Closed",A70)))</formula>
    </cfRule>
    <cfRule type="cellIs" dxfId="275" priority="203" operator="equal">
      <formula>"Planned"</formula>
    </cfRule>
  </conditionalFormatting>
  <conditionalFormatting sqref="A70">
    <cfRule type="containsText" dxfId="274" priority="198" operator="containsText" text="Open">
      <formula>NOT(ISERROR(SEARCH("Open",A70)))</formula>
    </cfRule>
    <cfRule type="containsText" dxfId="273" priority="199" operator="containsText" text="Closed">
      <formula>NOT(ISERROR(SEARCH("Closed",A70)))</formula>
    </cfRule>
    <cfRule type="cellIs" dxfId="272" priority="200" operator="equal">
      <formula>"Planned"</formula>
    </cfRule>
  </conditionalFormatting>
  <conditionalFormatting sqref="A141">
    <cfRule type="containsText" dxfId="271" priority="195" operator="containsText" text="Open">
      <formula>NOT(ISERROR(SEARCH("Open",A141)))</formula>
    </cfRule>
    <cfRule type="containsText" dxfId="270" priority="196" operator="containsText" text="Closed">
      <formula>NOT(ISERROR(SEARCH("Closed",A141)))</formula>
    </cfRule>
    <cfRule type="cellIs" dxfId="269" priority="197" operator="equal">
      <formula>"Planned"</formula>
    </cfRule>
  </conditionalFormatting>
  <conditionalFormatting sqref="A141">
    <cfRule type="containsText" dxfId="268" priority="192" operator="containsText" text="Open">
      <formula>NOT(ISERROR(SEARCH("Open",A141)))</formula>
    </cfRule>
    <cfRule type="containsText" dxfId="267" priority="193" operator="containsText" text="Closed">
      <formula>NOT(ISERROR(SEARCH("Closed",A141)))</formula>
    </cfRule>
    <cfRule type="cellIs" dxfId="266" priority="194" operator="equal">
      <formula>"Planned"</formula>
    </cfRule>
  </conditionalFormatting>
  <conditionalFormatting sqref="A146">
    <cfRule type="containsText" dxfId="265" priority="189" operator="containsText" text="Open">
      <formula>NOT(ISERROR(SEARCH("Open",A146)))</formula>
    </cfRule>
    <cfRule type="containsText" dxfId="264" priority="190" operator="containsText" text="Closed">
      <formula>NOT(ISERROR(SEARCH("Closed",A146)))</formula>
    </cfRule>
    <cfRule type="cellIs" dxfId="263" priority="191" operator="equal">
      <formula>"Planned"</formula>
    </cfRule>
  </conditionalFormatting>
  <conditionalFormatting sqref="A146">
    <cfRule type="containsText" dxfId="262" priority="186" operator="containsText" text="Open">
      <formula>NOT(ISERROR(SEARCH("Open",A146)))</formula>
    </cfRule>
    <cfRule type="containsText" dxfId="261" priority="187" operator="containsText" text="Closed">
      <formula>NOT(ISERROR(SEARCH("Closed",A146)))</formula>
    </cfRule>
    <cfRule type="cellIs" dxfId="260" priority="188" operator="equal">
      <formula>"Planned"</formula>
    </cfRule>
  </conditionalFormatting>
  <conditionalFormatting sqref="A183">
    <cfRule type="containsText" dxfId="259" priority="171" operator="containsText" text="Open">
      <formula>NOT(ISERROR(SEARCH("Open",A183)))</formula>
    </cfRule>
    <cfRule type="containsText" dxfId="258" priority="172" operator="containsText" text="Closed">
      <formula>NOT(ISERROR(SEARCH("Closed",A183)))</formula>
    </cfRule>
    <cfRule type="cellIs" dxfId="257" priority="173" operator="equal">
      <formula>"Planned"</formula>
    </cfRule>
  </conditionalFormatting>
  <conditionalFormatting sqref="A148">
    <cfRule type="containsText" dxfId="256" priority="183" operator="containsText" text="Open">
      <formula>NOT(ISERROR(SEARCH("Open",A148)))</formula>
    </cfRule>
    <cfRule type="containsText" dxfId="255" priority="184" operator="containsText" text="Closed">
      <formula>NOT(ISERROR(SEARCH("Closed",A148)))</formula>
    </cfRule>
    <cfRule type="cellIs" dxfId="254" priority="185" operator="equal">
      <formula>"Planned"</formula>
    </cfRule>
  </conditionalFormatting>
  <conditionalFormatting sqref="A148">
    <cfRule type="containsText" dxfId="253" priority="180" operator="containsText" text="Open">
      <formula>NOT(ISERROR(SEARCH("Open",A148)))</formula>
    </cfRule>
    <cfRule type="containsText" dxfId="252" priority="181" operator="containsText" text="Closed">
      <formula>NOT(ISERROR(SEARCH("Closed",A148)))</formula>
    </cfRule>
    <cfRule type="cellIs" dxfId="251" priority="182" operator="equal">
      <formula>"Planned"</formula>
    </cfRule>
  </conditionalFormatting>
  <conditionalFormatting sqref="A183">
    <cfRule type="containsText" dxfId="250" priority="177" operator="containsText" text="Open">
      <formula>NOT(ISERROR(SEARCH("Open",A183)))</formula>
    </cfRule>
    <cfRule type="containsText" dxfId="249" priority="178" operator="containsText" text="Closed">
      <formula>NOT(ISERROR(SEARCH("Closed",A183)))</formula>
    </cfRule>
    <cfRule type="cellIs" dxfId="248" priority="179" operator="equal">
      <formula>"Planned"</formula>
    </cfRule>
  </conditionalFormatting>
  <conditionalFormatting sqref="A183">
    <cfRule type="containsText" dxfId="247" priority="174" operator="containsText" text="Open">
      <formula>NOT(ISERROR(SEARCH("Open",A183)))</formula>
    </cfRule>
    <cfRule type="containsText" dxfId="246" priority="175" operator="containsText" text="Closed">
      <formula>NOT(ISERROR(SEARCH("Closed",A183)))</formula>
    </cfRule>
    <cfRule type="cellIs" dxfId="245" priority="176" operator="equal">
      <formula>"Planned"</formula>
    </cfRule>
  </conditionalFormatting>
  <conditionalFormatting sqref="A151">
    <cfRule type="containsText" dxfId="244" priority="156" operator="containsText" text="Open">
      <formula>NOT(ISERROR(SEARCH("Open",A151)))</formula>
    </cfRule>
    <cfRule type="containsText" dxfId="243" priority="157" operator="containsText" text="Closed">
      <formula>NOT(ISERROR(SEARCH("Closed",A151)))</formula>
    </cfRule>
    <cfRule type="cellIs" dxfId="242" priority="158" operator="equal">
      <formula>"Planned"</formula>
    </cfRule>
  </conditionalFormatting>
  <conditionalFormatting sqref="A151">
    <cfRule type="containsText" dxfId="241" priority="153" operator="containsText" text="Open">
      <formula>NOT(ISERROR(SEARCH("Open",A151)))</formula>
    </cfRule>
    <cfRule type="containsText" dxfId="240" priority="154" operator="containsText" text="Closed">
      <formula>NOT(ISERROR(SEARCH("Closed",A151)))</formula>
    </cfRule>
    <cfRule type="cellIs" dxfId="239" priority="155" operator="equal">
      <formula>"Planned"</formula>
    </cfRule>
  </conditionalFormatting>
  <conditionalFormatting sqref="A151">
    <cfRule type="containsText" dxfId="238" priority="159" operator="containsText" text="Open">
      <formula>NOT(ISERROR(SEARCH("Open",A151)))</formula>
    </cfRule>
    <cfRule type="containsText" dxfId="237" priority="160" operator="containsText" text="Closed">
      <formula>NOT(ISERROR(SEARCH("Closed",A151)))</formula>
    </cfRule>
    <cfRule type="cellIs" dxfId="236" priority="161" operator="equal">
      <formula>"Planned"</formula>
    </cfRule>
  </conditionalFormatting>
  <conditionalFormatting sqref="A153">
    <cfRule type="containsText" dxfId="235" priority="150" operator="containsText" text="Open">
      <formula>NOT(ISERROR(SEARCH("Open",A153)))</formula>
    </cfRule>
    <cfRule type="containsText" dxfId="234" priority="151" operator="containsText" text="Closed">
      <formula>NOT(ISERROR(SEARCH("Closed",A153)))</formula>
    </cfRule>
    <cfRule type="cellIs" dxfId="233" priority="152" operator="equal">
      <formula>"Planned"</formula>
    </cfRule>
  </conditionalFormatting>
  <conditionalFormatting sqref="A152">
    <cfRule type="containsText" dxfId="232" priority="147" operator="containsText" text="Open">
      <formula>NOT(ISERROR(SEARCH("Open",A152)))</formula>
    </cfRule>
    <cfRule type="containsText" dxfId="231" priority="148" operator="containsText" text="Closed">
      <formula>NOT(ISERROR(SEARCH("Closed",A152)))</formula>
    </cfRule>
    <cfRule type="cellIs" dxfId="230" priority="149" operator="equal">
      <formula>"Planned"</formula>
    </cfRule>
  </conditionalFormatting>
  <conditionalFormatting sqref="A150">
    <cfRule type="containsText" dxfId="229" priority="144" operator="containsText" text="Open">
      <formula>NOT(ISERROR(SEARCH("Open",A150)))</formula>
    </cfRule>
    <cfRule type="containsText" dxfId="228" priority="145" operator="containsText" text="Closed">
      <formula>NOT(ISERROR(SEARCH("Closed",A150)))</formula>
    </cfRule>
    <cfRule type="cellIs" dxfId="227" priority="146" operator="equal">
      <formula>"Planned"</formula>
    </cfRule>
  </conditionalFormatting>
  <conditionalFormatting sqref="A166">
    <cfRule type="containsText" dxfId="226" priority="141" operator="containsText" text="Open">
      <formula>NOT(ISERROR(SEARCH("Open",A166)))</formula>
    </cfRule>
    <cfRule type="containsText" dxfId="225" priority="142" operator="containsText" text="Closed">
      <formula>NOT(ISERROR(SEARCH("Closed",A166)))</formula>
    </cfRule>
    <cfRule type="cellIs" dxfId="224" priority="143" operator="equal">
      <formula>"Planned"</formula>
    </cfRule>
  </conditionalFormatting>
  <conditionalFormatting sqref="A63:A64">
    <cfRule type="containsText" dxfId="223" priority="138" operator="containsText" text="Open">
      <formula>NOT(ISERROR(SEARCH("Open",A63)))</formula>
    </cfRule>
    <cfRule type="containsText" dxfId="222" priority="139" operator="containsText" text="Closed">
      <formula>NOT(ISERROR(SEARCH("Closed",A63)))</formula>
    </cfRule>
    <cfRule type="cellIs" dxfId="221" priority="140" operator="equal">
      <formula>"Planned"</formula>
    </cfRule>
  </conditionalFormatting>
  <conditionalFormatting sqref="A75">
    <cfRule type="containsText" dxfId="220" priority="135" operator="containsText" text="Open">
      <formula>NOT(ISERROR(SEARCH("Open",A75)))</formula>
    </cfRule>
    <cfRule type="containsText" dxfId="219" priority="136" operator="containsText" text="Closed">
      <formula>NOT(ISERROR(SEARCH("Closed",A75)))</formula>
    </cfRule>
    <cfRule type="cellIs" dxfId="218" priority="137" operator="equal">
      <formula>"Planned"</formula>
    </cfRule>
  </conditionalFormatting>
  <conditionalFormatting sqref="A78">
    <cfRule type="containsText" dxfId="217" priority="132" operator="containsText" text="Open">
      <formula>NOT(ISERROR(SEARCH("Open",A78)))</formula>
    </cfRule>
    <cfRule type="containsText" dxfId="216" priority="133" operator="containsText" text="Closed">
      <formula>NOT(ISERROR(SEARCH("Closed",A78)))</formula>
    </cfRule>
    <cfRule type="cellIs" dxfId="215" priority="134" operator="equal">
      <formula>"Planned"</formula>
    </cfRule>
  </conditionalFormatting>
  <conditionalFormatting sqref="A157:A163">
    <cfRule type="containsText" dxfId="214" priority="126" operator="containsText" text="Open">
      <formula>NOT(ISERROR(SEARCH("Open",A157)))</formula>
    </cfRule>
    <cfRule type="containsText" dxfId="213" priority="127" operator="containsText" text="Closed">
      <formula>NOT(ISERROR(SEARCH("Closed",A157)))</formula>
    </cfRule>
    <cfRule type="cellIs" dxfId="212" priority="128" operator="equal">
      <formula>"Planned"</formula>
    </cfRule>
  </conditionalFormatting>
  <conditionalFormatting sqref="A157:A163">
    <cfRule type="containsText" dxfId="211" priority="123" operator="containsText" text="Open">
      <formula>NOT(ISERROR(SEARCH("Open",A157)))</formula>
    </cfRule>
    <cfRule type="containsText" dxfId="210" priority="124" operator="containsText" text="Closed">
      <formula>NOT(ISERROR(SEARCH("Closed",A157)))</formula>
    </cfRule>
    <cfRule type="cellIs" dxfId="209" priority="125" operator="equal">
      <formula>"Planned"</formula>
    </cfRule>
  </conditionalFormatting>
  <conditionalFormatting sqref="A157:A163">
    <cfRule type="containsText" dxfId="208" priority="129" operator="containsText" text="Open">
      <formula>NOT(ISERROR(SEARCH("Open",A157)))</formula>
    </cfRule>
    <cfRule type="containsText" dxfId="207" priority="130" operator="containsText" text="Closed">
      <formula>NOT(ISERROR(SEARCH("Closed",A157)))</formula>
    </cfRule>
    <cfRule type="cellIs" dxfId="206" priority="131" operator="equal">
      <formula>"Planned"</formula>
    </cfRule>
  </conditionalFormatting>
  <conditionalFormatting sqref="A147">
    <cfRule type="containsText" dxfId="205" priority="120" operator="containsText" text="Open">
      <formula>NOT(ISERROR(SEARCH("Open",A147)))</formula>
    </cfRule>
    <cfRule type="containsText" dxfId="204" priority="121" operator="containsText" text="Closed">
      <formula>NOT(ISERROR(SEARCH("Closed",A147)))</formula>
    </cfRule>
    <cfRule type="cellIs" dxfId="203" priority="122" operator="equal">
      <formula>"Planned"</formula>
    </cfRule>
  </conditionalFormatting>
  <conditionalFormatting sqref="A147">
    <cfRule type="containsText" dxfId="202" priority="117" operator="containsText" text="Open">
      <formula>NOT(ISERROR(SEARCH("Open",A147)))</formula>
    </cfRule>
    <cfRule type="containsText" dxfId="201" priority="118" operator="containsText" text="Closed">
      <formula>NOT(ISERROR(SEARCH("Closed",A147)))</formula>
    </cfRule>
    <cfRule type="cellIs" dxfId="200" priority="119" operator="equal">
      <formula>"Planned"</formula>
    </cfRule>
  </conditionalFormatting>
  <conditionalFormatting sqref="A147">
    <cfRule type="containsText" dxfId="199" priority="114" operator="containsText" text="Open">
      <formula>NOT(ISERROR(SEARCH("Open",A147)))</formula>
    </cfRule>
    <cfRule type="containsText" dxfId="198" priority="115" operator="containsText" text="Closed">
      <formula>NOT(ISERROR(SEARCH("Closed",A147)))</formula>
    </cfRule>
    <cfRule type="cellIs" dxfId="197" priority="116" operator="equal">
      <formula>"Planned"</formula>
    </cfRule>
  </conditionalFormatting>
  <conditionalFormatting sqref="A149">
    <cfRule type="containsText" dxfId="196" priority="111" operator="containsText" text="Open">
      <formula>NOT(ISERROR(SEARCH("Open",A149)))</formula>
    </cfRule>
    <cfRule type="containsText" dxfId="195" priority="112" operator="containsText" text="Closed">
      <formula>NOT(ISERROR(SEARCH("Closed",A149)))</formula>
    </cfRule>
    <cfRule type="cellIs" dxfId="194" priority="113" operator="equal">
      <formula>"Planned"</formula>
    </cfRule>
  </conditionalFormatting>
  <conditionalFormatting sqref="A149">
    <cfRule type="containsText" dxfId="193" priority="108" operator="containsText" text="Open">
      <formula>NOT(ISERROR(SEARCH("Open",A149)))</formula>
    </cfRule>
    <cfRule type="containsText" dxfId="192" priority="109" operator="containsText" text="Closed">
      <formula>NOT(ISERROR(SEARCH("Closed",A149)))</formula>
    </cfRule>
    <cfRule type="cellIs" dxfId="191" priority="110" operator="equal">
      <formula>"Planned"</formula>
    </cfRule>
  </conditionalFormatting>
  <conditionalFormatting sqref="A149">
    <cfRule type="containsText" dxfId="190" priority="105" operator="containsText" text="Open">
      <formula>NOT(ISERROR(SEARCH("Open",A149)))</formula>
    </cfRule>
    <cfRule type="containsText" dxfId="189" priority="106" operator="containsText" text="Closed">
      <formula>NOT(ISERROR(SEARCH("Closed",A149)))</formula>
    </cfRule>
    <cfRule type="cellIs" dxfId="188" priority="107" operator="equal">
      <formula>"Planned"</formula>
    </cfRule>
  </conditionalFormatting>
  <conditionalFormatting sqref="A141">
    <cfRule type="containsText" dxfId="187" priority="102" operator="containsText" text="Open">
      <formula>NOT(ISERROR(SEARCH("Open",A141)))</formula>
    </cfRule>
    <cfRule type="containsText" dxfId="186" priority="103" operator="containsText" text="Closed">
      <formula>NOT(ISERROR(SEARCH("Closed",A141)))</formula>
    </cfRule>
    <cfRule type="cellIs" dxfId="185" priority="104" operator="equal">
      <formula>"Planned"</formula>
    </cfRule>
  </conditionalFormatting>
  <conditionalFormatting sqref="A141">
    <cfRule type="containsText" dxfId="184" priority="99" operator="containsText" text="Open">
      <formula>NOT(ISERROR(SEARCH("Open",A141)))</formula>
    </cfRule>
    <cfRule type="containsText" dxfId="183" priority="100" operator="containsText" text="Closed">
      <formula>NOT(ISERROR(SEARCH("Closed",A141)))</formula>
    </cfRule>
    <cfRule type="cellIs" dxfId="182" priority="101" operator="equal">
      <formula>"Planned"</formula>
    </cfRule>
  </conditionalFormatting>
  <conditionalFormatting sqref="A80">
    <cfRule type="containsText" dxfId="181" priority="90" operator="containsText" text="Open">
      <formula>NOT(ISERROR(SEARCH("Open",A80)))</formula>
    </cfRule>
    <cfRule type="containsText" dxfId="180" priority="91" operator="containsText" text="Closed">
      <formula>NOT(ISERROR(SEARCH("Closed",A80)))</formula>
    </cfRule>
    <cfRule type="cellIs" dxfId="179" priority="92" operator="equal">
      <formula>"Planned"</formula>
    </cfRule>
  </conditionalFormatting>
  <conditionalFormatting sqref="A80">
    <cfRule type="containsText" dxfId="178" priority="87" operator="containsText" text="Open">
      <formula>NOT(ISERROR(SEARCH("Open",A80)))</formula>
    </cfRule>
    <cfRule type="containsText" dxfId="177" priority="88" operator="containsText" text="Closed">
      <formula>NOT(ISERROR(SEARCH("Closed",A80)))</formula>
    </cfRule>
    <cfRule type="cellIs" dxfId="176" priority="89" operator="equal">
      <formula>"Planned"</formula>
    </cfRule>
  </conditionalFormatting>
  <conditionalFormatting sqref="A80">
    <cfRule type="containsText" dxfId="175" priority="84" operator="containsText" text="Open">
      <formula>NOT(ISERROR(SEARCH("Open",A80)))</formula>
    </cfRule>
    <cfRule type="containsText" dxfId="174" priority="85" operator="containsText" text="Closed">
      <formula>NOT(ISERROR(SEARCH("Closed",A80)))</formula>
    </cfRule>
    <cfRule type="cellIs" dxfId="173" priority="86" operator="equal">
      <formula>"Planned"</formula>
    </cfRule>
  </conditionalFormatting>
  <conditionalFormatting sqref="A80">
    <cfRule type="containsText" dxfId="172" priority="81" operator="containsText" text="Open">
      <formula>NOT(ISERROR(SEARCH("Open",A80)))</formula>
    </cfRule>
    <cfRule type="containsText" dxfId="171" priority="82" operator="containsText" text="Closed">
      <formula>NOT(ISERROR(SEARCH("Closed",A80)))</formula>
    </cfRule>
    <cfRule type="cellIs" dxfId="170" priority="83" operator="equal">
      <formula>"Planned"</formula>
    </cfRule>
  </conditionalFormatting>
  <conditionalFormatting sqref="A121">
    <cfRule type="containsText" dxfId="169" priority="78" operator="containsText" text="Open">
      <formula>NOT(ISERROR(SEARCH("Open",A121)))</formula>
    </cfRule>
    <cfRule type="containsText" dxfId="168" priority="79" operator="containsText" text="Closed">
      <formula>NOT(ISERROR(SEARCH("Closed",A121)))</formula>
    </cfRule>
    <cfRule type="cellIs" dxfId="167" priority="80" operator="equal">
      <formula>"Planned"</formula>
    </cfRule>
  </conditionalFormatting>
  <conditionalFormatting sqref="A79">
    <cfRule type="containsText" dxfId="166" priority="75" operator="containsText" text="Open">
      <formula>NOT(ISERROR(SEARCH("Open",A79)))</formula>
    </cfRule>
    <cfRule type="containsText" dxfId="165" priority="76" operator="containsText" text="Closed">
      <formula>NOT(ISERROR(SEARCH("Closed",A79)))</formula>
    </cfRule>
    <cfRule type="cellIs" dxfId="164" priority="77" operator="equal">
      <formula>"Planned"</formula>
    </cfRule>
  </conditionalFormatting>
  <conditionalFormatting sqref="A99:A105">
    <cfRule type="containsText" dxfId="163" priority="72" operator="containsText" text="Open">
      <formula>NOT(ISERROR(SEARCH("Open",A99)))</formula>
    </cfRule>
    <cfRule type="containsText" dxfId="162" priority="73" operator="containsText" text="Closed">
      <formula>NOT(ISERROR(SEARCH("Closed",A99)))</formula>
    </cfRule>
    <cfRule type="cellIs" dxfId="161" priority="74" operator="equal">
      <formula>"Planned"</formula>
    </cfRule>
  </conditionalFormatting>
  <conditionalFormatting sqref="A99:A105">
    <cfRule type="containsText" dxfId="160" priority="69" operator="containsText" text="Open">
      <formula>NOT(ISERROR(SEARCH("Open",A99)))</formula>
    </cfRule>
    <cfRule type="containsText" dxfId="159" priority="70" operator="containsText" text="Closed">
      <formula>NOT(ISERROR(SEARCH("Closed",A99)))</formula>
    </cfRule>
    <cfRule type="cellIs" dxfId="158" priority="71" operator="equal">
      <formula>"Planned"</formula>
    </cfRule>
  </conditionalFormatting>
  <conditionalFormatting sqref="A104:A105">
    <cfRule type="containsText" dxfId="157" priority="66" operator="containsText" text="Open">
      <formula>NOT(ISERROR(SEARCH("Open",A104)))</formula>
    </cfRule>
    <cfRule type="containsText" dxfId="156" priority="67" operator="containsText" text="Closed">
      <formula>NOT(ISERROR(SEARCH("Closed",A104)))</formula>
    </cfRule>
    <cfRule type="cellIs" dxfId="155" priority="68" operator="equal">
      <formula>"Planned"</formula>
    </cfRule>
  </conditionalFormatting>
  <conditionalFormatting sqref="A104:A105">
    <cfRule type="containsText" dxfId="154" priority="63" operator="containsText" text="Open">
      <formula>NOT(ISERROR(SEARCH("Open",A104)))</formula>
    </cfRule>
    <cfRule type="containsText" dxfId="153" priority="64" operator="containsText" text="Closed">
      <formula>NOT(ISERROR(SEARCH("Closed",A104)))</formula>
    </cfRule>
    <cfRule type="cellIs" dxfId="152" priority="65" operator="equal">
      <formula>"Planned"</formula>
    </cfRule>
  </conditionalFormatting>
  <conditionalFormatting sqref="A101:A103">
    <cfRule type="containsText" dxfId="151" priority="60" operator="containsText" text="Open">
      <formula>NOT(ISERROR(SEARCH("Open",A101)))</formula>
    </cfRule>
    <cfRule type="containsText" dxfId="150" priority="61" operator="containsText" text="Closed">
      <formula>NOT(ISERROR(SEARCH("Closed",A101)))</formula>
    </cfRule>
    <cfRule type="cellIs" dxfId="149" priority="62" operator="equal">
      <formula>"Planned"</formula>
    </cfRule>
  </conditionalFormatting>
  <conditionalFormatting sqref="A101:A103">
    <cfRule type="containsText" dxfId="148" priority="57" operator="containsText" text="Open">
      <formula>NOT(ISERROR(SEARCH("Open",A101)))</formula>
    </cfRule>
    <cfRule type="containsText" dxfId="147" priority="58" operator="containsText" text="Closed">
      <formula>NOT(ISERROR(SEARCH("Closed",A101)))</formula>
    </cfRule>
    <cfRule type="cellIs" dxfId="146" priority="59" operator="equal">
      <formula>"Planned"</formula>
    </cfRule>
  </conditionalFormatting>
  <conditionalFormatting sqref="A98">
    <cfRule type="containsText" dxfId="145" priority="54" operator="containsText" text="Open">
      <formula>NOT(ISERROR(SEARCH("Open",A98)))</formula>
    </cfRule>
    <cfRule type="containsText" dxfId="144" priority="55" operator="containsText" text="Closed">
      <formula>NOT(ISERROR(SEARCH("Closed",A98)))</formula>
    </cfRule>
    <cfRule type="cellIs" dxfId="143" priority="56" operator="equal">
      <formula>"Planned"</formula>
    </cfRule>
  </conditionalFormatting>
  <conditionalFormatting sqref="A98">
    <cfRule type="containsText" dxfId="142" priority="51" operator="containsText" text="Open">
      <formula>NOT(ISERROR(SEARCH("Open",A98)))</formula>
    </cfRule>
    <cfRule type="containsText" dxfId="141" priority="52" operator="containsText" text="Closed">
      <formula>NOT(ISERROR(SEARCH("Closed",A98)))</formula>
    </cfRule>
    <cfRule type="cellIs" dxfId="140" priority="53" operator="equal">
      <formula>"Planned"</formula>
    </cfRule>
  </conditionalFormatting>
  <conditionalFormatting sqref="D69:E69">
    <cfRule type="duplicateValues" dxfId="139" priority="49"/>
  </conditionalFormatting>
  <conditionalFormatting sqref="A198">
    <cfRule type="containsText" dxfId="138" priority="45" operator="containsText" text="Open">
      <formula>NOT(ISERROR(SEARCH("Open",A198)))</formula>
    </cfRule>
    <cfRule type="containsText" dxfId="137" priority="46" operator="containsText" text="Closed">
      <formula>NOT(ISERROR(SEARCH("Closed",A198)))</formula>
    </cfRule>
    <cfRule type="cellIs" dxfId="136" priority="47" operator="equal">
      <formula>"Planned"</formula>
    </cfRule>
  </conditionalFormatting>
  <conditionalFormatting sqref="E198">
    <cfRule type="duplicateValues" dxfId="135" priority="48"/>
  </conditionalFormatting>
  <conditionalFormatting sqref="A197">
    <cfRule type="containsText" dxfId="134" priority="42" operator="containsText" text="Open">
      <formula>NOT(ISERROR(SEARCH("Open",A197)))</formula>
    </cfRule>
    <cfRule type="containsText" dxfId="133" priority="43" operator="containsText" text="Closed">
      <formula>NOT(ISERROR(SEARCH("Closed",A197)))</formula>
    </cfRule>
    <cfRule type="cellIs" dxfId="132" priority="44" operator="equal">
      <formula>"Planned"</formula>
    </cfRule>
  </conditionalFormatting>
  <conditionalFormatting sqref="A90">
    <cfRule type="containsText" dxfId="131" priority="39" operator="containsText" text="Open">
      <formula>NOT(ISERROR(SEARCH("Open",A90)))</formula>
    </cfRule>
    <cfRule type="containsText" dxfId="130" priority="40" operator="containsText" text="Closed">
      <formula>NOT(ISERROR(SEARCH("Closed",A90)))</formula>
    </cfRule>
    <cfRule type="cellIs" dxfId="129" priority="41" operator="equal">
      <formula>"Planned"</formula>
    </cfRule>
  </conditionalFormatting>
  <conditionalFormatting sqref="A2:A3">
    <cfRule type="containsText" dxfId="128" priority="36" operator="containsText" text="Open">
      <formula>NOT(ISERROR(SEARCH("Open",A2)))</formula>
    </cfRule>
    <cfRule type="containsText" dxfId="127" priority="37" operator="containsText" text="Closed">
      <formula>NOT(ISERROR(SEARCH("Closed",A2)))</formula>
    </cfRule>
    <cfRule type="cellIs" dxfId="126" priority="38" operator="equal">
      <formula>"Planned"</formula>
    </cfRule>
  </conditionalFormatting>
  <conditionalFormatting sqref="E193">
    <cfRule type="duplicateValues" dxfId="125" priority="32"/>
  </conditionalFormatting>
  <conditionalFormatting sqref="A145">
    <cfRule type="containsText" dxfId="124" priority="28" operator="containsText" text="Open">
      <formula>NOT(ISERROR(SEARCH("Open",A145)))</formula>
    </cfRule>
    <cfRule type="containsText" dxfId="123" priority="29" operator="containsText" text="Closed">
      <formula>NOT(ISERROR(SEARCH("Closed",A145)))</formula>
    </cfRule>
    <cfRule type="cellIs" dxfId="122" priority="30" operator="equal">
      <formula>"Planned"</formula>
    </cfRule>
  </conditionalFormatting>
  <conditionalFormatting sqref="E145">
    <cfRule type="duplicateValues" dxfId="121" priority="27"/>
  </conditionalFormatting>
  <conditionalFormatting sqref="D31:D33">
    <cfRule type="duplicateValues" dxfId="120" priority="26"/>
  </conditionalFormatting>
  <conditionalFormatting sqref="A209">
    <cfRule type="containsText" dxfId="119" priority="23" operator="containsText" text="Open">
      <formula>NOT(ISERROR(SEARCH("Open",A209)))</formula>
    </cfRule>
    <cfRule type="containsText" dxfId="118" priority="24" operator="containsText" text="Closed">
      <formula>NOT(ISERROR(SEARCH("Closed",A209)))</formula>
    </cfRule>
    <cfRule type="cellIs" dxfId="117" priority="25" operator="equal">
      <formula>"Planned"</formula>
    </cfRule>
  </conditionalFormatting>
  <conditionalFormatting sqref="E210:E211">
    <cfRule type="duplicateValues" dxfId="116" priority="22"/>
  </conditionalFormatting>
  <conditionalFormatting sqref="A210:A211">
    <cfRule type="containsText" dxfId="115" priority="19" operator="containsText" text="Open">
      <formula>NOT(ISERROR(SEARCH("Open",A210)))</formula>
    </cfRule>
    <cfRule type="containsText" dxfId="114" priority="20" operator="containsText" text="Closed">
      <formula>NOT(ISERROR(SEARCH("Closed",A210)))</formula>
    </cfRule>
    <cfRule type="cellIs" dxfId="113" priority="21" operator="equal">
      <formula>"Planned"</formula>
    </cfRule>
  </conditionalFormatting>
  <conditionalFormatting sqref="A67">
    <cfRule type="containsText" dxfId="112" priority="12" operator="containsText" text="Open">
      <formula>NOT(ISERROR(SEARCH("Open",A67)))</formula>
    </cfRule>
    <cfRule type="containsText" dxfId="111" priority="13" operator="containsText" text="Closed">
      <formula>NOT(ISERROR(SEARCH("Closed",A67)))</formula>
    </cfRule>
    <cfRule type="cellIs" dxfId="110" priority="14" operator="equal">
      <formula>"Planned"</formula>
    </cfRule>
  </conditionalFormatting>
  <conditionalFormatting sqref="E67">
    <cfRule type="duplicateValues" dxfId="109" priority="15"/>
  </conditionalFormatting>
  <conditionalFormatting sqref="E199:E203 E190:E192 E194:E196 D204:E204 D70:E84 E205 D34:E64 D68:E68 E31:E33 D16:E30 D207:E208 D4:E4 E2:E3 D94:E124 D146:E155 D128:E128 D133:E133 E129:E132 D144:E144 E134:E143 D158:E182 E156:E157 D185:E185 E183:E184 E125:E127 E5:E9 E65:E66">
    <cfRule type="duplicateValues" dxfId="108" priority="358"/>
  </conditionalFormatting>
  <conditionalFormatting sqref="A93">
    <cfRule type="containsText" dxfId="107" priority="9" operator="containsText" text="Open">
      <formula>NOT(ISERROR(SEARCH("Open",A93)))</formula>
    </cfRule>
    <cfRule type="containsText" dxfId="106" priority="10" operator="containsText" text="Closed">
      <formula>NOT(ISERROR(SEARCH("Closed",A93)))</formula>
    </cfRule>
    <cfRule type="cellIs" dxfId="105" priority="11" operator="equal">
      <formula>"Planned"</formula>
    </cfRule>
  </conditionalFormatting>
  <conditionalFormatting sqref="A10:A13">
    <cfRule type="containsText" dxfId="104" priority="5" operator="containsText" text="Open">
      <formula>NOT(ISERROR(SEARCH("Open",A10)))</formula>
    </cfRule>
    <cfRule type="containsText" dxfId="103" priority="6" operator="containsText" text="Closed">
      <formula>NOT(ISERROR(SEARCH("Closed",A10)))</formula>
    </cfRule>
    <cfRule type="cellIs" dxfId="102" priority="7" operator="equal">
      <formula>"Planned"</formula>
    </cfRule>
  </conditionalFormatting>
  <conditionalFormatting sqref="E10:E15">
    <cfRule type="duplicateValues" dxfId="101" priority="8"/>
  </conditionalFormatting>
  <conditionalFormatting sqref="G10:G15">
    <cfRule type="duplicateValues" dxfId="100" priority="4"/>
  </conditionalFormatting>
  <conditionalFormatting sqref="A14:A15">
    <cfRule type="containsText" dxfId="99" priority="1" operator="containsText" text="Open">
      <formula>NOT(ISERROR(SEARCH("Open",A14)))</formula>
    </cfRule>
    <cfRule type="containsText" dxfId="98" priority="2" operator="containsText" text="Closed">
      <formula>NOT(ISERROR(SEARCH("Closed",A14)))</formula>
    </cfRule>
    <cfRule type="cellIs" dxfId="97" priority="3" operator="equal">
      <formula>"Planned"</formula>
    </cfRule>
  </conditionalFormatting>
  <dataValidations count="5">
    <dataValidation type="list" allowBlank="1" showInputMessage="1" showErrorMessage="1" sqref="D80:D93 D209 E131:E132" xr:uid="{00000000-0002-0000-0100-000000000000}">
      <formula1>INDIRECT("'[Library.xlsx]Projects&amp;Contracts'!Projects[Projects&amp;Contracts]")</formula1>
    </dataValidation>
    <dataValidation type="list" allowBlank="1" showInputMessage="1" showErrorMessage="1" sqref="F2:F213 G193:G206" xr:uid="{00000000-0002-0000-0100-000001000000}">
      <formula1>INDIRECT("'[Library.xlsx]AccountNumbers'!AccountNumbers[Account Number]")</formula1>
    </dataValidation>
    <dataValidation type="list" allowBlank="1" showInputMessage="1" showErrorMessage="1" sqref="A2:A213" xr:uid="{00000000-0002-0000-0100-000002000000}">
      <formula1>INDIRECT("Statuses[Statuses]")</formula1>
    </dataValidation>
    <dataValidation type="list" allowBlank="1" showInputMessage="1" showErrorMessage="1" sqref="H2:H213" xr:uid="{00000000-0002-0000-0100-000004000000}">
      <formula1>INDIRECT("Employee[Employee]")</formula1>
    </dataValidation>
    <dataValidation type="list" allowBlank="1" showInputMessage="1" showErrorMessage="1" sqref="B2:B213" xr:uid="{AA96EF1B-08D9-4610-A196-8D81FD20975C}">
      <formula1>INDIRECT("'Types'!Types[Types]")</formula1>
    </dataValidation>
  </dataValidations>
  <pageMargins left="0.7" right="0.7" top="0.75" bottom="0.75" header="0.3" footer="0.3"/>
  <pageSetup paperSize="9" orientation="portrait"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4"/>
  </sheetPr>
  <dimension ref="A1:K748"/>
  <sheetViews>
    <sheetView zoomScale="90" zoomScaleNormal="90" workbookViewId="0">
      <pane ySplit="1" topLeftCell="A735" activePane="bottomLeft" state="frozen"/>
      <selection activeCell="F31" sqref="F31"/>
      <selection pane="bottomLeft" activeCell="C767" sqref="C767"/>
    </sheetView>
  </sheetViews>
  <sheetFormatPr defaultColWidth="8.85546875" defaultRowHeight="15" x14ac:dyDescent="0.25"/>
  <cols>
    <col min="1" max="1" width="29" style="4" bestFit="1" customWidth="1"/>
    <col min="2" max="2" width="20.7109375" style="4" bestFit="1" customWidth="1"/>
    <col min="3" max="3" width="14.7109375" style="4" bestFit="1" customWidth="1"/>
    <col min="4" max="4" width="24.42578125" style="4" bestFit="1" customWidth="1"/>
    <col min="5" max="5" width="27.7109375" style="1" customWidth="1"/>
    <col min="6" max="6" width="23.7109375" style="4" bestFit="1" customWidth="1"/>
    <col min="7" max="7" width="26.7109375" style="4" customWidth="1"/>
    <col min="8" max="8" width="59" style="4" bestFit="1" customWidth="1"/>
    <col min="9" max="9" width="27.140625" style="4" bestFit="1" customWidth="1"/>
    <col min="10" max="10" width="28.7109375" style="5" customWidth="1"/>
    <col min="11" max="11" width="47.140625" style="4" bestFit="1" customWidth="1"/>
    <col min="12" max="16384" width="8.85546875" style="4"/>
  </cols>
  <sheetData>
    <row r="1" spans="1:11" x14ac:dyDescent="0.25">
      <c r="A1" s="47" t="s">
        <v>43</v>
      </c>
      <c r="B1" s="48" t="s">
        <v>44</v>
      </c>
      <c r="C1" s="48" t="s">
        <v>479</v>
      </c>
      <c r="D1" s="48" t="s">
        <v>69</v>
      </c>
      <c r="E1" s="48" t="s">
        <v>8</v>
      </c>
      <c r="F1" s="48" t="s">
        <v>9</v>
      </c>
      <c r="G1" s="48" t="s">
        <v>120</v>
      </c>
      <c r="H1" s="48" t="s">
        <v>113</v>
      </c>
      <c r="I1" s="48" t="s">
        <v>116</v>
      </c>
      <c r="J1" s="49" t="s">
        <v>121</v>
      </c>
      <c r="K1" s="48" t="s">
        <v>114</v>
      </c>
    </row>
    <row r="2" spans="1:11" x14ac:dyDescent="0.25">
      <c r="A2" s="45">
        <v>6181</v>
      </c>
      <c r="B2" s="39">
        <v>6181</v>
      </c>
      <c r="C2" s="74" t="s">
        <v>1139</v>
      </c>
      <c r="D2" s="39"/>
      <c r="E2" s="39"/>
      <c r="F2" s="39"/>
      <c r="G2" s="39"/>
      <c r="H2" s="39"/>
      <c r="I2" s="39"/>
      <c r="J2" s="40"/>
      <c r="K2" s="39"/>
    </row>
    <row r="3" spans="1:11" x14ac:dyDescent="0.25">
      <c r="A3" s="45" t="s">
        <v>378</v>
      </c>
      <c r="B3" s="39" t="s">
        <v>378</v>
      </c>
      <c r="C3" s="36" t="s">
        <v>1139</v>
      </c>
      <c r="D3" s="39"/>
      <c r="E3" s="39"/>
      <c r="F3" s="39"/>
      <c r="G3" s="39"/>
      <c r="H3" s="39"/>
      <c r="I3" s="39"/>
      <c r="J3" s="40"/>
      <c r="K3" s="39"/>
    </row>
    <row r="4" spans="1:11" ht="30" x14ac:dyDescent="0.25">
      <c r="A4" s="330" t="s">
        <v>2503</v>
      </c>
      <c r="B4" s="331" t="s">
        <v>2503</v>
      </c>
      <c r="C4" s="369" t="s">
        <v>1141</v>
      </c>
      <c r="D4" s="264"/>
      <c r="E4" s="294" t="s">
        <v>2504</v>
      </c>
      <c r="F4" s="264"/>
      <c r="G4" s="264"/>
      <c r="H4" s="294" t="s">
        <v>2505</v>
      </c>
      <c r="I4" s="382" t="s">
        <v>2526</v>
      </c>
      <c r="J4" s="177" t="s">
        <v>2506</v>
      </c>
      <c r="K4" s="302" t="s">
        <v>2507</v>
      </c>
    </row>
    <row r="5" spans="1:11" ht="60" x14ac:dyDescent="0.25">
      <c r="A5" s="230" t="s">
        <v>2017</v>
      </c>
      <c r="B5" s="207" t="s">
        <v>2018</v>
      </c>
      <c r="C5" s="217" t="s">
        <v>1141</v>
      </c>
      <c r="D5" s="207"/>
      <c r="E5" s="207" t="s">
        <v>2019</v>
      </c>
      <c r="F5" s="207"/>
      <c r="G5" s="207"/>
      <c r="H5" s="207" t="s">
        <v>2020</v>
      </c>
      <c r="I5" s="207" t="s">
        <v>2021</v>
      </c>
      <c r="J5" s="222" t="s">
        <v>2022</v>
      </c>
      <c r="K5" s="207" t="s">
        <v>2023</v>
      </c>
    </row>
    <row r="6" spans="1:11" ht="45" x14ac:dyDescent="0.25">
      <c r="A6" s="661" t="s">
        <v>3222</v>
      </c>
      <c r="B6" s="154" t="s">
        <v>1340</v>
      </c>
      <c r="C6" s="159" t="s">
        <v>1141</v>
      </c>
      <c r="D6" s="154"/>
      <c r="E6" s="154" t="s">
        <v>1341</v>
      </c>
      <c r="F6" s="154"/>
      <c r="G6" s="39" t="s">
        <v>2813</v>
      </c>
      <c r="H6" s="154"/>
      <c r="I6" s="154"/>
      <c r="J6" s="165" t="s">
        <v>1342</v>
      </c>
      <c r="K6" s="154" t="s">
        <v>1343</v>
      </c>
    </row>
    <row r="7" spans="1:11" ht="30" x14ac:dyDescent="0.25">
      <c r="A7" s="45" t="s">
        <v>3448</v>
      </c>
      <c r="B7" s="39" t="s">
        <v>659</v>
      </c>
      <c r="C7" s="38" t="s">
        <v>1141</v>
      </c>
      <c r="D7" s="39"/>
      <c r="E7" s="39" t="s">
        <v>660</v>
      </c>
      <c r="F7" s="39"/>
      <c r="G7" s="39"/>
      <c r="H7" s="39"/>
      <c r="I7" s="39"/>
      <c r="J7" s="40" t="s">
        <v>661</v>
      </c>
      <c r="K7" s="39" t="s">
        <v>662</v>
      </c>
    </row>
    <row r="8" spans="1:11" x14ac:dyDescent="0.25">
      <c r="A8" s="45" t="s">
        <v>3447</v>
      </c>
      <c r="B8" s="39" t="s">
        <v>66</v>
      </c>
      <c r="C8" s="38" t="s">
        <v>1141</v>
      </c>
      <c r="D8" s="39"/>
      <c r="E8" s="39"/>
      <c r="F8" s="39"/>
      <c r="G8" s="39"/>
      <c r="H8" s="39"/>
      <c r="I8" s="39"/>
      <c r="J8" s="40"/>
      <c r="K8" s="39"/>
    </row>
    <row r="9" spans="1:11" x14ac:dyDescent="0.25">
      <c r="A9" s="46" t="s">
        <v>3446</v>
      </c>
      <c r="B9" s="98" t="s">
        <v>731</v>
      </c>
      <c r="C9" s="74" t="s">
        <v>1139</v>
      </c>
      <c r="D9" s="98"/>
      <c r="E9" s="98" t="s">
        <v>731</v>
      </c>
      <c r="F9" s="98"/>
      <c r="G9" s="98"/>
      <c r="H9" s="127" t="s">
        <v>732</v>
      </c>
      <c r="I9" s="128"/>
      <c r="J9" s="123"/>
      <c r="K9" s="98"/>
    </row>
    <row r="10" spans="1:11" x14ac:dyDescent="0.25">
      <c r="A10" s="139" t="s">
        <v>1490</v>
      </c>
      <c r="B10" s="39" t="s">
        <v>2784</v>
      </c>
      <c r="C10" s="159" t="s">
        <v>1139</v>
      </c>
      <c r="D10" s="39"/>
      <c r="E10" s="154"/>
      <c r="F10" s="39" t="s">
        <v>2796</v>
      </c>
      <c r="G10" s="154"/>
      <c r="H10" s="154"/>
      <c r="I10" s="154"/>
      <c r="J10" s="165"/>
      <c r="K10" s="154"/>
    </row>
    <row r="11" spans="1:11" x14ac:dyDescent="0.25">
      <c r="A11" s="45" t="s">
        <v>10</v>
      </c>
      <c r="B11" s="39" t="s">
        <v>45</v>
      </c>
      <c r="C11" s="38" t="s">
        <v>1141</v>
      </c>
      <c r="D11" s="39" t="s">
        <v>11</v>
      </c>
      <c r="E11" s="39"/>
      <c r="F11" s="39"/>
      <c r="G11" s="39"/>
      <c r="H11" s="39"/>
      <c r="I11" s="39"/>
      <c r="J11" s="40"/>
      <c r="K11" s="39"/>
    </row>
    <row r="12" spans="1:11" x14ac:dyDescent="0.25">
      <c r="A12" s="45" t="s">
        <v>2849</v>
      </c>
      <c r="B12" s="39" t="s">
        <v>90</v>
      </c>
      <c r="C12" s="74" t="s">
        <v>1139</v>
      </c>
      <c r="D12" s="39" t="s">
        <v>91</v>
      </c>
      <c r="E12" s="39"/>
      <c r="F12" s="39"/>
      <c r="G12" s="39"/>
      <c r="H12" s="39"/>
      <c r="I12" s="39"/>
      <c r="J12" s="40" t="s">
        <v>382</v>
      </c>
      <c r="K12" s="39"/>
    </row>
    <row r="13" spans="1:11" ht="30" customHeight="1" x14ac:dyDescent="0.25">
      <c r="A13" s="354" t="s">
        <v>2466</v>
      </c>
      <c r="B13" s="361" t="s">
        <v>2466</v>
      </c>
      <c r="C13" s="277" t="s">
        <v>1139</v>
      </c>
      <c r="D13" s="39" t="s">
        <v>91</v>
      </c>
      <c r="E13" s="260"/>
      <c r="F13" s="260"/>
      <c r="G13" s="260"/>
      <c r="H13" s="604" t="s">
        <v>2467</v>
      </c>
      <c r="I13" s="260"/>
      <c r="J13" s="229" t="s">
        <v>2468</v>
      </c>
      <c r="K13" s="263"/>
    </row>
    <row r="14" spans="1:11" ht="30" customHeight="1" x14ac:dyDescent="0.25">
      <c r="A14" s="170" t="s">
        <v>1192</v>
      </c>
      <c r="B14" s="171" t="s">
        <v>1192</v>
      </c>
      <c r="C14" s="159" t="s">
        <v>1139</v>
      </c>
      <c r="D14" s="39" t="s">
        <v>91</v>
      </c>
      <c r="E14" s="138"/>
      <c r="F14" s="56" t="s">
        <v>2796</v>
      </c>
      <c r="G14" s="138"/>
      <c r="H14" s="152"/>
      <c r="I14" s="138"/>
      <c r="J14" s="153"/>
      <c r="K14" s="139"/>
    </row>
    <row r="15" spans="1:11" ht="30" customHeight="1" x14ac:dyDescent="0.25">
      <c r="A15" s="45" t="s">
        <v>2848</v>
      </c>
      <c r="B15" s="39" t="s">
        <v>2728</v>
      </c>
      <c r="C15" s="74" t="s">
        <v>1139</v>
      </c>
      <c r="D15" s="55" t="s">
        <v>91</v>
      </c>
      <c r="E15" s="56"/>
      <c r="F15" s="56"/>
      <c r="G15" s="56"/>
      <c r="H15" s="71"/>
      <c r="I15" s="56"/>
      <c r="J15" s="57"/>
      <c r="K15" s="45"/>
    </row>
    <row r="16" spans="1:11" x14ac:dyDescent="0.25">
      <c r="A16" s="45" t="s">
        <v>3526</v>
      </c>
      <c r="B16" s="39" t="s">
        <v>158</v>
      </c>
      <c r="C16" s="38" t="s">
        <v>1141</v>
      </c>
      <c r="D16" s="55" t="s">
        <v>105</v>
      </c>
      <c r="E16" s="56"/>
      <c r="F16" s="56"/>
      <c r="G16" s="56"/>
      <c r="H16" s="604" t="s">
        <v>160</v>
      </c>
      <c r="I16" s="73" t="s">
        <v>161</v>
      </c>
      <c r="J16" s="57" t="s">
        <v>159</v>
      </c>
      <c r="K16" s="45"/>
    </row>
    <row r="17" spans="1:11" ht="30" x14ac:dyDescent="0.25">
      <c r="A17" s="206" t="s">
        <v>2091</v>
      </c>
      <c r="B17" s="207" t="s">
        <v>2092</v>
      </c>
      <c r="C17" s="217" t="s">
        <v>1141</v>
      </c>
      <c r="D17" s="202"/>
      <c r="E17" s="203" t="s">
        <v>2093</v>
      </c>
      <c r="F17" s="203"/>
      <c r="G17" s="203"/>
      <c r="H17" s="204" t="s">
        <v>2094</v>
      </c>
      <c r="I17" s="203" t="s">
        <v>2095</v>
      </c>
      <c r="J17" s="205" t="s">
        <v>2096</v>
      </c>
      <c r="K17" s="206" t="s">
        <v>2097</v>
      </c>
    </row>
    <row r="18" spans="1:11" ht="45" x14ac:dyDescent="0.25">
      <c r="A18" s="45" t="s">
        <v>3445</v>
      </c>
      <c r="B18" s="39" t="s">
        <v>362</v>
      </c>
      <c r="C18" s="38" t="s">
        <v>1141</v>
      </c>
      <c r="D18" s="55"/>
      <c r="E18" s="164" t="s">
        <v>1962</v>
      </c>
      <c r="F18" s="56" t="s">
        <v>1963</v>
      </c>
      <c r="G18" s="56"/>
      <c r="H18" s="71"/>
      <c r="I18" s="56"/>
      <c r="J18" s="57"/>
      <c r="K18" s="45"/>
    </row>
    <row r="19" spans="1:11" x14ac:dyDescent="0.25">
      <c r="A19" s="46" t="s">
        <v>3444</v>
      </c>
      <c r="B19" s="84" t="s">
        <v>806</v>
      </c>
      <c r="C19" s="38" t="s">
        <v>1141</v>
      </c>
      <c r="D19" s="55"/>
      <c r="E19" s="119" t="s">
        <v>684</v>
      </c>
      <c r="F19" s="119"/>
      <c r="G19" s="119"/>
      <c r="H19" s="604" t="s">
        <v>807</v>
      </c>
      <c r="I19" s="120" t="s">
        <v>808</v>
      </c>
      <c r="J19" s="124" t="s">
        <v>809</v>
      </c>
      <c r="K19" s="78" t="s">
        <v>810</v>
      </c>
    </row>
    <row r="20" spans="1:11" x14ac:dyDescent="0.25">
      <c r="A20" s="45" t="s">
        <v>3467</v>
      </c>
      <c r="B20" s="39" t="s">
        <v>87</v>
      </c>
      <c r="C20" s="162" t="s">
        <v>1139</v>
      </c>
      <c r="D20" s="55" t="s">
        <v>88</v>
      </c>
      <c r="E20" s="56" t="s">
        <v>89</v>
      </c>
      <c r="F20" s="56" t="s">
        <v>1964</v>
      </c>
      <c r="G20" s="56"/>
      <c r="H20" s="604" t="s">
        <v>319</v>
      </c>
      <c r="I20" s="73" t="s">
        <v>318</v>
      </c>
      <c r="J20" s="57" t="s">
        <v>320</v>
      </c>
      <c r="K20" s="45"/>
    </row>
    <row r="21" spans="1:11" x14ac:dyDescent="0.25">
      <c r="A21" s="45" t="s">
        <v>12</v>
      </c>
      <c r="B21" s="39" t="s">
        <v>47</v>
      </c>
      <c r="C21" s="161" t="s">
        <v>1141</v>
      </c>
      <c r="D21" s="55"/>
      <c r="E21" s="56"/>
      <c r="F21" s="56"/>
      <c r="G21" s="56"/>
      <c r="H21" s="71"/>
      <c r="I21" s="56"/>
      <c r="J21" s="57"/>
      <c r="K21" s="45"/>
    </row>
    <row r="22" spans="1:11" ht="45" x14ac:dyDescent="0.25">
      <c r="A22" s="45" t="s">
        <v>3166</v>
      </c>
      <c r="B22" s="154" t="s">
        <v>1179</v>
      </c>
      <c r="C22" s="169" t="s">
        <v>1141</v>
      </c>
      <c r="D22" s="137"/>
      <c r="E22" s="138" t="s">
        <v>1180</v>
      </c>
      <c r="F22" s="138"/>
      <c r="G22" s="138"/>
      <c r="H22" s="152" t="s">
        <v>1181</v>
      </c>
      <c r="I22" s="138" t="s">
        <v>1182</v>
      </c>
      <c r="J22" s="153" t="s">
        <v>1183</v>
      </c>
      <c r="K22" s="139" t="s">
        <v>1184</v>
      </c>
    </row>
    <row r="23" spans="1:11" x14ac:dyDescent="0.25">
      <c r="A23" s="206" t="s">
        <v>2104</v>
      </c>
      <c r="B23" s="207" t="s">
        <v>2105</v>
      </c>
      <c r="C23" s="208" t="s">
        <v>1141</v>
      </c>
      <c r="D23" s="202"/>
      <c r="E23" s="203" t="s">
        <v>2106</v>
      </c>
      <c r="F23" s="203"/>
      <c r="G23" s="203"/>
      <c r="H23" s="204"/>
      <c r="I23" s="203"/>
      <c r="J23" s="205"/>
      <c r="K23" s="206"/>
    </row>
    <row r="24" spans="1:11" ht="105" x14ac:dyDescent="0.25">
      <c r="A24" s="45" t="s">
        <v>416</v>
      </c>
      <c r="B24" s="45" t="s">
        <v>414</v>
      </c>
      <c r="C24" s="162" t="s">
        <v>1139</v>
      </c>
      <c r="D24" s="55"/>
      <c r="E24" s="56" t="s">
        <v>415</v>
      </c>
      <c r="F24" s="56"/>
      <c r="G24" s="56"/>
      <c r="H24" s="71"/>
      <c r="I24" s="56"/>
      <c r="J24" s="57"/>
      <c r="K24" s="45"/>
    </row>
    <row r="25" spans="1:11" ht="30" x14ac:dyDescent="0.25">
      <c r="A25" s="103" t="s">
        <v>1098</v>
      </c>
      <c r="B25" s="104" t="s">
        <v>1098</v>
      </c>
      <c r="C25" s="157" t="s">
        <v>1139</v>
      </c>
      <c r="D25" s="99"/>
      <c r="E25" s="1" t="s">
        <v>415</v>
      </c>
      <c r="F25" s="378"/>
      <c r="G25" s="378"/>
      <c r="H25" s="378"/>
      <c r="I25" s="378"/>
      <c r="J25" s="385"/>
      <c r="K25" s="378"/>
    </row>
    <row r="26" spans="1:11" ht="105" x14ac:dyDescent="0.25">
      <c r="A26" s="139" t="s">
        <v>1317</v>
      </c>
      <c r="B26" s="39" t="s">
        <v>1318</v>
      </c>
      <c r="C26" s="169" t="s">
        <v>1139</v>
      </c>
      <c r="D26" s="137"/>
      <c r="E26" s="56" t="s">
        <v>415</v>
      </c>
      <c r="F26" s="138"/>
      <c r="G26" s="138"/>
      <c r="H26" s="152"/>
      <c r="I26" s="138"/>
      <c r="J26" s="153"/>
      <c r="K26" s="139"/>
    </row>
    <row r="27" spans="1:11" ht="30.75" thickBot="1" x14ac:dyDescent="0.3">
      <c r="A27" s="45" t="s">
        <v>208</v>
      </c>
      <c r="B27" s="39"/>
      <c r="C27" s="157" t="s">
        <v>1139</v>
      </c>
      <c r="D27" s="55"/>
      <c r="E27" s="56"/>
      <c r="F27" s="56"/>
      <c r="G27" s="56"/>
      <c r="H27" s="71"/>
      <c r="I27" s="56"/>
      <c r="J27" s="57"/>
      <c r="K27" s="45"/>
    </row>
    <row r="28" spans="1:11" ht="15.75" thickTop="1" x14ac:dyDescent="0.25">
      <c r="A28" s="215">
        <v>2803</v>
      </c>
      <c r="B28" s="216">
        <v>2803</v>
      </c>
      <c r="C28" s="74" t="s">
        <v>1139</v>
      </c>
      <c r="D28" s="216"/>
      <c r="E28" s="216"/>
      <c r="F28" s="216"/>
      <c r="G28" s="216"/>
      <c r="H28" s="216"/>
      <c r="I28" s="216"/>
      <c r="J28" s="221"/>
      <c r="K28" s="216"/>
    </row>
    <row r="29" spans="1:11" x14ac:dyDescent="0.25">
      <c r="A29" s="45">
        <v>3029</v>
      </c>
      <c r="B29" s="39">
        <v>3029</v>
      </c>
      <c r="C29" s="74" t="s">
        <v>1139</v>
      </c>
      <c r="D29" s="104"/>
      <c r="E29" s="104"/>
      <c r="F29" s="104"/>
      <c r="G29" s="104"/>
      <c r="H29" s="104"/>
      <c r="I29" s="104"/>
      <c r="J29" s="122"/>
      <c r="K29" s="104"/>
    </row>
    <row r="30" spans="1:11" x14ac:dyDescent="0.25">
      <c r="A30" s="45">
        <v>5788</v>
      </c>
      <c r="B30" s="39">
        <v>5788</v>
      </c>
      <c r="C30" s="74" t="s">
        <v>1139</v>
      </c>
      <c r="D30" s="39"/>
      <c r="E30" s="39"/>
      <c r="F30" s="39"/>
      <c r="G30" s="39"/>
      <c r="H30" s="604" t="s">
        <v>1796</v>
      </c>
      <c r="I30" s="39"/>
      <c r="J30" s="40" t="s">
        <v>1119</v>
      </c>
      <c r="K30" s="39"/>
    </row>
    <row r="31" spans="1:11" ht="30" x14ac:dyDescent="0.25">
      <c r="A31" s="317" t="s">
        <v>2560</v>
      </c>
      <c r="B31" s="318"/>
      <c r="C31" s="74" t="s">
        <v>1139</v>
      </c>
      <c r="D31" s="39"/>
      <c r="E31" s="39" t="s">
        <v>2558</v>
      </c>
      <c r="F31" s="39" t="s">
        <v>2559</v>
      </c>
      <c r="G31" s="39"/>
      <c r="H31" s="39"/>
      <c r="I31" s="39" t="s">
        <v>2561</v>
      </c>
      <c r="J31" s="40"/>
      <c r="K31" s="39"/>
    </row>
    <row r="32" spans="1:11" ht="30" x14ac:dyDescent="0.25">
      <c r="A32" s="348" t="s">
        <v>2557</v>
      </c>
      <c r="B32" s="349"/>
      <c r="C32" s="74" t="s">
        <v>1139</v>
      </c>
      <c r="D32" s="372"/>
      <c r="E32" s="39" t="s">
        <v>2558</v>
      </c>
      <c r="F32" s="39" t="s">
        <v>2559</v>
      </c>
      <c r="G32" s="39"/>
      <c r="H32" s="39"/>
      <c r="I32" s="39"/>
      <c r="J32" s="40"/>
      <c r="K32" s="39"/>
    </row>
    <row r="33" spans="1:11" ht="45" x14ac:dyDescent="0.25">
      <c r="A33" s="181" t="s">
        <v>1724</v>
      </c>
      <c r="B33" s="186" t="s">
        <v>1724</v>
      </c>
      <c r="C33" s="188" t="s">
        <v>1139</v>
      </c>
      <c r="D33" s="186" t="s">
        <v>1359</v>
      </c>
      <c r="E33" s="186" t="s">
        <v>1725</v>
      </c>
      <c r="F33" s="186" t="s">
        <v>1726</v>
      </c>
      <c r="G33" s="186"/>
      <c r="H33" s="186"/>
      <c r="I33" s="186" t="s">
        <v>1727</v>
      </c>
      <c r="J33" s="191" t="s">
        <v>1728</v>
      </c>
      <c r="K33" s="41" t="s">
        <v>1729</v>
      </c>
    </row>
    <row r="34" spans="1:11" x14ac:dyDescent="0.25">
      <c r="A34" s="108" t="s">
        <v>979</v>
      </c>
      <c r="B34" s="117" t="s">
        <v>979</v>
      </c>
      <c r="C34" s="118" t="s">
        <v>1139</v>
      </c>
      <c r="D34" s="116"/>
      <c r="E34" s="116"/>
      <c r="F34" s="116"/>
      <c r="G34" s="116"/>
      <c r="H34" s="116"/>
      <c r="I34" s="116"/>
      <c r="J34" s="125"/>
      <c r="K34" s="116"/>
    </row>
    <row r="35" spans="1:11" ht="30" x14ac:dyDescent="0.25">
      <c r="A35" s="213" t="s">
        <v>2291</v>
      </c>
      <c r="B35" s="232" t="s">
        <v>2293</v>
      </c>
      <c r="C35" s="237" t="s">
        <v>1139</v>
      </c>
      <c r="D35" s="207"/>
      <c r="E35" s="290" t="s">
        <v>617</v>
      </c>
      <c r="F35" s="207"/>
      <c r="G35" s="207"/>
      <c r="H35" s="207"/>
      <c r="I35" s="41" t="s">
        <v>2292</v>
      </c>
      <c r="J35" s="222"/>
      <c r="K35" s="207"/>
    </row>
    <row r="36" spans="1:11" ht="30" x14ac:dyDescent="0.25">
      <c r="A36" s="45" t="s">
        <v>738</v>
      </c>
      <c r="B36" s="39" t="s">
        <v>738</v>
      </c>
      <c r="C36" s="74" t="s">
        <v>1139</v>
      </c>
      <c r="D36" s="39"/>
      <c r="E36" s="39" t="s">
        <v>89</v>
      </c>
      <c r="F36" s="39"/>
      <c r="G36" s="39"/>
      <c r="H36" s="39"/>
      <c r="I36" s="41" t="s">
        <v>740</v>
      </c>
      <c r="J36" s="40"/>
      <c r="K36" s="39" t="s">
        <v>739</v>
      </c>
    </row>
    <row r="37" spans="1:11" x14ac:dyDescent="0.25">
      <c r="A37" s="233" t="s">
        <v>2136</v>
      </c>
      <c r="B37" s="234"/>
      <c r="C37" s="217" t="s">
        <v>1139</v>
      </c>
      <c r="D37" s="207"/>
      <c r="E37" s="207"/>
      <c r="F37" s="207"/>
      <c r="G37" s="207"/>
      <c r="H37" s="207"/>
      <c r="I37" s="207"/>
      <c r="J37" s="222"/>
      <c r="K37" s="207"/>
    </row>
    <row r="38" spans="1:11" ht="45" x14ac:dyDescent="0.25">
      <c r="A38" s="45" t="s">
        <v>193</v>
      </c>
      <c r="B38" s="45" t="s">
        <v>193</v>
      </c>
      <c r="C38" s="36" t="s">
        <v>1139</v>
      </c>
      <c r="D38" s="39"/>
      <c r="E38" s="39"/>
      <c r="F38" s="39"/>
      <c r="G38" s="39"/>
      <c r="H38" s="39"/>
      <c r="I38" s="39"/>
      <c r="J38" s="40"/>
      <c r="K38" s="39"/>
    </row>
    <row r="39" spans="1:11" x14ac:dyDescent="0.25">
      <c r="A39" s="108" t="s">
        <v>978</v>
      </c>
      <c r="B39" s="117" t="s">
        <v>978</v>
      </c>
      <c r="C39" s="118" t="s">
        <v>1139</v>
      </c>
      <c r="D39" s="116"/>
      <c r="E39" s="116"/>
      <c r="F39" s="116"/>
      <c r="G39" s="116"/>
      <c r="H39" s="116"/>
      <c r="I39" s="116"/>
      <c r="J39" s="125"/>
      <c r="K39" s="116"/>
    </row>
    <row r="40" spans="1:11" x14ac:dyDescent="0.25">
      <c r="A40" s="45" t="s">
        <v>28</v>
      </c>
      <c r="B40" s="39" t="s">
        <v>28</v>
      </c>
      <c r="C40" s="38" t="s">
        <v>1141</v>
      </c>
      <c r="D40" s="39"/>
      <c r="E40" s="39"/>
      <c r="F40" s="39"/>
      <c r="G40" s="39"/>
      <c r="H40" s="39"/>
      <c r="I40" s="39"/>
      <c r="J40" s="40"/>
      <c r="K40" s="39"/>
    </row>
    <row r="41" spans="1:11" x14ac:dyDescent="0.25">
      <c r="A41" s="37" t="s">
        <v>481</v>
      </c>
      <c r="B41" s="39"/>
      <c r="C41" s="74" t="s">
        <v>1139</v>
      </c>
      <c r="D41" s="39"/>
      <c r="E41" s="39"/>
      <c r="F41" s="39"/>
      <c r="G41" s="39"/>
      <c r="H41" s="39"/>
      <c r="I41" s="39"/>
      <c r="J41" s="40"/>
      <c r="K41" s="39"/>
    </row>
    <row r="42" spans="1:11" x14ac:dyDescent="0.25">
      <c r="A42" s="37" t="s">
        <v>480</v>
      </c>
      <c r="B42" s="39"/>
      <c r="C42" s="38" t="s">
        <v>1141</v>
      </c>
      <c r="D42" s="39"/>
      <c r="E42" s="39"/>
      <c r="F42" s="39"/>
      <c r="G42" s="39"/>
      <c r="H42" s="39"/>
      <c r="I42" s="39"/>
      <c r="J42" s="40"/>
      <c r="K42" s="39"/>
    </row>
    <row r="43" spans="1:11" ht="30" x14ac:dyDescent="0.25">
      <c r="A43" s="206" t="s">
        <v>2098</v>
      </c>
      <c r="B43" s="207" t="s">
        <v>2099</v>
      </c>
      <c r="C43" s="217" t="s">
        <v>1141</v>
      </c>
      <c r="D43" s="207"/>
      <c r="E43" s="207" t="s">
        <v>2100</v>
      </c>
      <c r="F43" s="207"/>
      <c r="G43" s="207"/>
      <c r="H43" s="207" t="s">
        <v>2101</v>
      </c>
      <c r="I43" s="207" t="s">
        <v>2102</v>
      </c>
      <c r="J43" s="222" t="s">
        <v>2103</v>
      </c>
      <c r="K43" s="207"/>
    </row>
    <row r="44" spans="1:11" ht="45" x14ac:dyDescent="0.25">
      <c r="A44" s="45" t="s">
        <v>192</v>
      </c>
      <c r="B44" s="39" t="s">
        <v>192</v>
      </c>
      <c r="C44" s="36" t="s">
        <v>1139</v>
      </c>
      <c r="D44" s="39"/>
      <c r="E44" s="39"/>
      <c r="F44" s="39"/>
      <c r="G44" s="39"/>
      <c r="H44" s="39"/>
      <c r="I44" s="39"/>
      <c r="J44" s="40"/>
      <c r="K44" s="39"/>
    </row>
    <row r="45" spans="1:11" ht="30" x14ac:dyDescent="0.25">
      <c r="A45" s="45" t="s">
        <v>526</v>
      </c>
      <c r="B45" s="39" t="s">
        <v>527</v>
      </c>
      <c r="C45" s="36" t="s">
        <v>1139</v>
      </c>
      <c r="D45" s="39"/>
      <c r="E45" s="39" t="s">
        <v>528</v>
      </c>
      <c r="F45" s="39"/>
      <c r="G45" s="39" t="s">
        <v>530</v>
      </c>
      <c r="H45" s="604" t="s">
        <v>529</v>
      </c>
      <c r="I45" s="39"/>
      <c r="J45" s="40" t="s">
        <v>531</v>
      </c>
      <c r="K45" s="39" t="s">
        <v>532</v>
      </c>
    </row>
    <row r="46" spans="1:11" x14ac:dyDescent="0.25">
      <c r="A46" s="181" t="s">
        <v>1359</v>
      </c>
      <c r="B46" s="186" t="s">
        <v>1359</v>
      </c>
      <c r="C46" s="188" t="s">
        <v>1139</v>
      </c>
      <c r="D46" s="186" t="s">
        <v>1359</v>
      </c>
      <c r="E46" s="186"/>
      <c r="F46" s="186"/>
      <c r="G46" s="85" t="s">
        <v>1740</v>
      </c>
      <c r="H46" s="186"/>
      <c r="I46" s="186"/>
      <c r="J46" s="40" t="s">
        <v>1741</v>
      </c>
      <c r="K46" s="186"/>
    </row>
    <row r="47" spans="1:11" x14ac:dyDescent="0.25">
      <c r="A47" s="139" t="s">
        <v>1178</v>
      </c>
      <c r="B47" s="154"/>
      <c r="C47" s="159" t="s">
        <v>1139</v>
      </c>
      <c r="D47" s="154"/>
      <c r="E47" s="154"/>
      <c r="F47" s="154"/>
      <c r="G47" s="154"/>
      <c r="H47" s="154"/>
      <c r="I47" s="154"/>
      <c r="J47" s="165"/>
      <c r="K47" s="154"/>
    </row>
    <row r="48" spans="1:11" ht="30" x14ac:dyDescent="0.25">
      <c r="A48" s="45" t="s">
        <v>1781</v>
      </c>
      <c r="B48" s="39" t="s">
        <v>1782</v>
      </c>
      <c r="C48" s="74" t="s">
        <v>1139</v>
      </c>
      <c r="D48" s="39"/>
      <c r="E48" s="39" t="s">
        <v>1786</v>
      </c>
      <c r="F48" s="39"/>
      <c r="G48" s="39"/>
      <c r="H48" s="604" t="s">
        <v>1783</v>
      </c>
      <c r="I48" s="39"/>
      <c r="J48" s="40" t="s">
        <v>1785</v>
      </c>
      <c r="K48" s="39" t="s">
        <v>1784</v>
      </c>
    </row>
    <row r="49" spans="1:11" ht="120" x14ac:dyDescent="0.25">
      <c r="A49" s="45" t="s">
        <v>2219</v>
      </c>
      <c r="B49" s="39" t="s">
        <v>2224</v>
      </c>
      <c r="C49" s="38" t="s">
        <v>1141</v>
      </c>
      <c r="D49" s="39"/>
      <c r="E49" s="290" t="s">
        <v>2225</v>
      </c>
      <c r="F49" s="207"/>
      <c r="G49" s="207"/>
      <c r="H49" s="604" t="s">
        <v>2223</v>
      </c>
      <c r="I49" s="41" t="s">
        <v>2220</v>
      </c>
      <c r="J49" s="268" t="s">
        <v>2222</v>
      </c>
      <c r="K49" s="290" t="s">
        <v>2221</v>
      </c>
    </row>
    <row r="50" spans="1:11" ht="30" x14ac:dyDescent="0.25">
      <c r="A50" s="46" t="s">
        <v>1285</v>
      </c>
      <c r="B50" s="293" t="s">
        <v>1287</v>
      </c>
      <c r="C50" s="159" t="s">
        <v>1141</v>
      </c>
      <c r="D50" s="294"/>
      <c r="E50" s="294" t="s">
        <v>1288</v>
      </c>
      <c r="F50" s="294"/>
      <c r="G50" s="294" t="s">
        <v>1289</v>
      </c>
      <c r="H50" s="604" t="s">
        <v>1290</v>
      </c>
      <c r="I50" s="176" t="s">
        <v>1291</v>
      </c>
      <c r="J50" s="177" t="s">
        <v>1292</v>
      </c>
      <c r="K50" s="294" t="s">
        <v>1293</v>
      </c>
    </row>
    <row r="51" spans="1:11" ht="45" x14ac:dyDescent="0.25">
      <c r="A51" s="257" t="s">
        <v>2357</v>
      </c>
      <c r="B51" s="258" t="s">
        <v>2358</v>
      </c>
      <c r="C51" s="237" t="s">
        <v>1141</v>
      </c>
      <c r="D51" s="258"/>
      <c r="E51" s="258" t="s">
        <v>17</v>
      </c>
      <c r="F51" s="258"/>
      <c r="G51" s="258"/>
      <c r="H51" s="258" t="s">
        <v>2359</v>
      </c>
      <c r="I51" s="258" t="s">
        <v>2360</v>
      </c>
      <c r="J51" s="299" t="s">
        <v>2361</v>
      </c>
      <c r="K51" s="258" t="s">
        <v>2362</v>
      </c>
    </row>
    <row r="52" spans="1:11" ht="45" x14ac:dyDescent="0.25">
      <c r="A52" s="257" t="s">
        <v>2363</v>
      </c>
      <c r="B52" s="258" t="s">
        <v>2364</v>
      </c>
      <c r="C52" s="237" t="s">
        <v>1141</v>
      </c>
      <c r="D52" s="258"/>
      <c r="E52" s="258" t="s">
        <v>129</v>
      </c>
      <c r="F52" s="258"/>
      <c r="G52" s="258"/>
      <c r="H52" s="258" t="s">
        <v>2365</v>
      </c>
      <c r="I52" s="258" t="s">
        <v>2366</v>
      </c>
      <c r="J52" s="299" t="s">
        <v>2367</v>
      </c>
      <c r="K52" s="258" t="s">
        <v>2368</v>
      </c>
    </row>
    <row r="53" spans="1:11" x14ac:dyDescent="0.25">
      <c r="A53" s="46" t="s">
        <v>3468</v>
      </c>
      <c r="B53" s="98" t="s">
        <v>771</v>
      </c>
      <c r="C53" s="74" t="s">
        <v>1139</v>
      </c>
      <c r="D53" s="98"/>
      <c r="E53" s="98" t="s">
        <v>772</v>
      </c>
      <c r="F53" s="98"/>
      <c r="G53" s="98"/>
      <c r="H53" s="98" t="s">
        <v>773</v>
      </c>
      <c r="I53" s="98"/>
      <c r="J53" s="123"/>
      <c r="K53" s="98"/>
    </row>
    <row r="54" spans="1:11" x14ac:dyDescent="0.25">
      <c r="A54" s="45" t="s">
        <v>265</v>
      </c>
      <c r="B54" s="39" t="s">
        <v>268</v>
      </c>
      <c r="C54" s="38" t="s">
        <v>1141</v>
      </c>
      <c r="D54" s="39" t="s">
        <v>41</v>
      </c>
      <c r="E54" s="39"/>
      <c r="F54" s="39"/>
      <c r="G54" s="39"/>
      <c r="H54" s="604" t="s">
        <v>266</v>
      </c>
      <c r="I54" s="41" t="s">
        <v>264</v>
      </c>
      <c r="J54" s="40" t="s">
        <v>267</v>
      </c>
      <c r="K54" s="39"/>
    </row>
    <row r="55" spans="1:11" x14ac:dyDescent="0.25">
      <c r="A55" s="45" t="s">
        <v>152</v>
      </c>
      <c r="B55" s="39" t="s">
        <v>153</v>
      </c>
      <c r="C55" s="280" t="s">
        <v>1139</v>
      </c>
      <c r="D55" s="45"/>
      <c r="E55" s="39"/>
      <c r="F55" s="39"/>
      <c r="G55" s="39"/>
      <c r="H55" s="39"/>
      <c r="I55" s="39"/>
      <c r="J55" s="40"/>
      <c r="K55" s="39"/>
    </row>
    <row r="56" spans="1:11" ht="30" x14ac:dyDescent="0.25">
      <c r="A56" s="181" t="s">
        <v>1652</v>
      </c>
      <c r="B56" s="186" t="s">
        <v>1653</v>
      </c>
      <c r="C56" s="620" t="s">
        <v>1141</v>
      </c>
      <c r="D56" s="181"/>
      <c r="E56" s="186" t="s">
        <v>1654</v>
      </c>
      <c r="F56" s="186"/>
      <c r="G56" s="186"/>
      <c r="H56" s="604" t="s">
        <v>1655</v>
      </c>
      <c r="I56" s="41" t="s">
        <v>1656</v>
      </c>
      <c r="J56" s="191"/>
      <c r="K56" s="186" t="s">
        <v>1657</v>
      </c>
    </row>
    <row r="57" spans="1:11" ht="45" x14ac:dyDescent="0.25">
      <c r="A57" s="83" t="s">
        <v>823</v>
      </c>
      <c r="B57" s="85" t="s">
        <v>824</v>
      </c>
      <c r="C57" s="280" t="s">
        <v>1141</v>
      </c>
      <c r="D57" s="83"/>
      <c r="E57" s="85" t="s">
        <v>825</v>
      </c>
      <c r="F57" s="85"/>
      <c r="G57" s="85" t="s">
        <v>826</v>
      </c>
      <c r="H57" s="85" t="s">
        <v>827</v>
      </c>
      <c r="I57" s="85" t="s">
        <v>828</v>
      </c>
      <c r="J57" s="88" t="s">
        <v>829</v>
      </c>
      <c r="K57" s="85" t="s">
        <v>830</v>
      </c>
    </row>
    <row r="58" spans="1:11" ht="45" x14ac:dyDescent="0.25">
      <c r="A58" s="317" t="s">
        <v>2551</v>
      </c>
      <c r="B58" s="318" t="s">
        <v>2551</v>
      </c>
      <c r="C58" s="280" t="s">
        <v>1141</v>
      </c>
      <c r="D58" s="617"/>
      <c r="E58" s="39" t="s">
        <v>2552</v>
      </c>
      <c r="F58" s="39"/>
      <c r="G58" s="39"/>
      <c r="H58" s="604" t="s">
        <v>2553</v>
      </c>
      <c r="I58" s="270" t="s">
        <v>2554</v>
      </c>
      <c r="J58" s="40" t="s">
        <v>2555</v>
      </c>
      <c r="K58" s="39" t="s">
        <v>2556</v>
      </c>
    </row>
    <row r="59" spans="1:11" ht="30" x14ac:dyDescent="0.25">
      <c r="A59" s="348" t="s">
        <v>2562</v>
      </c>
      <c r="B59" s="349"/>
      <c r="C59" s="280" t="s">
        <v>1141</v>
      </c>
      <c r="D59" s="618"/>
      <c r="E59" s="39" t="s">
        <v>2558</v>
      </c>
      <c r="F59" s="39" t="s">
        <v>2559</v>
      </c>
      <c r="G59" s="39"/>
      <c r="H59" s="39"/>
      <c r="I59" s="39" t="s">
        <v>2563</v>
      </c>
      <c r="J59" s="40" t="s">
        <v>2564</v>
      </c>
      <c r="K59" s="39" t="s">
        <v>2565</v>
      </c>
    </row>
    <row r="60" spans="1:11" x14ac:dyDescent="0.25">
      <c r="A60" s="103" t="s">
        <v>903</v>
      </c>
      <c r="B60" s="104" t="s">
        <v>903</v>
      </c>
      <c r="C60" s="619" t="s">
        <v>1139</v>
      </c>
      <c r="D60" s="104"/>
      <c r="E60" s="104"/>
      <c r="F60" s="104"/>
      <c r="G60" s="104"/>
      <c r="H60" s="604" t="s">
        <v>1016</v>
      </c>
      <c r="I60" s="104"/>
      <c r="J60" s="122" t="s">
        <v>1015</v>
      </c>
      <c r="K60" s="104"/>
    </row>
    <row r="61" spans="1:11" ht="30" x14ac:dyDescent="0.25">
      <c r="A61" s="45" t="s">
        <v>1777</v>
      </c>
      <c r="B61" s="39" t="s">
        <v>1779</v>
      </c>
      <c r="C61" s="74" t="s">
        <v>1139</v>
      </c>
      <c r="D61" s="39"/>
      <c r="E61" s="39" t="s">
        <v>1778</v>
      </c>
      <c r="F61" s="39"/>
      <c r="G61" s="39"/>
      <c r="H61" s="39"/>
      <c r="I61" s="39"/>
      <c r="J61" s="40" t="s">
        <v>1780</v>
      </c>
      <c r="K61" s="39"/>
    </row>
    <row r="62" spans="1:11" ht="30" customHeight="1" x14ac:dyDescent="0.25">
      <c r="A62" s="181" t="s">
        <v>1670</v>
      </c>
      <c r="B62" s="186" t="s">
        <v>1665</v>
      </c>
      <c r="C62" s="188" t="s">
        <v>1141</v>
      </c>
      <c r="D62" s="186"/>
      <c r="E62" s="186"/>
      <c r="F62" s="186"/>
      <c r="G62" s="186" t="s">
        <v>1666</v>
      </c>
      <c r="H62" s="604" t="s">
        <v>1667</v>
      </c>
      <c r="I62" s="186"/>
      <c r="J62" s="191" t="s">
        <v>1709</v>
      </c>
      <c r="K62" s="186" t="s">
        <v>1668</v>
      </c>
    </row>
    <row r="63" spans="1:11" ht="30" customHeight="1" x14ac:dyDescent="0.25">
      <c r="A63" s="206" t="s">
        <v>1850</v>
      </c>
      <c r="B63" s="39" t="s">
        <v>2727</v>
      </c>
      <c r="C63" s="74" t="s">
        <v>1139</v>
      </c>
      <c r="D63" s="207" t="s">
        <v>1851</v>
      </c>
      <c r="E63" s="207" t="s">
        <v>1852</v>
      </c>
      <c r="F63" s="207" t="s">
        <v>1853</v>
      </c>
      <c r="G63" s="207" t="s">
        <v>1854</v>
      </c>
      <c r="H63" s="207" t="s">
        <v>1855</v>
      </c>
      <c r="I63" s="207"/>
      <c r="J63" s="222" t="s">
        <v>1856</v>
      </c>
      <c r="K63" s="207"/>
    </row>
    <row r="64" spans="1:11" x14ac:dyDescent="0.25">
      <c r="A64" s="45" t="s">
        <v>325</v>
      </c>
      <c r="B64" s="39" t="s">
        <v>326</v>
      </c>
      <c r="C64" s="38" t="s">
        <v>1141</v>
      </c>
      <c r="D64" s="39"/>
      <c r="E64" s="39"/>
      <c r="F64" s="39"/>
      <c r="G64" s="39"/>
      <c r="H64" s="39"/>
      <c r="I64" s="39"/>
      <c r="J64" s="40"/>
      <c r="K64" s="39"/>
    </row>
    <row r="65" spans="1:11" x14ac:dyDescent="0.25">
      <c r="A65" s="45" t="s">
        <v>742</v>
      </c>
      <c r="B65" s="39" t="s">
        <v>743</v>
      </c>
      <c r="C65" s="38" t="s">
        <v>1141</v>
      </c>
      <c r="D65" s="39"/>
      <c r="E65" s="39" t="s">
        <v>744</v>
      </c>
      <c r="F65" s="39"/>
      <c r="G65" s="39"/>
      <c r="H65" s="39"/>
      <c r="I65" s="39" t="s">
        <v>745</v>
      </c>
      <c r="J65" s="40"/>
      <c r="K65" s="39"/>
    </row>
    <row r="66" spans="1:11" x14ac:dyDescent="0.25">
      <c r="A66" s="46" t="s">
        <v>690</v>
      </c>
      <c r="B66" s="43" t="s">
        <v>120</v>
      </c>
      <c r="C66" s="38" t="s">
        <v>1141</v>
      </c>
      <c r="D66" s="43"/>
      <c r="E66" s="43" t="s">
        <v>691</v>
      </c>
      <c r="F66" s="43"/>
      <c r="G66" s="43"/>
      <c r="H66" s="75"/>
      <c r="I66" s="41" t="s">
        <v>692</v>
      </c>
      <c r="J66" s="44"/>
      <c r="K66" s="43"/>
    </row>
    <row r="67" spans="1:11" ht="75" x14ac:dyDescent="0.25">
      <c r="A67" s="45" t="s">
        <v>389</v>
      </c>
      <c r="B67" s="39" t="s">
        <v>390</v>
      </c>
      <c r="C67" s="38" t="s">
        <v>1141</v>
      </c>
      <c r="D67" s="39"/>
      <c r="E67" s="39" t="s">
        <v>393</v>
      </c>
      <c r="F67" s="39"/>
      <c r="G67" s="39"/>
      <c r="H67" s="604" t="s">
        <v>395</v>
      </c>
      <c r="I67" s="41" t="s">
        <v>391</v>
      </c>
      <c r="J67" s="40" t="s">
        <v>392</v>
      </c>
      <c r="K67" s="39" t="s">
        <v>394</v>
      </c>
    </row>
    <row r="68" spans="1:11" ht="30" x14ac:dyDescent="0.25">
      <c r="A68" s="45" t="s">
        <v>3443</v>
      </c>
      <c r="B68" s="39" t="s">
        <v>600</v>
      </c>
      <c r="C68" s="38" t="s">
        <v>1141</v>
      </c>
      <c r="D68" s="39"/>
      <c r="E68" s="39" t="s">
        <v>601</v>
      </c>
      <c r="F68" s="39"/>
      <c r="G68" s="39"/>
      <c r="H68" s="39" t="s">
        <v>602</v>
      </c>
      <c r="I68" s="39" t="s">
        <v>603</v>
      </c>
      <c r="J68" s="40" t="s">
        <v>604</v>
      </c>
      <c r="K68" s="39"/>
    </row>
    <row r="69" spans="1:11" ht="45" x14ac:dyDescent="0.25">
      <c r="A69" s="325" t="s">
        <v>2497</v>
      </c>
      <c r="B69" s="326" t="s">
        <v>2497</v>
      </c>
      <c r="C69" s="365" t="s">
        <v>1141</v>
      </c>
      <c r="D69" s="39"/>
      <c r="E69" s="39" t="s">
        <v>2473</v>
      </c>
      <c r="F69" s="39"/>
      <c r="G69" s="39"/>
      <c r="H69" s="39"/>
      <c r="I69" s="39" t="s">
        <v>2524</v>
      </c>
      <c r="J69" s="177" t="s">
        <v>2498</v>
      </c>
      <c r="K69" s="302" t="s">
        <v>2499</v>
      </c>
    </row>
    <row r="70" spans="1:11" ht="30" x14ac:dyDescent="0.25">
      <c r="A70" s="45" t="s">
        <v>3442</v>
      </c>
      <c r="B70" s="39" t="s">
        <v>171</v>
      </c>
      <c r="C70" s="38" t="s">
        <v>1141</v>
      </c>
      <c r="D70" s="39" t="s">
        <v>13</v>
      </c>
      <c r="E70" s="39" t="s">
        <v>172</v>
      </c>
      <c r="F70" s="39"/>
      <c r="G70" s="39"/>
      <c r="H70" s="604" t="s">
        <v>3601</v>
      </c>
      <c r="I70" s="41" t="s">
        <v>173</v>
      </c>
      <c r="J70" s="40"/>
      <c r="K70" s="39"/>
    </row>
    <row r="71" spans="1:11" ht="10.5" customHeight="1" x14ac:dyDescent="0.25">
      <c r="A71" s="103" t="s">
        <v>902</v>
      </c>
      <c r="B71" s="39" t="s">
        <v>2726</v>
      </c>
      <c r="C71" s="74" t="s">
        <v>1139</v>
      </c>
      <c r="D71" s="104" t="s">
        <v>91</v>
      </c>
      <c r="E71" s="104"/>
      <c r="F71" s="104"/>
      <c r="G71" s="104"/>
      <c r="H71" s="604" t="s">
        <v>1019</v>
      </c>
      <c r="I71" s="104"/>
      <c r="J71" s="122" t="s">
        <v>1020</v>
      </c>
      <c r="K71" s="104"/>
    </row>
    <row r="72" spans="1:11" ht="45" x14ac:dyDescent="0.25">
      <c r="A72" s="181" t="s">
        <v>1602</v>
      </c>
      <c r="B72" s="186" t="s">
        <v>1603</v>
      </c>
      <c r="C72" s="188" t="s">
        <v>1139</v>
      </c>
      <c r="D72" s="186"/>
      <c r="E72" s="186" t="s">
        <v>1604</v>
      </c>
      <c r="F72" s="186"/>
      <c r="G72" s="186"/>
      <c r="H72" s="186" t="s">
        <v>1605</v>
      </c>
      <c r="I72" s="39" t="s">
        <v>1606</v>
      </c>
      <c r="J72" s="191" t="s">
        <v>1607</v>
      </c>
      <c r="K72" s="186" t="s">
        <v>1608</v>
      </c>
    </row>
    <row r="73" spans="1:11" x14ac:dyDescent="0.25">
      <c r="A73" s="45" t="s">
        <v>387</v>
      </c>
      <c r="B73" s="39" t="s">
        <v>387</v>
      </c>
      <c r="C73" s="38" t="s">
        <v>1139</v>
      </c>
      <c r="D73" s="39"/>
      <c r="E73" s="39" t="s">
        <v>388</v>
      </c>
      <c r="F73" s="39"/>
      <c r="G73" s="39"/>
      <c r="H73" s="39"/>
      <c r="I73" s="39"/>
      <c r="J73" s="40"/>
      <c r="K73" s="39"/>
    </row>
    <row r="74" spans="1:11" ht="75" x14ac:dyDescent="0.25">
      <c r="A74" s="103" t="s">
        <v>996</v>
      </c>
      <c r="B74" s="104" t="s">
        <v>997</v>
      </c>
      <c r="C74" s="74" t="s">
        <v>1139</v>
      </c>
      <c r="D74" s="104"/>
      <c r="E74" s="104" t="s">
        <v>961</v>
      </c>
      <c r="F74" s="104"/>
      <c r="G74" s="104" t="s">
        <v>998</v>
      </c>
      <c r="H74" s="104" t="s">
        <v>999</v>
      </c>
      <c r="I74" s="738" t="s">
        <v>1000</v>
      </c>
      <c r="J74" s="122" t="s">
        <v>1001</v>
      </c>
      <c r="K74" s="104" t="s">
        <v>1002</v>
      </c>
    </row>
    <row r="75" spans="1:11" x14ac:dyDescent="0.25">
      <c r="A75" s="263" t="s">
        <v>2449</v>
      </c>
      <c r="B75" s="264" t="s">
        <v>2450</v>
      </c>
      <c r="C75" s="74" t="s">
        <v>1139</v>
      </c>
      <c r="D75" s="264"/>
      <c r="E75" s="264" t="s">
        <v>2451</v>
      </c>
      <c r="F75" s="264"/>
      <c r="G75" s="264"/>
      <c r="H75" s="264"/>
      <c r="I75" s="264"/>
      <c r="J75" s="292"/>
      <c r="K75" s="264"/>
    </row>
    <row r="76" spans="1:11" ht="30" x14ac:dyDescent="0.25">
      <c r="A76" s="206" t="s">
        <v>1955</v>
      </c>
      <c r="B76" s="207" t="s">
        <v>1956</v>
      </c>
      <c r="C76" s="217" t="s">
        <v>1139</v>
      </c>
      <c r="D76" s="207"/>
      <c r="E76" s="207" t="s">
        <v>1957</v>
      </c>
      <c r="F76" s="207"/>
      <c r="G76" s="207"/>
      <c r="H76" s="207" t="s">
        <v>1958</v>
      </c>
      <c r="I76" s="41" t="s">
        <v>1959</v>
      </c>
      <c r="J76" s="222" t="s">
        <v>1960</v>
      </c>
      <c r="K76" s="207" t="s">
        <v>1961</v>
      </c>
    </row>
    <row r="77" spans="1:11" ht="30" x14ac:dyDescent="0.25">
      <c r="A77" s="45" t="s">
        <v>327</v>
      </c>
      <c r="B77" s="39" t="s">
        <v>328</v>
      </c>
      <c r="C77" s="74" t="s">
        <v>1139</v>
      </c>
      <c r="D77" s="39" t="s">
        <v>226</v>
      </c>
      <c r="E77" s="39"/>
      <c r="F77" s="39"/>
      <c r="G77" s="39" t="s">
        <v>332</v>
      </c>
      <c r="H77" s="604" t="s">
        <v>330</v>
      </c>
      <c r="I77" s="39" t="s">
        <v>329</v>
      </c>
      <c r="J77" s="40" t="s">
        <v>331</v>
      </c>
      <c r="K77" s="42"/>
    </row>
    <row r="78" spans="1:11" ht="30" x14ac:dyDescent="0.25">
      <c r="A78" s="181" t="s">
        <v>1588</v>
      </c>
      <c r="B78" s="186" t="s">
        <v>1570</v>
      </c>
      <c r="C78" s="188" t="s">
        <v>1139</v>
      </c>
      <c r="D78" s="186"/>
      <c r="E78" s="186" t="s">
        <v>1571</v>
      </c>
      <c r="F78" s="186"/>
      <c r="G78" s="186"/>
      <c r="H78" s="186" t="s">
        <v>1572</v>
      </c>
      <c r="I78" s="186" t="s">
        <v>1573</v>
      </c>
      <c r="J78" s="191" t="s">
        <v>1574</v>
      </c>
      <c r="K78" s="186" t="s">
        <v>1575</v>
      </c>
    </row>
    <row r="79" spans="1:11" ht="30" x14ac:dyDescent="0.25">
      <c r="A79" s="97" t="s">
        <v>1046</v>
      </c>
      <c r="B79" s="98" t="s">
        <v>1047</v>
      </c>
      <c r="C79" s="621" t="s">
        <v>1139</v>
      </c>
      <c r="D79" s="98"/>
      <c r="E79" s="98" t="s">
        <v>1048</v>
      </c>
      <c r="F79" s="98"/>
      <c r="G79" s="98"/>
      <c r="H79" s="604" t="s">
        <v>1049</v>
      </c>
      <c r="I79" s="121" t="s">
        <v>1050</v>
      </c>
      <c r="J79" s="123" t="s">
        <v>1051</v>
      </c>
      <c r="K79" s="98" t="s">
        <v>1052</v>
      </c>
    </row>
    <row r="80" spans="1:11" x14ac:dyDescent="0.25">
      <c r="A80" s="139" t="s">
        <v>1276</v>
      </c>
      <c r="B80" s="154" t="s">
        <v>1214</v>
      </c>
      <c r="C80" s="622" t="s">
        <v>1139</v>
      </c>
      <c r="D80" s="154"/>
      <c r="E80" s="154" t="s">
        <v>285</v>
      </c>
      <c r="F80" s="154" t="s">
        <v>1215</v>
      </c>
      <c r="G80" s="154"/>
      <c r="H80" s="154" t="s">
        <v>1216</v>
      </c>
      <c r="I80" s="154"/>
      <c r="J80" s="165" t="s">
        <v>1217</v>
      </c>
      <c r="K80" s="154" t="s">
        <v>1218</v>
      </c>
    </row>
    <row r="81" spans="1:11" ht="45" x14ac:dyDescent="0.25">
      <c r="A81" s="45" t="s">
        <v>396</v>
      </c>
      <c r="B81" s="39" t="s">
        <v>402</v>
      </c>
      <c r="C81" s="38" t="s">
        <v>1139</v>
      </c>
      <c r="D81" s="39"/>
      <c r="E81" s="1" t="s">
        <v>397</v>
      </c>
      <c r="F81" s="39"/>
      <c r="G81" s="39"/>
      <c r="H81" s="604" t="s">
        <v>401</v>
      </c>
      <c r="I81" s="39" t="s">
        <v>398</v>
      </c>
      <c r="J81" s="40" t="s">
        <v>399</v>
      </c>
      <c r="K81" s="39" t="s">
        <v>400</v>
      </c>
    </row>
    <row r="82" spans="1:11" x14ac:dyDescent="0.25">
      <c r="A82" s="45" t="s">
        <v>1267</v>
      </c>
      <c r="B82" s="39" t="s">
        <v>65</v>
      </c>
      <c r="C82" s="38" t="s">
        <v>1139</v>
      </c>
      <c r="D82" s="39" t="s">
        <v>13</v>
      </c>
      <c r="E82" s="39"/>
      <c r="F82" s="39"/>
      <c r="G82" s="39"/>
      <c r="H82" s="1"/>
      <c r="I82" s="39"/>
      <c r="J82" s="40"/>
      <c r="K82" s="39"/>
    </row>
    <row r="83" spans="1:11" x14ac:dyDescent="0.25">
      <c r="A83" s="206" t="s">
        <v>1965</v>
      </c>
      <c r="B83" s="207" t="s">
        <v>1966</v>
      </c>
      <c r="C83" s="623" t="s">
        <v>1139</v>
      </c>
      <c r="D83" s="207"/>
      <c r="E83" s="207" t="s">
        <v>961</v>
      </c>
      <c r="F83" s="207"/>
      <c r="G83" s="207"/>
      <c r="H83" s="207" t="s">
        <v>1967</v>
      </c>
      <c r="I83" s="207" t="s">
        <v>1968</v>
      </c>
      <c r="J83" s="222" t="s">
        <v>1969</v>
      </c>
      <c r="K83" s="207" t="s">
        <v>1970</v>
      </c>
    </row>
    <row r="84" spans="1:11" ht="30" x14ac:dyDescent="0.25">
      <c r="A84" s="139" t="s">
        <v>1334</v>
      </c>
      <c r="B84" s="154" t="s">
        <v>1334</v>
      </c>
      <c r="C84" s="159" t="s">
        <v>1139</v>
      </c>
      <c r="D84" s="154"/>
      <c r="E84" s="154" t="s">
        <v>1335</v>
      </c>
      <c r="F84" s="154"/>
      <c r="G84" s="154" t="s">
        <v>1336</v>
      </c>
      <c r="H84" s="154" t="s">
        <v>1337</v>
      </c>
      <c r="I84" s="154"/>
      <c r="J84" s="165" t="s">
        <v>1338</v>
      </c>
      <c r="K84" s="154"/>
    </row>
    <row r="85" spans="1:11" ht="30" x14ac:dyDescent="0.25">
      <c r="A85" s="181" t="s">
        <v>1730</v>
      </c>
      <c r="B85" s="186" t="s">
        <v>1731</v>
      </c>
      <c r="C85" s="188" t="s">
        <v>1139</v>
      </c>
      <c r="D85" s="186"/>
      <c r="E85" s="186" t="s">
        <v>1732</v>
      </c>
      <c r="F85" s="186"/>
      <c r="G85" s="186" t="s">
        <v>1733</v>
      </c>
      <c r="H85" s="186" t="s">
        <v>1734</v>
      </c>
      <c r="I85" s="186" t="s">
        <v>1735</v>
      </c>
      <c r="J85" s="191" t="s">
        <v>1736</v>
      </c>
      <c r="K85" s="186" t="s">
        <v>1737</v>
      </c>
    </row>
    <row r="86" spans="1:11" x14ac:dyDescent="0.25">
      <c r="A86" s="45" t="s">
        <v>734</v>
      </c>
      <c r="B86" s="39" t="s">
        <v>735</v>
      </c>
      <c r="C86" s="74" t="s">
        <v>1139</v>
      </c>
      <c r="D86" s="39"/>
      <c r="E86" s="39" t="s">
        <v>736</v>
      </c>
      <c r="F86" s="39"/>
      <c r="G86" s="39" t="s">
        <v>1302</v>
      </c>
      <c r="H86" s="39"/>
      <c r="I86" s="39" t="s">
        <v>737</v>
      </c>
      <c r="J86" s="40" t="s">
        <v>1303</v>
      </c>
      <c r="K86" s="39"/>
    </row>
    <row r="87" spans="1:11" ht="45" x14ac:dyDescent="0.25">
      <c r="A87" s="45" t="s">
        <v>333</v>
      </c>
      <c r="B87" s="39" t="s">
        <v>335</v>
      </c>
      <c r="C87" s="74" t="s">
        <v>1139</v>
      </c>
      <c r="D87" s="39" t="s">
        <v>13</v>
      </c>
      <c r="E87" s="39"/>
      <c r="F87" s="39" t="s">
        <v>337</v>
      </c>
      <c r="G87" s="39" t="s">
        <v>336</v>
      </c>
      <c r="H87" s="604" t="s">
        <v>334</v>
      </c>
      <c r="I87" s="39"/>
      <c r="J87" s="40"/>
      <c r="K87" s="39"/>
    </row>
    <row r="88" spans="1:11" x14ac:dyDescent="0.25">
      <c r="A88" s="46" t="s">
        <v>2850</v>
      </c>
      <c r="B88" s="43" t="s">
        <v>589</v>
      </c>
      <c r="C88" s="74" t="s">
        <v>1139</v>
      </c>
      <c r="D88" s="43"/>
      <c r="E88" s="43"/>
      <c r="F88" s="43"/>
      <c r="G88" s="43" t="s">
        <v>590</v>
      </c>
      <c r="H88" s="76"/>
      <c r="I88" s="43"/>
      <c r="J88" s="44" t="s">
        <v>590</v>
      </c>
      <c r="K88" s="43"/>
    </row>
    <row r="89" spans="1:11" ht="30" x14ac:dyDescent="0.25">
      <c r="A89" s="206" t="s">
        <v>2067</v>
      </c>
      <c r="B89" s="207" t="s">
        <v>2068</v>
      </c>
      <c r="C89" s="217" t="s">
        <v>1139</v>
      </c>
      <c r="D89" s="207"/>
      <c r="E89" s="207" t="s">
        <v>2069</v>
      </c>
      <c r="F89" s="207"/>
      <c r="G89" s="207"/>
      <c r="H89" s="207" t="s">
        <v>2070</v>
      </c>
      <c r="I89" s="207" t="s">
        <v>2071</v>
      </c>
      <c r="J89" s="222" t="s">
        <v>2072</v>
      </c>
      <c r="K89" s="207" t="s">
        <v>2073</v>
      </c>
    </row>
    <row r="90" spans="1:11" x14ac:dyDescent="0.25">
      <c r="A90" s="293" t="s">
        <v>2067</v>
      </c>
      <c r="B90" s="294" t="s">
        <v>2245</v>
      </c>
      <c r="C90" s="284" t="s">
        <v>1139</v>
      </c>
      <c r="D90" s="294"/>
      <c r="E90" s="294" t="s">
        <v>2246</v>
      </c>
      <c r="F90" s="294"/>
      <c r="G90" s="294"/>
      <c r="H90" s="281" t="s">
        <v>2070</v>
      </c>
      <c r="I90" s="278" t="s">
        <v>2071</v>
      </c>
      <c r="J90" s="177" t="s">
        <v>2247</v>
      </c>
      <c r="K90" s="302" t="s">
        <v>2073</v>
      </c>
    </row>
    <row r="91" spans="1:11" ht="45" x14ac:dyDescent="0.25">
      <c r="A91" s="196" t="s">
        <v>1756</v>
      </c>
      <c r="B91" s="197" t="s">
        <v>1757</v>
      </c>
      <c r="C91" s="218" t="s">
        <v>1141</v>
      </c>
      <c r="D91" s="197"/>
      <c r="E91" s="197" t="s">
        <v>1758</v>
      </c>
      <c r="F91" s="197"/>
      <c r="G91" s="197" t="s">
        <v>1759</v>
      </c>
      <c r="H91" s="197" t="s">
        <v>1760</v>
      </c>
      <c r="I91" s="197" t="s">
        <v>1761</v>
      </c>
      <c r="J91" s="223" t="s">
        <v>1762</v>
      </c>
      <c r="K91" s="197" t="s">
        <v>1763</v>
      </c>
    </row>
    <row r="92" spans="1:11" ht="45" x14ac:dyDescent="0.25">
      <c r="A92" s="45" t="s">
        <v>1207</v>
      </c>
      <c r="B92" s="39" t="s">
        <v>1208</v>
      </c>
      <c r="C92" s="74" t="s">
        <v>1141</v>
      </c>
      <c r="D92" s="39"/>
      <c r="E92" s="39" t="s">
        <v>1209</v>
      </c>
      <c r="F92" s="39"/>
      <c r="G92" s="39"/>
      <c r="H92" s="39" t="s">
        <v>1210</v>
      </c>
      <c r="I92" s="39" t="s">
        <v>1211</v>
      </c>
      <c r="J92" s="40" t="s">
        <v>1212</v>
      </c>
      <c r="K92" s="39" t="s">
        <v>1213</v>
      </c>
    </row>
    <row r="93" spans="1:11" x14ac:dyDescent="0.25">
      <c r="A93" s="319" t="s">
        <v>2488</v>
      </c>
      <c r="B93" s="320" t="s">
        <v>2488</v>
      </c>
      <c r="C93" s="369" t="s">
        <v>1139</v>
      </c>
      <c r="D93" s="264"/>
      <c r="E93" s="375" t="s">
        <v>2484</v>
      </c>
      <c r="F93" s="264"/>
      <c r="G93" s="264"/>
      <c r="H93" s="264"/>
      <c r="I93" s="264"/>
      <c r="J93" s="292" t="s">
        <v>2492</v>
      </c>
      <c r="K93" s="375" t="s">
        <v>2491</v>
      </c>
    </row>
    <row r="94" spans="1:11" ht="30" x14ac:dyDescent="0.25">
      <c r="A94" s="181" t="s">
        <v>1590</v>
      </c>
      <c r="B94" s="186" t="s">
        <v>1582</v>
      </c>
      <c r="C94" s="188" t="s">
        <v>1139</v>
      </c>
      <c r="D94" s="186"/>
      <c r="E94" s="186" t="s">
        <v>1583</v>
      </c>
      <c r="F94" s="186"/>
      <c r="G94" s="186"/>
      <c r="H94" s="186" t="s">
        <v>1584</v>
      </c>
      <c r="I94" s="186" t="s">
        <v>1585</v>
      </c>
      <c r="J94" s="191" t="s">
        <v>1586</v>
      </c>
      <c r="K94" s="186" t="s">
        <v>1587</v>
      </c>
    </row>
    <row r="95" spans="1:11" x14ac:dyDescent="0.25">
      <c r="A95" s="45" t="s">
        <v>663</v>
      </c>
      <c r="B95" s="39" t="s">
        <v>663</v>
      </c>
      <c r="C95" s="38" t="s">
        <v>1141</v>
      </c>
      <c r="D95" s="39" t="s">
        <v>17</v>
      </c>
      <c r="E95" s="39" t="s">
        <v>36</v>
      </c>
      <c r="F95" s="39"/>
      <c r="G95" s="39"/>
      <c r="H95" s="39"/>
      <c r="I95" s="39"/>
      <c r="J95" s="40"/>
      <c r="K95" s="39"/>
    </row>
    <row r="96" spans="1:11" ht="30" x14ac:dyDescent="0.25">
      <c r="A96" s="181" t="s">
        <v>1589</v>
      </c>
      <c r="B96" s="186" t="s">
        <v>1576</v>
      </c>
      <c r="C96" s="188" t="s">
        <v>1139</v>
      </c>
      <c r="D96" s="186"/>
      <c r="E96" s="186" t="s">
        <v>1577</v>
      </c>
      <c r="F96" s="186"/>
      <c r="G96" s="186"/>
      <c r="H96" s="186" t="s">
        <v>1578</v>
      </c>
      <c r="I96" s="186" t="s">
        <v>1579</v>
      </c>
      <c r="J96" s="191" t="s">
        <v>1580</v>
      </c>
      <c r="K96" s="186" t="s">
        <v>1581</v>
      </c>
    </row>
    <row r="97" spans="1:11" ht="30" x14ac:dyDescent="0.25">
      <c r="A97" s="139" t="s">
        <v>1417</v>
      </c>
      <c r="B97" s="154" t="s">
        <v>1411</v>
      </c>
      <c r="C97" s="159" t="s">
        <v>1139</v>
      </c>
      <c r="D97" s="154"/>
      <c r="E97" s="154" t="s">
        <v>1412</v>
      </c>
      <c r="F97" s="154"/>
      <c r="G97" s="154" t="s">
        <v>1283</v>
      </c>
      <c r="H97" s="154" t="s">
        <v>1413</v>
      </c>
      <c r="I97" s="154" t="s">
        <v>1414</v>
      </c>
      <c r="J97" s="165" t="s">
        <v>1415</v>
      </c>
      <c r="K97" s="154" t="s">
        <v>1416</v>
      </c>
    </row>
    <row r="98" spans="1:11" ht="45" x14ac:dyDescent="0.25">
      <c r="A98" s="45" t="s">
        <v>756</v>
      </c>
      <c r="B98" s="39" t="s">
        <v>757</v>
      </c>
      <c r="C98" s="74" t="s">
        <v>1139</v>
      </c>
      <c r="D98" s="39" t="s">
        <v>105</v>
      </c>
      <c r="E98" s="39" t="s">
        <v>758</v>
      </c>
      <c r="F98" s="39"/>
      <c r="G98" s="39" t="s">
        <v>759</v>
      </c>
      <c r="H98" s="39" t="s">
        <v>760</v>
      </c>
      <c r="I98" s="39" t="s">
        <v>761</v>
      </c>
      <c r="J98" s="40" t="s">
        <v>762</v>
      </c>
      <c r="K98" s="39" t="s">
        <v>763</v>
      </c>
    </row>
    <row r="99" spans="1:11" ht="30" x14ac:dyDescent="0.25">
      <c r="A99" s="139" t="s">
        <v>1418</v>
      </c>
      <c r="B99" s="154" t="s">
        <v>1419</v>
      </c>
      <c r="C99" s="159" t="s">
        <v>1139</v>
      </c>
      <c r="D99" s="154"/>
      <c r="E99" s="154" t="s">
        <v>1420</v>
      </c>
      <c r="F99" s="154"/>
      <c r="G99" s="154" t="s">
        <v>1421</v>
      </c>
      <c r="H99" s="154" t="s">
        <v>1422</v>
      </c>
      <c r="I99" s="154" t="s">
        <v>1423</v>
      </c>
      <c r="J99" s="165" t="s">
        <v>1424</v>
      </c>
      <c r="K99" s="154" t="s">
        <v>1425</v>
      </c>
    </row>
    <row r="100" spans="1:11" x14ac:dyDescent="0.25">
      <c r="A100" s="45" t="s">
        <v>385</v>
      </c>
      <c r="B100" s="39" t="s">
        <v>386</v>
      </c>
      <c r="C100" s="74" t="s">
        <v>1139</v>
      </c>
      <c r="D100" s="39"/>
      <c r="E100" s="39"/>
      <c r="F100" s="39"/>
      <c r="G100" s="39"/>
      <c r="H100" s="39"/>
      <c r="I100" s="39"/>
      <c r="J100" s="40"/>
      <c r="K100" s="39"/>
    </row>
    <row r="101" spans="1:11" ht="30" x14ac:dyDescent="0.25">
      <c r="A101" s="206" t="s">
        <v>1874</v>
      </c>
      <c r="B101" s="207" t="s">
        <v>1875</v>
      </c>
      <c r="C101" s="217" t="s">
        <v>1139</v>
      </c>
      <c r="D101" s="207"/>
      <c r="E101" s="207" t="s">
        <v>1876</v>
      </c>
      <c r="F101" s="207"/>
      <c r="G101" s="207"/>
      <c r="H101" s="604" t="s">
        <v>1877</v>
      </c>
      <c r="I101" s="41" t="s">
        <v>1878</v>
      </c>
      <c r="J101" s="222" t="s">
        <v>1879</v>
      </c>
      <c r="K101" s="207" t="s">
        <v>1880</v>
      </c>
    </row>
    <row r="102" spans="1:11" ht="30" x14ac:dyDescent="0.25">
      <c r="A102" s="206" t="s">
        <v>1815</v>
      </c>
      <c r="B102" s="207" t="s">
        <v>1816</v>
      </c>
      <c r="C102" s="217" t="s">
        <v>1141</v>
      </c>
      <c r="D102" s="207"/>
      <c r="E102" s="207" t="s">
        <v>1817</v>
      </c>
      <c r="F102" s="207"/>
      <c r="G102" s="207"/>
      <c r="H102" s="207" t="s">
        <v>1818</v>
      </c>
      <c r="I102" s="207" t="s">
        <v>1819</v>
      </c>
      <c r="J102" s="222" t="s">
        <v>1820</v>
      </c>
      <c r="K102" s="207" t="s">
        <v>1821</v>
      </c>
    </row>
    <row r="103" spans="1:11" ht="30" x14ac:dyDescent="0.25">
      <c r="A103" s="139" t="s">
        <v>1360</v>
      </c>
      <c r="B103" s="154"/>
      <c r="C103" s="159" t="s">
        <v>1139</v>
      </c>
      <c r="D103" s="154"/>
      <c r="E103" s="175" t="s">
        <v>1361</v>
      </c>
      <c r="F103" s="154"/>
      <c r="G103" s="154"/>
      <c r="H103" s="154"/>
      <c r="I103" s="154"/>
      <c r="J103" s="165"/>
      <c r="K103" s="154"/>
    </row>
    <row r="104" spans="1:11" ht="30" x14ac:dyDescent="0.25">
      <c r="A104" s="97" t="s">
        <v>1067</v>
      </c>
      <c r="B104" s="98" t="s">
        <v>1068</v>
      </c>
      <c r="C104" s="74" t="s">
        <v>1139</v>
      </c>
      <c r="D104" s="98"/>
      <c r="E104" s="98" t="s">
        <v>1069</v>
      </c>
      <c r="F104" s="98"/>
      <c r="G104" s="98"/>
      <c r="H104" s="98"/>
      <c r="I104" s="98"/>
      <c r="J104" s="123"/>
      <c r="K104" s="98"/>
    </row>
    <row r="105" spans="1:11" ht="30" x14ac:dyDescent="0.25">
      <c r="A105" s="45" t="s">
        <v>733</v>
      </c>
      <c r="B105" s="39" t="s">
        <v>733</v>
      </c>
      <c r="C105" s="38" t="s">
        <v>1141</v>
      </c>
      <c r="D105" s="39"/>
      <c r="E105" s="39" t="s">
        <v>525</v>
      </c>
      <c r="F105" s="39"/>
      <c r="G105" s="39"/>
      <c r="H105" s="39"/>
      <c r="I105" s="39"/>
      <c r="J105" s="40"/>
      <c r="K105" s="39"/>
    </row>
    <row r="106" spans="1:11" x14ac:dyDescent="0.25">
      <c r="A106" s="97" t="s">
        <v>895</v>
      </c>
      <c r="B106" s="98" t="s">
        <v>896</v>
      </c>
      <c r="C106" s="74" t="s">
        <v>1139</v>
      </c>
      <c r="D106" s="98"/>
      <c r="E106" s="98" t="s">
        <v>897</v>
      </c>
      <c r="F106" s="98"/>
      <c r="G106" s="98"/>
      <c r="H106" s="604" t="s">
        <v>898</v>
      </c>
      <c r="I106" s="121" t="s">
        <v>899</v>
      </c>
      <c r="J106" s="123" t="s">
        <v>900</v>
      </c>
      <c r="K106" s="98"/>
    </row>
    <row r="107" spans="1:11" ht="45" x14ac:dyDescent="0.25">
      <c r="A107" s="139" t="s">
        <v>1275</v>
      </c>
      <c r="B107" s="154" t="s">
        <v>1175</v>
      </c>
      <c r="C107" s="159" t="s">
        <v>1139</v>
      </c>
      <c r="D107" s="154"/>
      <c r="E107" s="154" t="s">
        <v>1176</v>
      </c>
      <c r="F107" s="154" t="s">
        <v>1177</v>
      </c>
      <c r="G107" s="154"/>
      <c r="H107" s="154"/>
      <c r="I107" s="154"/>
      <c r="J107" s="165"/>
      <c r="K107" s="154"/>
    </row>
    <row r="108" spans="1:11" ht="30" x14ac:dyDescent="0.25">
      <c r="A108" s="45" t="s">
        <v>408</v>
      </c>
      <c r="B108" s="39" t="s">
        <v>412</v>
      </c>
      <c r="C108" s="74" t="s">
        <v>1139</v>
      </c>
      <c r="D108" s="39"/>
      <c r="E108" s="39" t="s">
        <v>413</v>
      </c>
      <c r="F108" s="39"/>
      <c r="G108" s="39"/>
      <c r="H108" s="604" t="s">
        <v>409</v>
      </c>
      <c r="I108" s="41" t="s">
        <v>410</v>
      </c>
      <c r="J108" s="40" t="s">
        <v>411</v>
      </c>
      <c r="K108" s="39"/>
    </row>
    <row r="109" spans="1:11" ht="30" x14ac:dyDescent="0.25">
      <c r="A109" s="139" t="s">
        <v>1426</v>
      </c>
      <c r="B109" s="154" t="s">
        <v>1427</v>
      </c>
      <c r="C109" s="159" t="s">
        <v>1139</v>
      </c>
      <c r="D109" s="154"/>
      <c r="E109" s="154" t="s">
        <v>1428</v>
      </c>
      <c r="F109" s="154"/>
      <c r="G109" s="154" t="s">
        <v>1429</v>
      </c>
      <c r="H109" s="154" t="s">
        <v>1430</v>
      </c>
      <c r="I109" s="154" t="s">
        <v>1431</v>
      </c>
      <c r="J109" s="165" t="s">
        <v>1432</v>
      </c>
      <c r="K109" s="154" t="s">
        <v>1433</v>
      </c>
    </row>
    <row r="110" spans="1:11" ht="30" x14ac:dyDescent="0.25">
      <c r="A110" s="181" t="s">
        <v>1616</v>
      </c>
      <c r="B110" s="186" t="s">
        <v>1617</v>
      </c>
      <c r="C110" s="188" t="s">
        <v>1139</v>
      </c>
      <c r="D110" s="186" t="s">
        <v>1618</v>
      </c>
      <c r="E110" s="186" t="s">
        <v>1619</v>
      </c>
      <c r="F110" s="186"/>
      <c r="G110" s="186" t="s">
        <v>1620</v>
      </c>
      <c r="H110" s="186"/>
      <c r="I110" s="186"/>
      <c r="J110" s="191" t="s">
        <v>1621</v>
      </c>
      <c r="K110" s="186" t="s">
        <v>1622</v>
      </c>
    </row>
    <row r="111" spans="1:11" ht="45" x14ac:dyDescent="0.25">
      <c r="A111" s="46" t="s">
        <v>1286</v>
      </c>
      <c r="B111" s="294" t="s">
        <v>1294</v>
      </c>
      <c r="C111" s="159" t="s">
        <v>1139</v>
      </c>
      <c r="D111" s="294"/>
      <c r="E111" s="294" t="s">
        <v>1295</v>
      </c>
      <c r="F111" s="294"/>
      <c r="G111" s="294" t="s">
        <v>1296</v>
      </c>
      <c r="H111" s="604" t="s">
        <v>1297</v>
      </c>
      <c r="I111" s="176" t="s">
        <v>1298</v>
      </c>
      <c r="J111" s="177" t="s">
        <v>1299</v>
      </c>
      <c r="K111" s="294" t="s">
        <v>1300</v>
      </c>
    </row>
    <row r="112" spans="1:11" ht="30" x14ac:dyDescent="0.25">
      <c r="A112" s="181" t="s">
        <v>1669</v>
      </c>
      <c r="B112" s="186" t="s">
        <v>1660</v>
      </c>
      <c r="C112" s="188" t="s">
        <v>1139</v>
      </c>
      <c r="D112" s="186"/>
      <c r="E112" s="186" t="s">
        <v>1661</v>
      </c>
      <c r="F112" s="186"/>
      <c r="G112" s="186" t="s">
        <v>1662</v>
      </c>
      <c r="H112" s="186"/>
      <c r="I112" s="186"/>
      <c r="J112" s="191" t="s">
        <v>1663</v>
      </c>
      <c r="K112" s="186" t="s">
        <v>1664</v>
      </c>
    </row>
    <row r="113" spans="1:11" ht="30" x14ac:dyDescent="0.25">
      <c r="A113" s="46" t="s">
        <v>2300</v>
      </c>
      <c r="B113" s="43" t="s">
        <v>2301</v>
      </c>
      <c r="C113" s="237" t="s">
        <v>1139</v>
      </c>
      <c r="D113" s="43"/>
      <c r="E113" s="43" t="s">
        <v>2302</v>
      </c>
      <c r="F113" s="43"/>
      <c r="G113" s="43"/>
      <c r="H113" s="604" t="s">
        <v>2303</v>
      </c>
      <c r="I113" s="270" t="s">
        <v>2304</v>
      </c>
      <c r="J113" s="44" t="s">
        <v>2305</v>
      </c>
      <c r="K113" s="43" t="s">
        <v>2306</v>
      </c>
    </row>
    <row r="114" spans="1:11" ht="30" x14ac:dyDescent="0.25">
      <c r="A114" s="317" t="s">
        <v>2300</v>
      </c>
      <c r="B114" s="318" t="s">
        <v>2300</v>
      </c>
      <c r="C114" s="365" t="s">
        <v>1139</v>
      </c>
      <c r="D114" s="373"/>
      <c r="E114" s="294" t="s">
        <v>2509</v>
      </c>
      <c r="F114" s="39"/>
      <c r="G114" s="39"/>
      <c r="H114" s="39"/>
      <c r="I114" s="39"/>
      <c r="J114" s="177" t="s">
        <v>2510</v>
      </c>
      <c r="K114" s="302" t="s">
        <v>2511</v>
      </c>
    </row>
    <row r="115" spans="1:11" ht="30" x14ac:dyDescent="0.25">
      <c r="A115" s="139" t="s">
        <v>1362</v>
      </c>
      <c r="B115" s="154" t="s">
        <v>1363</v>
      </c>
      <c r="C115" s="159" t="s">
        <v>1139</v>
      </c>
      <c r="D115" s="154"/>
      <c r="E115" s="154" t="s">
        <v>1364</v>
      </c>
      <c r="F115" s="154"/>
      <c r="G115" s="154" t="s">
        <v>1365</v>
      </c>
      <c r="H115" s="154" t="s">
        <v>1366</v>
      </c>
      <c r="I115" s="154"/>
      <c r="J115" s="165" t="s">
        <v>1367</v>
      </c>
      <c r="K115" s="154" t="s">
        <v>1368</v>
      </c>
    </row>
    <row r="116" spans="1:11" x14ac:dyDescent="0.25">
      <c r="A116" s="206" t="s">
        <v>2031</v>
      </c>
      <c r="B116" s="207" t="s">
        <v>2032</v>
      </c>
      <c r="C116" s="217" t="s">
        <v>1139</v>
      </c>
      <c r="D116" s="207"/>
      <c r="E116" s="207" t="s">
        <v>2033</v>
      </c>
      <c r="F116" s="207"/>
      <c r="G116" s="207"/>
      <c r="H116" s="207" t="s">
        <v>1734</v>
      </c>
      <c r="I116" s="207" t="s">
        <v>1735</v>
      </c>
      <c r="J116" s="222" t="s">
        <v>2034</v>
      </c>
      <c r="K116" s="207" t="s">
        <v>2035</v>
      </c>
    </row>
    <row r="117" spans="1:11" ht="60" x14ac:dyDescent="0.25">
      <c r="A117" s="263" t="s">
        <v>2391</v>
      </c>
      <c r="B117" s="264" t="s">
        <v>2392</v>
      </c>
      <c r="C117" s="277" t="s">
        <v>1139</v>
      </c>
      <c r="D117" s="264"/>
      <c r="E117" s="264" t="s">
        <v>2393</v>
      </c>
      <c r="F117" s="264"/>
      <c r="G117" s="264"/>
      <c r="H117" s="264" t="s">
        <v>2394</v>
      </c>
      <c r="I117" s="264" t="s">
        <v>2395</v>
      </c>
      <c r="J117" s="292" t="s">
        <v>2396</v>
      </c>
      <c r="K117" s="264" t="s">
        <v>2397</v>
      </c>
    </row>
    <row r="118" spans="1:11" ht="30" x14ac:dyDescent="0.25">
      <c r="A118" s="45" t="s">
        <v>2229</v>
      </c>
      <c r="B118" s="39" t="s">
        <v>2230</v>
      </c>
      <c r="C118" s="39" t="s">
        <v>1139</v>
      </c>
      <c r="D118" s="39"/>
      <c r="E118" s="39" t="s">
        <v>2231</v>
      </c>
      <c r="F118" s="39"/>
      <c r="G118" s="39"/>
      <c r="H118" s="604" t="s">
        <v>2235</v>
      </c>
      <c r="I118" s="41" t="s">
        <v>2232</v>
      </c>
      <c r="J118" s="40" t="s">
        <v>2233</v>
      </c>
      <c r="K118" s="39" t="s">
        <v>2234</v>
      </c>
    </row>
    <row r="119" spans="1:11" x14ac:dyDescent="0.25">
      <c r="A119" s="45" t="s">
        <v>1277</v>
      </c>
      <c r="B119" s="39" t="s">
        <v>249</v>
      </c>
      <c r="C119" s="36" t="s">
        <v>1139</v>
      </c>
      <c r="D119" s="39"/>
      <c r="E119" s="39"/>
      <c r="F119" s="39"/>
      <c r="G119" s="39"/>
      <c r="H119" s="39"/>
      <c r="I119" s="39" t="s">
        <v>251</v>
      </c>
      <c r="J119" s="40" t="s">
        <v>250</v>
      </c>
      <c r="K119" s="39"/>
    </row>
    <row r="120" spans="1:11" ht="30" x14ac:dyDescent="0.25">
      <c r="A120" s="45" t="s">
        <v>777</v>
      </c>
      <c r="B120" s="39" t="s">
        <v>778</v>
      </c>
      <c r="C120" s="74" t="s">
        <v>1139</v>
      </c>
      <c r="D120" s="39"/>
      <c r="E120" s="43" t="s">
        <v>1032</v>
      </c>
      <c r="F120" s="39"/>
      <c r="G120" s="39" t="s">
        <v>1268</v>
      </c>
      <c r="H120" s="39" t="s">
        <v>1269</v>
      </c>
      <c r="I120" s="39" t="s">
        <v>779</v>
      </c>
      <c r="J120" s="40" t="s">
        <v>1270</v>
      </c>
      <c r="K120" s="43" t="s">
        <v>1033</v>
      </c>
    </row>
    <row r="121" spans="1:11" ht="30" x14ac:dyDescent="0.25">
      <c r="A121" s="181" t="s">
        <v>1717</v>
      </c>
      <c r="B121" s="186" t="s">
        <v>1718</v>
      </c>
      <c r="C121" s="188" t="s">
        <v>1139</v>
      </c>
      <c r="D121" s="186"/>
      <c r="E121" s="186" t="s">
        <v>1719</v>
      </c>
      <c r="F121" s="186"/>
      <c r="G121" s="186" t="s">
        <v>1720</v>
      </c>
      <c r="H121" s="186" t="s">
        <v>1721</v>
      </c>
      <c r="I121" s="186"/>
      <c r="J121" s="191" t="s">
        <v>1722</v>
      </c>
      <c r="K121" s="186" t="s">
        <v>1723</v>
      </c>
    </row>
    <row r="122" spans="1:11" ht="30" x14ac:dyDescent="0.25">
      <c r="A122" s="45" t="s">
        <v>1271</v>
      </c>
      <c r="B122" s="39" t="s">
        <v>221</v>
      </c>
      <c r="C122" s="74" t="s">
        <v>1139</v>
      </c>
      <c r="D122" s="39" t="s">
        <v>21</v>
      </c>
      <c r="E122" s="39"/>
      <c r="F122" s="39"/>
      <c r="G122" s="39"/>
      <c r="H122" s="604" t="s">
        <v>224</v>
      </c>
      <c r="I122" s="41" t="s">
        <v>222</v>
      </c>
      <c r="J122" s="40" t="s">
        <v>223</v>
      </c>
      <c r="K122" s="39"/>
    </row>
    <row r="123" spans="1:11" ht="30" x14ac:dyDescent="0.25">
      <c r="A123" s="103" t="s">
        <v>1094</v>
      </c>
      <c r="B123" s="104" t="s">
        <v>1095</v>
      </c>
      <c r="C123" s="74" t="s">
        <v>1139</v>
      </c>
      <c r="D123" s="104"/>
      <c r="E123" s="104" t="s">
        <v>1069</v>
      </c>
      <c r="F123" s="104"/>
      <c r="G123" s="104"/>
      <c r="H123" s="104"/>
      <c r="I123" s="104"/>
      <c r="J123" s="122"/>
      <c r="K123" s="104"/>
    </row>
    <row r="124" spans="1:11" ht="105" x14ac:dyDescent="0.25">
      <c r="A124" s="147" t="s">
        <v>1225</v>
      </c>
      <c r="B124" s="148" t="s">
        <v>1226</v>
      </c>
      <c r="C124" s="624" t="s">
        <v>1139</v>
      </c>
      <c r="D124" s="148"/>
      <c r="E124" s="39" t="s">
        <v>1227</v>
      </c>
      <c r="F124" s="148" t="s">
        <v>1226</v>
      </c>
      <c r="G124" s="148"/>
      <c r="H124" s="604" t="s">
        <v>1228</v>
      </c>
      <c r="I124" s="163" t="s">
        <v>1229</v>
      </c>
      <c r="J124" s="168" t="s">
        <v>1230</v>
      </c>
      <c r="K124" s="148" t="s">
        <v>1231</v>
      </c>
    </row>
    <row r="125" spans="1:11" x14ac:dyDescent="0.25">
      <c r="A125" s="45" t="s">
        <v>1266</v>
      </c>
      <c r="B125" s="39" t="s">
        <v>235</v>
      </c>
      <c r="C125" s="621" t="s">
        <v>1139</v>
      </c>
      <c r="D125" s="39"/>
      <c r="E125" s="39"/>
      <c r="F125" s="39"/>
      <c r="G125" s="39"/>
      <c r="H125" s="39"/>
      <c r="I125" s="39"/>
      <c r="J125" s="40"/>
      <c r="K125" s="39"/>
    </row>
    <row r="126" spans="1:11" x14ac:dyDescent="0.25">
      <c r="A126" s="206" t="s">
        <v>2173</v>
      </c>
      <c r="B126" s="207" t="s">
        <v>3258</v>
      </c>
      <c r="C126" s="623" t="s">
        <v>1141</v>
      </c>
      <c r="D126" s="207"/>
      <c r="E126" s="207" t="s">
        <v>1156</v>
      </c>
      <c r="F126" s="207"/>
      <c r="G126" s="207"/>
      <c r="H126" s="207" t="s">
        <v>2174</v>
      </c>
      <c r="I126" s="207" t="s">
        <v>2175</v>
      </c>
      <c r="J126" s="222" t="s">
        <v>2176</v>
      </c>
      <c r="K126" s="207" t="s">
        <v>2177</v>
      </c>
    </row>
    <row r="127" spans="1:11" ht="30" x14ac:dyDescent="0.25">
      <c r="A127" s="206" t="s">
        <v>1892</v>
      </c>
      <c r="B127" s="207" t="s">
        <v>1893</v>
      </c>
      <c r="C127" s="623" t="s">
        <v>1139</v>
      </c>
      <c r="D127" s="207"/>
      <c r="E127" s="207" t="s">
        <v>129</v>
      </c>
      <c r="F127" s="207"/>
      <c r="G127" s="207"/>
      <c r="H127" s="207" t="s">
        <v>1894</v>
      </c>
      <c r="I127" s="207" t="s">
        <v>1895</v>
      </c>
      <c r="J127" s="222" t="s">
        <v>1896</v>
      </c>
      <c r="K127" s="207" t="s">
        <v>1897</v>
      </c>
    </row>
    <row r="128" spans="1:11" ht="30" x14ac:dyDescent="0.25">
      <c r="A128" s="45" t="s">
        <v>1272</v>
      </c>
      <c r="B128" s="39" t="s">
        <v>76</v>
      </c>
      <c r="C128" s="38" t="s">
        <v>1139</v>
      </c>
      <c r="D128" s="39"/>
      <c r="E128" s="39"/>
      <c r="F128" s="39" t="s">
        <v>77</v>
      </c>
      <c r="G128" s="39"/>
      <c r="H128" s="39"/>
      <c r="I128" s="39"/>
      <c r="J128" s="40"/>
      <c r="K128" s="39"/>
    </row>
    <row r="129" spans="1:11" ht="30" x14ac:dyDescent="0.25">
      <c r="A129" s="181" t="s">
        <v>1609</v>
      </c>
      <c r="B129" s="186" t="s">
        <v>1610</v>
      </c>
      <c r="C129" s="625" t="s">
        <v>1139</v>
      </c>
      <c r="D129" s="186"/>
      <c r="E129" s="186" t="s">
        <v>1611</v>
      </c>
      <c r="F129" s="186"/>
      <c r="G129" s="186"/>
      <c r="H129" s="186" t="s">
        <v>1612</v>
      </c>
      <c r="I129" s="186" t="s">
        <v>1613</v>
      </c>
      <c r="J129" s="191" t="s">
        <v>1614</v>
      </c>
      <c r="K129" s="186" t="s">
        <v>1615</v>
      </c>
    </row>
    <row r="130" spans="1:11" ht="30" x14ac:dyDescent="0.25">
      <c r="A130" s="45" t="s">
        <v>1273</v>
      </c>
      <c r="B130" s="39" t="s">
        <v>84</v>
      </c>
      <c r="C130" s="621" t="s">
        <v>1139</v>
      </c>
      <c r="D130" s="39" t="s">
        <v>85</v>
      </c>
      <c r="E130" s="39" t="s">
        <v>86</v>
      </c>
      <c r="F130" s="39"/>
      <c r="G130" s="39" t="s">
        <v>1309</v>
      </c>
      <c r="H130" s="39" t="s">
        <v>1191</v>
      </c>
      <c r="I130" s="39"/>
      <c r="J130" s="40" t="s">
        <v>1310</v>
      </c>
      <c r="K130" s="39"/>
    </row>
    <row r="131" spans="1:11" x14ac:dyDescent="0.25">
      <c r="A131" s="46" t="s">
        <v>1013</v>
      </c>
      <c r="B131" s="43" t="s">
        <v>1274</v>
      </c>
      <c r="C131" s="74" t="s">
        <v>1139</v>
      </c>
      <c r="D131" s="93"/>
      <c r="E131" s="94" t="s">
        <v>1014</v>
      </c>
      <c r="F131" s="94"/>
      <c r="G131" s="94"/>
      <c r="H131" s="126"/>
      <c r="I131" s="94"/>
      <c r="J131" s="96"/>
      <c r="K131" s="97"/>
    </row>
    <row r="132" spans="1:11" x14ac:dyDescent="0.25">
      <c r="A132" s="353" t="s">
        <v>2487</v>
      </c>
      <c r="B132" s="360" t="s">
        <v>2486</v>
      </c>
      <c r="C132" s="370" t="s">
        <v>1139</v>
      </c>
      <c r="D132" s="339"/>
      <c r="E132" s="340" t="s">
        <v>2484</v>
      </c>
      <c r="F132" s="345" t="s">
        <v>2522</v>
      </c>
      <c r="G132" s="341"/>
      <c r="H132" s="342"/>
      <c r="I132" s="341"/>
      <c r="J132" s="343"/>
      <c r="K132" s="344"/>
    </row>
    <row r="133" spans="1:11" x14ac:dyDescent="0.25">
      <c r="A133" s="1" t="s">
        <v>368</v>
      </c>
      <c r="B133" s="58" t="s">
        <v>368</v>
      </c>
      <c r="C133" s="74" t="s">
        <v>1139</v>
      </c>
      <c r="D133" s="55"/>
      <c r="E133" s="56" t="s">
        <v>367</v>
      </c>
      <c r="F133" s="56"/>
      <c r="G133" s="56"/>
      <c r="H133" s="604" t="s">
        <v>369</v>
      </c>
      <c r="I133" s="56"/>
      <c r="J133" s="57"/>
      <c r="K133" s="45"/>
    </row>
    <row r="134" spans="1:11" x14ac:dyDescent="0.25">
      <c r="A134" s="1" t="s">
        <v>184</v>
      </c>
      <c r="B134" s="58" t="s">
        <v>184</v>
      </c>
      <c r="C134" s="74" t="s">
        <v>1139</v>
      </c>
      <c r="D134" s="55"/>
      <c r="E134" s="56"/>
      <c r="F134" s="56"/>
      <c r="G134" s="56"/>
      <c r="H134" s="71"/>
      <c r="I134" s="56"/>
      <c r="J134" s="57"/>
      <c r="K134" s="45"/>
    </row>
    <row r="135" spans="1:11" x14ac:dyDescent="0.25">
      <c r="A135" s="1" t="s">
        <v>92</v>
      </c>
      <c r="B135" s="58" t="s">
        <v>92</v>
      </c>
      <c r="C135" s="74" t="s">
        <v>1139</v>
      </c>
      <c r="D135" s="55"/>
      <c r="E135" s="56"/>
      <c r="F135" s="56"/>
      <c r="G135" s="56"/>
      <c r="H135" s="71"/>
      <c r="I135" s="56"/>
      <c r="J135" s="57"/>
      <c r="K135" s="45"/>
    </row>
    <row r="136" spans="1:11" x14ac:dyDescent="0.25">
      <c r="A136" s="45" t="s">
        <v>376</v>
      </c>
      <c r="B136" s="39" t="s">
        <v>376</v>
      </c>
      <c r="C136" s="621" t="s">
        <v>1139</v>
      </c>
      <c r="D136" s="55"/>
      <c r="E136" s="56"/>
      <c r="F136" s="56"/>
      <c r="G136" s="56"/>
      <c r="H136" s="604" t="s">
        <v>381</v>
      </c>
      <c r="I136" s="56"/>
      <c r="J136" s="57" t="s">
        <v>380</v>
      </c>
      <c r="K136" s="45"/>
    </row>
    <row r="137" spans="1:11" ht="75" customHeight="1" x14ac:dyDescent="0.25">
      <c r="A137" s="1" t="s">
        <v>263</v>
      </c>
      <c r="B137" s="58" t="s">
        <v>263</v>
      </c>
      <c r="C137" s="38" t="s">
        <v>1139</v>
      </c>
      <c r="D137" s="55"/>
      <c r="E137" s="56"/>
      <c r="F137" s="56"/>
      <c r="G137" s="56"/>
      <c r="H137" s="71"/>
      <c r="I137" s="56"/>
      <c r="J137" s="57"/>
      <c r="K137" s="45"/>
    </row>
    <row r="138" spans="1:11" ht="105" x14ac:dyDescent="0.25">
      <c r="A138" s="351" t="s">
        <v>2534</v>
      </c>
      <c r="B138" s="357" t="s">
        <v>2534</v>
      </c>
      <c r="C138" s="621" t="s">
        <v>1141</v>
      </c>
      <c r="D138" s="350"/>
      <c r="E138" s="56" t="s">
        <v>2535</v>
      </c>
      <c r="F138" s="56"/>
      <c r="G138" s="56"/>
      <c r="H138" s="71"/>
      <c r="I138" s="56" t="s">
        <v>2536</v>
      </c>
      <c r="J138" s="57" t="s">
        <v>2537</v>
      </c>
      <c r="K138" s="45" t="s">
        <v>2538</v>
      </c>
    </row>
    <row r="139" spans="1:11" ht="60" x14ac:dyDescent="0.25">
      <c r="A139" s="317" t="s">
        <v>2529</v>
      </c>
      <c r="B139" s="318" t="s">
        <v>2529</v>
      </c>
      <c r="C139" s="621" t="s">
        <v>1141</v>
      </c>
      <c r="D139" s="55"/>
      <c r="E139" s="56" t="s">
        <v>2530</v>
      </c>
      <c r="F139" s="56"/>
      <c r="G139" s="56"/>
      <c r="H139" s="71"/>
      <c r="I139" s="56" t="s">
        <v>2531</v>
      </c>
      <c r="J139" s="57" t="s">
        <v>2532</v>
      </c>
      <c r="K139" s="45" t="s">
        <v>2533</v>
      </c>
    </row>
    <row r="140" spans="1:11" ht="90" x14ac:dyDescent="0.25">
      <c r="A140" s="348" t="s">
        <v>2544</v>
      </c>
      <c r="B140" s="349" t="s">
        <v>2545</v>
      </c>
      <c r="C140" s="621" t="s">
        <v>1141</v>
      </c>
      <c r="D140" s="350"/>
      <c r="E140" s="56" t="s">
        <v>2546</v>
      </c>
      <c r="F140" s="56"/>
      <c r="G140" s="56"/>
      <c r="H140" s="71" t="s">
        <v>2547</v>
      </c>
      <c r="I140" s="347" t="s">
        <v>2548</v>
      </c>
      <c r="J140" s="57" t="s">
        <v>2549</v>
      </c>
      <c r="K140" s="45" t="s">
        <v>2550</v>
      </c>
    </row>
    <row r="141" spans="1:11" x14ac:dyDescent="0.25">
      <c r="A141" s="170" t="s">
        <v>1384</v>
      </c>
      <c r="B141" s="171" t="s">
        <v>1385</v>
      </c>
      <c r="C141" s="622" t="s">
        <v>1141</v>
      </c>
      <c r="D141" s="137"/>
      <c r="E141" s="138" t="s">
        <v>1386</v>
      </c>
      <c r="F141" s="138"/>
      <c r="G141" s="138"/>
      <c r="H141" s="152"/>
      <c r="I141" s="138" t="s">
        <v>1387</v>
      </c>
      <c r="J141" s="153"/>
      <c r="K141" s="139"/>
    </row>
    <row r="142" spans="1:11" x14ac:dyDescent="0.25">
      <c r="A142" s="661" t="s">
        <v>3441</v>
      </c>
      <c r="B142" s="364" t="s">
        <v>1644</v>
      </c>
      <c r="C142" s="625" t="s">
        <v>1141</v>
      </c>
      <c r="D142" s="182"/>
      <c r="E142" s="183" t="s">
        <v>1645</v>
      </c>
      <c r="F142" s="183"/>
      <c r="G142" s="183"/>
      <c r="H142" s="184" t="s">
        <v>1646</v>
      </c>
      <c r="I142" s="183" t="s">
        <v>1647</v>
      </c>
      <c r="J142" s="185" t="s">
        <v>1648</v>
      </c>
      <c r="K142" s="181" t="s">
        <v>1649</v>
      </c>
    </row>
    <row r="143" spans="1:11" ht="30" x14ac:dyDescent="0.25">
      <c r="A143" s="289" t="s">
        <v>1092</v>
      </c>
      <c r="B143" s="288" t="s">
        <v>1093</v>
      </c>
      <c r="C143" s="621" t="s">
        <v>1139</v>
      </c>
      <c r="D143" s="93"/>
      <c r="E143" s="94" t="s">
        <v>1069</v>
      </c>
      <c r="F143" s="94"/>
      <c r="G143" s="94"/>
      <c r="H143" s="126"/>
      <c r="I143" s="94"/>
      <c r="J143" s="96"/>
      <c r="K143" s="97"/>
    </row>
    <row r="144" spans="1:11" ht="30" x14ac:dyDescent="0.25">
      <c r="A144" s="206" t="s">
        <v>2074</v>
      </c>
      <c r="B144" s="207" t="s">
        <v>2075</v>
      </c>
      <c r="C144" s="623" t="s">
        <v>1139</v>
      </c>
      <c r="D144" s="202"/>
      <c r="E144" s="203" t="s">
        <v>2076</v>
      </c>
      <c r="F144" s="203"/>
      <c r="G144" s="203"/>
      <c r="H144" s="204" t="s">
        <v>2077</v>
      </c>
      <c r="I144" s="203" t="s">
        <v>2078</v>
      </c>
      <c r="J144" s="205" t="s">
        <v>2079</v>
      </c>
      <c r="K144" s="206" t="s">
        <v>2080</v>
      </c>
    </row>
    <row r="145" spans="1:11" x14ac:dyDescent="0.25">
      <c r="A145" s="45" t="s">
        <v>3439</v>
      </c>
      <c r="B145" s="39" t="s">
        <v>48</v>
      </c>
      <c r="C145" s="38" t="s">
        <v>1141</v>
      </c>
      <c r="D145" s="55" t="s">
        <v>13</v>
      </c>
      <c r="E145" s="1" t="s">
        <v>14</v>
      </c>
      <c r="F145" s="56"/>
      <c r="G145" s="56"/>
      <c r="H145" s="604" t="s">
        <v>3172</v>
      </c>
      <c r="I145" s="56"/>
      <c r="J145" s="57" t="s">
        <v>3193</v>
      </c>
      <c r="K145" s="45"/>
    </row>
    <row r="146" spans="1:11" ht="30" x14ac:dyDescent="0.25">
      <c r="A146" s="1" t="s">
        <v>179</v>
      </c>
      <c r="B146" s="58" t="s">
        <v>180</v>
      </c>
      <c r="C146" s="38" t="s">
        <v>1141</v>
      </c>
      <c r="D146" s="55" t="s">
        <v>105</v>
      </c>
      <c r="E146" s="56"/>
      <c r="F146" s="56"/>
      <c r="G146" s="56"/>
      <c r="H146" s="604" t="s">
        <v>181</v>
      </c>
      <c r="I146" s="73" t="s">
        <v>182</v>
      </c>
      <c r="J146" s="57" t="s">
        <v>183</v>
      </c>
      <c r="K146" s="45"/>
    </row>
    <row r="147" spans="1:11" ht="75" x14ac:dyDescent="0.25">
      <c r="A147" s="1" t="s">
        <v>3440</v>
      </c>
      <c r="B147" s="58" t="s">
        <v>52</v>
      </c>
      <c r="C147" s="38" t="s">
        <v>1141</v>
      </c>
      <c r="D147" s="55" t="s">
        <v>25</v>
      </c>
      <c r="E147" s="56" t="s">
        <v>26</v>
      </c>
      <c r="F147" s="56" t="s">
        <v>3437</v>
      </c>
      <c r="G147" s="56" t="s">
        <v>775</v>
      </c>
      <c r="H147" s="604" t="s">
        <v>774</v>
      </c>
      <c r="I147" s="56"/>
      <c r="J147" s="57" t="s">
        <v>776</v>
      </c>
      <c r="K147" s="45"/>
    </row>
    <row r="148" spans="1:11" ht="30" x14ac:dyDescent="0.25">
      <c r="A148" s="45" t="s">
        <v>3438</v>
      </c>
      <c r="B148" s="39" t="s">
        <v>51</v>
      </c>
      <c r="C148" s="38" t="s">
        <v>1141</v>
      </c>
      <c r="D148" s="55" t="s">
        <v>25</v>
      </c>
      <c r="E148" s="56" t="s">
        <v>26</v>
      </c>
      <c r="F148" s="56"/>
      <c r="G148" s="56"/>
      <c r="H148" s="71"/>
      <c r="I148" s="56"/>
      <c r="J148" s="57"/>
      <c r="K148" s="45"/>
    </row>
    <row r="149" spans="1:11" ht="30" x14ac:dyDescent="0.25">
      <c r="A149" s="206" t="s">
        <v>1999</v>
      </c>
      <c r="B149" s="207" t="s">
        <v>2000</v>
      </c>
      <c r="C149" s="626" t="s">
        <v>1141</v>
      </c>
      <c r="D149" s="202"/>
      <c r="E149" s="203" t="s">
        <v>2001</v>
      </c>
      <c r="F149" s="203"/>
      <c r="G149" s="203"/>
      <c r="H149" s="204" t="s">
        <v>2002</v>
      </c>
      <c r="I149" s="203" t="s">
        <v>2003</v>
      </c>
      <c r="J149" s="205" t="s">
        <v>2004</v>
      </c>
      <c r="K149" s="206" t="s">
        <v>2005</v>
      </c>
    </row>
    <row r="150" spans="1:11" ht="30" x14ac:dyDescent="0.25">
      <c r="A150" s="45" t="s">
        <v>108</v>
      </c>
      <c r="B150" s="39" t="s">
        <v>109</v>
      </c>
      <c r="C150" s="38" t="s">
        <v>1141</v>
      </c>
      <c r="D150" s="55" t="s">
        <v>105</v>
      </c>
      <c r="E150" s="56" t="s">
        <v>110</v>
      </c>
      <c r="F150" s="56"/>
      <c r="G150" s="56"/>
      <c r="H150" s="71"/>
      <c r="I150" s="56"/>
      <c r="J150" s="57"/>
      <c r="K150" s="45"/>
    </row>
    <row r="151" spans="1:11" ht="30" x14ac:dyDescent="0.25">
      <c r="A151" s="355" t="s">
        <v>2339</v>
      </c>
      <c r="B151" s="363" t="s">
        <v>2340</v>
      </c>
      <c r="C151" s="626" t="s">
        <v>1141</v>
      </c>
      <c r="D151" s="253" t="s">
        <v>79</v>
      </c>
      <c r="E151" s="254" t="s">
        <v>220</v>
      </c>
      <c r="F151" s="254"/>
      <c r="G151" s="254"/>
      <c r="H151" s="255" t="s">
        <v>217</v>
      </c>
      <c r="I151" s="254" t="s">
        <v>218</v>
      </c>
      <c r="J151" s="256" t="s">
        <v>219</v>
      </c>
      <c r="K151" s="257"/>
    </row>
    <row r="152" spans="1:11" ht="30" x14ac:dyDescent="0.25">
      <c r="A152" s="207" t="s">
        <v>3264</v>
      </c>
      <c r="B152" s="207" t="s">
        <v>1863</v>
      </c>
      <c r="C152" s="623" t="s">
        <v>1141</v>
      </c>
      <c r="D152" s="202"/>
      <c r="E152" s="203" t="s">
        <v>1864</v>
      </c>
      <c r="F152" s="203"/>
      <c r="G152" s="203" t="s">
        <v>1865</v>
      </c>
      <c r="H152" s="204" t="s">
        <v>1866</v>
      </c>
      <c r="I152" s="203" t="s">
        <v>1867</v>
      </c>
      <c r="J152" s="205" t="s">
        <v>1868</v>
      </c>
      <c r="K152" s="206" t="s">
        <v>1869</v>
      </c>
    </row>
    <row r="153" spans="1:11" ht="45" x14ac:dyDescent="0.25">
      <c r="A153" s="293" t="s">
        <v>2254</v>
      </c>
      <c r="B153" s="294" t="s">
        <v>2255</v>
      </c>
      <c r="C153" s="38" t="s">
        <v>1141</v>
      </c>
      <c r="D153" s="295"/>
      <c r="E153" s="296" t="s">
        <v>2256</v>
      </c>
      <c r="F153" s="296"/>
      <c r="G153" s="296"/>
      <c r="H153" s="604" t="s">
        <v>2257</v>
      </c>
      <c r="I153" s="267" t="s">
        <v>2258</v>
      </c>
      <c r="J153" s="166" t="s">
        <v>2259</v>
      </c>
      <c r="K153" s="298" t="s">
        <v>2260</v>
      </c>
    </row>
    <row r="154" spans="1:11" ht="30" x14ac:dyDescent="0.25">
      <c r="A154" s="1" t="s">
        <v>3436</v>
      </c>
      <c r="B154" s="58" t="s">
        <v>638</v>
      </c>
      <c r="C154" s="38" t="s">
        <v>1141</v>
      </c>
      <c r="D154" s="55"/>
      <c r="E154" s="56" t="s">
        <v>639</v>
      </c>
      <c r="F154" s="56"/>
      <c r="G154" s="56" t="s">
        <v>640</v>
      </c>
      <c r="H154" s="71" t="s">
        <v>641</v>
      </c>
      <c r="I154" s="56" t="s">
        <v>642</v>
      </c>
      <c r="J154" s="57" t="s">
        <v>643</v>
      </c>
      <c r="K154" s="45"/>
    </row>
    <row r="155" spans="1:11" ht="45" x14ac:dyDescent="0.25">
      <c r="A155" s="661" t="s">
        <v>3435</v>
      </c>
      <c r="B155" s="272" t="s">
        <v>2398</v>
      </c>
      <c r="C155" s="237" t="s">
        <v>1141</v>
      </c>
      <c r="D155" s="259"/>
      <c r="E155" s="260" t="s">
        <v>2399</v>
      </c>
      <c r="F155" s="260"/>
      <c r="G155" s="260"/>
      <c r="H155" s="261" t="s">
        <v>2400</v>
      </c>
      <c r="I155" s="260" t="s">
        <v>2401</v>
      </c>
      <c r="J155" s="262" t="s">
        <v>2402</v>
      </c>
      <c r="K155" s="263" t="s">
        <v>2403</v>
      </c>
    </row>
    <row r="156" spans="1:11" ht="30" x14ac:dyDescent="0.25">
      <c r="A156" s="1" t="s">
        <v>3434</v>
      </c>
      <c r="B156" s="58" t="s">
        <v>38</v>
      </c>
      <c r="C156" s="38" t="s">
        <v>1141</v>
      </c>
      <c r="D156" s="55" t="s">
        <v>37</v>
      </c>
      <c r="E156" s="56" t="s">
        <v>38</v>
      </c>
      <c r="F156" s="56"/>
      <c r="G156" s="56"/>
      <c r="H156" s="604" t="s">
        <v>1265</v>
      </c>
      <c r="I156" s="56"/>
      <c r="J156" s="57"/>
      <c r="K156" s="45"/>
    </row>
    <row r="157" spans="1:11" ht="45" x14ac:dyDescent="0.25">
      <c r="A157" s="640" t="s">
        <v>3433</v>
      </c>
      <c r="B157" s="258" t="s">
        <v>3289</v>
      </c>
      <c r="C157" s="237" t="s">
        <v>1141</v>
      </c>
      <c r="D157" s="253"/>
      <c r="E157" s="254" t="s">
        <v>1979</v>
      </c>
      <c r="F157" s="254"/>
      <c r="G157" s="254"/>
      <c r="H157" s="255" t="s">
        <v>1980</v>
      </c>
      <c r="I157" s="254" t="s">
        <v>1981</v>
      </c>
      <c r="J157" s="256" t="s">
        <v>1982</v>
      </c>
      <c r="K157" s="257" t="s">
        <v>1983</v>
      </c>
    </row>
    <row r="158" spans="1:11" ht="30" x14ac:dyDescent="0.25">
      <c r="A158" s="269" t="s">
        <v>3432</v>
      </c>
      <c r="B158" s="362" t="s">
        <v>1942</v>
      </c>
      <c r="C158" s="237" t="s">
        <v>1141</v>
      </c>
      <c r="D158" s="209"/>
      <c r="E158" s="210" t="s">
        <v>1943</v>
      </c>
      <c r="F158" s="210"/>
      <c r="G158" s="210"/>
      <c r="H158" s="604" t="s">
        <v>1944</v>
      </c>
      <c r="I158" s="211" t="s">
        <v>1945</v>
      </c>
      <c r="J158" s="212" t="s">
        <v>1946</v>
      </c>
      <c r="K158" s="213" t="s">
        <v>1947</v>
      </c>
    </row>
    <row r="159" spans="1:11" ht="30" x14ac:dyDescent="0.25">
      <c r="A159" s="45" t="s">
        <v>1771</v>
      </c>
      <c r="B159" s="39" t="s">
        <v>1771</v>
      </c>
      <c r="C159" s="74" t="s">
        <v>1141</v>
      </c>
      <c r="D159" s="55"/>
      <c r="E159" s="56" t="s">
        <v>1772</v>
      </c>
      <c r="F159" s="56"/>
      <c r="G159" s="56"/>
      <c r="H159" s="71" t="s">
        <v>1773</v>
      </c>
      <c r="I159" s="56" t="s">
        <v>1774</v>
      </c>
      <c r="J159" s="57" t="s">
        <v>1775</v>
      </c>
      <c r="K159" s="45" t="s">
        <v>1776</v>
      </c>
    </row>
    <row r="160" spans="1:11" ht="75" x14ac:dyDescent="0.25">
      <c r="A160" s="45" t="s">
        <v>300</v>
      </c>
      <c r="B160" s="39" t="s">
        <v>305</v>
      </c>
      <c r="C160" s="38" t="s">
        <v>1141</v>
      </c>
      <c r="D160" s="55" t="s">
        <v>79</v>
      </c>
      <c r="E160" s="56"/>
      <c r="F160" s="56"/>
      <c r="G160" s="56" t="s">
        <v>306</v>
      </c>
      <c r="H160" s="604" t="s">
        <v>302</v>
      </c>
      <c r="I160" s="56" t="s">
        <v>301</v>
      </c>
      <c r="J160" s="57" t="s">
        <v>303</v>
      </c>
      <c r="K160" s="45"/>
    </row>
    <row r="161" spans="1:11" x14ac:dyDescent="0.25">
      <c r="A161" s="45" t="s">
        <v>3431</v>
      </c>
      <c r="B161" s="39" t="s">
        <v>54</v>
      </c>
      <c r="C161" s="38" t="s">
        <v>1141</v>
      </c>
      <c r="D161" s="55"/>
      <c r="E161" s="56"/>
      <c r="F161" s="56"/>
      <c r="G161" s="56"/>
      <c r="H161" s="71"/>
      <c r="I161" s="56"/>
      <c r="J161" s="57"/>
      <c r="K161" s="45"/>
    </row>
    <row r="162" spans="1:11" ht="30" x14ac:dyDescent="0.25">
      <c r="A162" s="45" t="s">
        <v>3430</v>
      </c>
      <c r="B162" s="39" t="s">
        <v>125</v>
      </c>
      <c r="C162" s="38" t="s">
        <v>1141</v>
      </c>
      <c r="D162" s="55" t="s">
        <v>13</v>
      </c>
      <c r="E162" s="56"/>
      <c r="F162" s="56" t="s">
        <v>126</v>
      </c>
      <c r="G162" s="56"/>
      <c r="H162" s="71"/>
      <c r="I162" s="56"/>
      <c r="J162" s="57"/>
      <c r="K162" s="45"/>
    </row>
    <row r="163" spans="1:11" ht="30.75" x14ac:dyDescent="0.3">
      <c r="A163" s="352" t="s">
        <v>3429</v>
      </c>
      <c r="B163" s="358" t="s">
        <v>2261</v>
      </c>
      <c r="C163" s="38" t="s">
        <v>1141</v>
      </c>
      <c r="D163" s="295"/>
      <c r="E163" s="296" t="s">
        <v>2262</v>
      </c>
      <c r="F163" s="296"/>
      <c r="G163" s="296"/>
      <c r="H163" s="604" t="s">
        <v>2263</v>
      </c>
      <c r="I163" s="282" t="s">
        <v>2264</v>
      </c>
      <c r="J163" s="266" t="s">
        <v>2265</v>
      </c>
      <c r="K163" s="298" t="s">
        <v>2266</v>
      </c>
    </row>
    <row r="164" spans="1:11" ht="45" x14ac:dyDescent="0.25">
      <c r="A164" s="46" t="s">
        <v>3428</v>
      </c>
      <c r="B164" s="252" t="s">
        <v>2341</v>
      </c>
      <c r="C164" s="626" t="s">
        <v>1141</v>
      </c>
      <c r="D164" s="247"/>
      <c r="E164" s="248" t="s">
        <v>2342</v>
      </c>
      <c r="F164" s="248"/>
      <c r="G164" s="248"/>
      <c r="H164" s="604" t="s">
        <v>2343</v>
      </c>
      <c r="I164" s="73" t="s">
        <v>2344</v>
      </c>
      <c r="J164" s="250" t="s">
        <v>2345</v>
      </c>
      <c r="K164" s="251" t="s">
        <v>2346</v>
      </c>
    </row>
    <row r="165" spans="1:11" ht="45" x14ac:dyDescent="0.25">
      <c r="A165" s="640" t="s">
        <v>3427</v>
      </c>
      <c r="B165" s="104" t="s">
        <v>952</v>
      </c>
      <c r="C165" s="38" t="s">
        <v>1141</v>
      </c>
      <c r="D165" s="99"/>
      <c r="E165" s="100" t="s">
        <v>953</v>
      </c>
      <c r="F165" s="100"/>
      <c r="G165" s="100" t="s">
        <v>954</v>
      </c>
      <c r="H165" s="101" t="s">
        <v>955</v>
      </c>
      <c r="I165" s="100" t="s">
        <v>956</v>
      </c>
      <c r="J165" s="102" t="s">
        <v>957</v>
      </c>
      <c r="K165" s="103" t="s">
        <v>958</v>
      </c>
    </row>
    <row r="166" spans="1:11" ht="45" x14ac:dyDescent="0.25">
      <c r="A166" s="257" t="s">
        <v>2369</v>
      </c>
      <c r="B166" s="258" t="s">
        <v>2370</v>
      </c>
      <c r="C166" s="626" t="s">
        <v>1141</v>
      </c>
      <c r="D166" s="253"/>
      <c r="E166" s="254" t="s">
        <v>129</v>
      </c>
      <c r="F166" s="254"/>
      <c r="G166" s="254"/>
      <c r="H166" s="255" t="s">
        <v>2371</v>
      </c>
      <c r="I166" s="254" t="s">
        <v>2372</v>
      </c>
      <c r="J166" s="256" t="s">
        <v>2373</v>
      </c>
      <c r="K166" s="257" t="s">
        <v>2374</v>
      </c>
    </row>
    <row r="167" spans="1:11" ht="30" x14ac:dyDescent="0.25">
      <c r="A167" s="45" t="s">
        <v>3426</v>
      </c>
      <c r="B167" s="39"/>
      <c r="C167" s="38" t="s">
        <v>1141</v>
      </c>
      <c r="D167" s="55"/>
      <c r="E167" s="56"/>
      <c r="F167" s="56" t="s">
        <v>2809</v>
      </c>
      <c r="G167" s="56"/>
      <c r="H167" s="71"/>
      <c r="I167" s="73" t="s">
        <v>2811</v>
      </c>
      <c r="J167" s="57" t="s">
        <v>2810</v>
      </c>
      <c r="K167" s="45" t="s">
        <v>2812</v>
      </c>
    </row>
    <row r="168" spans="1:11" ht="30" x14ac:dyDescent="0.25">
      <c r="A168" s="45" t="s">
        <v>3425</v>
      </c>
      <c r="B168" s="39" t="s">
        <v>618</v>
      </c>
      <c r="C168" s="38" t="s">
        <v>1141</v>
      </c>
      <c r="D168" s="55"/>
      <c r="E168" s="56" t="s">
        <v>619</v>
      </c>
      <c r="F168" s="56"/>
      <c r="G168" s="56"/>
      <c r="H168" s="71" t="s">
        <v>620</v>
      </c>
      <c r="I168" s="56" t="s">
        <v>621</v>
      </c>
      <c r="J168" s="57" t="s">
        <v>622</v>
      </c>
      <c r="K168" s="45" t="s">
        <v>623</v>
      </c>
    </row>
    <row r="169" spans="1:11" x14ac:dyDescent="0.25">
      <c r="A169" s="45" t="s">
        <v>598</v>
      </c>
      <c r="B169" s="39" t="s">
        <v>599</v>
      </c>
      <c r="C169" s="38" t="s">
        <v>1141</v>
      </c>
      <c r="D169" s="55"/>
      <c r="E169" s="56" t="s">
        <v>607</v>
      </c>
      <c r="F169" s="56"/>
      <c r="G169" s="56"/>
      <c r="H169" s="71"/>
      <c r="I169" s="56"/>
      <c r="J169" s="57"/>
      <c r="K169" s="45"/>
    </row>
    <row r="170" spans="1:11" ht="45" x14ac:dyDescent="0.25">
      <c r="A170" s="139" t="s">
        <v>1400</v>
      </c>
      <c r="B170" s="154" t="s">
        <v>1401</v>
      </c>
      <c r="C170" s="159" t="s">
        <v>1139</v>
      </c>
      <c r="D170" s="137"/>
      <c r="E170" s="138" t="s">
        <v>741</v>
      </c>
      <c r="F170" s="138"/>
      <c r="G170" s="138"/>
      <c r="H170" s="152"/>
      <c r="I170" s="138"/>
      <c r="J170" s="153"/>
      <c r="K170" s="139" t="s">
        <v>1402</v>
      </c>
    </row>
    <row r="171" spans="1:11" ht="30" x14ac:dyDescent="0.25">
      <c r="A171" s="45" t="s">
        <v>2493</v>
      </c>
      <c r="B171" s="39" t="s">
        <v>2494</v>
      </c>
      <c r="C171" s="217" t="s">
        <v>1141</v>
      </c>
      <c r="D171" s="202"/>
      <c r="E171" s="203" t="s">
        <v>79</v>
      </c>
      <c r="F171" s="203"/>
      <c r="G171" s="203"/>
      <c r="H171" s="204" t="s">
        <v>2120</v>
      </c>
      <c r="I171" s="203" t="s">
        <v>2121</v>
      </c>
      <c r="J171" s="205" t="s">
        <v>2122</v>
      </c>
      <c r="K171" s="206" t="s">
        <v>2123</v>
      </c>
    </row>
    <row r="172" spans="1:11" ht="30" x14ac:dyDescent="0.25">
      <c r="A172" s="206" t="s">
        <v>2081</v>
      </c>
      <c r="B172" s="207" t="s">
        <v>2082</v>
      </c>
      <c r="C172" s="219" t="s">
        <v>1141</v>
      </c>
      <c r="D172" s="202"/>
      <c r="E172" s="203" t="s">
        <v>1938</v>
      </c>
      <c r="F172" s="203"/>
      <c r="G172" s="203"/>
      <c r="H172" s="204" t="s">
        <v>2083</v>
      </c>
      <c r="I172" s="203" t="s">
        <v>2084</v>
      </c>
      <c r="J172" s="205" t="s">
        <v>2085</v>
      </c>
      <c r="K172" s="206" t="s">
        <v>2086</v>
      </c>
    </row>
    <row r="173" spans="1:11" x14ac:dyDescent="0.25">
      <c r="A173" s="45" t="s">
        <v>35</v>
      </c>
      <c r="B173" s="39" t="s">
        <v>62</v>
      </c>
      <c r="C173" s="74" t="s">
        <v>1139</v>
      </c>
      <c r="D173" s="55" t="s">
        <v>17</v>
      </c>
      <c r="E173" s="56" t="s">
        <v>36</v>
      </c>
      <c r="F173" s="56"/>
      <c r="G173" s="56"/>
      <c r="H173" s="71"/>
      <c r="I173" s="56"/>
      <c r="J173" s="57"/>
      <c r="K173" s="45"/>
    </row>
    <row r="174" spans="1:11" x14ac:dyDescent="0.25">
      <c r="A174" s="45" t="s">
        <v>3424</v>
      </c>
      <c r="B174" s="39" t="s">
        <v>751</v>
      </c>
      <c r="C174" s="74" t="s">
        <v>1139</v>
      </c>
      <c r="D174" s="55"/>
      <c r="E174" s="56" t="s">
        <v>752</v>
      </c>
      <c r="F174" s="56"/>
      <c r="G174" s="56"/>
      <c r="H174" s="71" t="s">
        <v>753</v>
      </c>
      <c r="I174" s="56" t="s">
        <v>754</v>
      </c>
      <c r="J174" s="57"/>
      <c r="K174" s="45"/>
    </row>
    <row r="175" spans="1:11" ht="30" x14ac:dyDescent="0.25">
      <c r="A175" s="45" t="s">
        <v>3423</v>
      </c>
      <c r="B175" s="39" t="s">
        <v>102</v>
      </c>
      <c r="C175" s="38" t="s">
        <v>1141</v>
      </c>
      <c r="D175" s="55"/>
      <c r="E175" s="56" t="s">
        <v>103</v>
      </c>
      <c r="F175" s="56"/>
      <c r="G175" s="56"/>
      <c r="H175" s="71"/>
      <c r="I175" s="56"/>
      <c r="J175" s="57"/>
      <c r="K175" s="45"/>
    </row>
    <row r="176" spans="1:11" ht="30" x14ac:dyDescent="0.25">
      <c r="A176" s="640" t="s">
        <v>3422</v>
      </c>
      <c r="B176" s="154" t="s">
        <v>1378</v>
      </c>
      <c r="C176" s="174" t="s">
        <v>1141</v>
      </c>
      <c r="D176" s="137"/>
      <c r="E176" s="138" t="s">
        <v>1379</v>
      </c>
      <c r="F176" s="138"/>
      <c r="G176" s="138"/>
      <c r="H176" s="604" t="s">
        <v>1380</v>
      </c>
      <c r="I176" s="145" t="s">
        <v>1381</v>
      </c>
      <c r="J176" s="153" t="s">
        <v>1382</v>
      </c>
      <c r="K176" s="139" t="s">
        <v>1383</v>
      </c>
    </row>
    <row r="177" spans="1:11" ht="30" x14ac:dyDescent="0.25">
      <c r="A177" s="640" t="s">
        <v>3421</v>
      </c>
      <c r="B177" s="154" t="s">
        <v>1219</v>
      </c>
      <c r="C177" s="159" t="s">
        <v>1139</v>
      </c>
      <c r="D177" s="137"/>
      <c r="E177" s="138" t="s">
        <v>1220</v>
      </c>
      <c r="F177" s="138"/>
      <c r="G177" s="138"/>
      <c r="H177" s="152" t="s">
        <v>1221</v>
      </c>
      <c r="I177" s="138" t="s">
        <v>1222</v>
      </c>
      <c r="J177" s="153" t="s">
        <v>1223</v>
      </c>
      <c r="K177" s="139" t="s">
        <v>1224</v>
      </c>
    </row>
    <row r="178" spans="1:11" ht="30" x14ac:dyDescent="0.25">
      <c r="A178" s="206" t="s">
        <v>2163</v>
      </c>
      <c r="B178" s="207" t="s">
        <v>2164</v>
      </c>
      <c r="C178" s="217" t="s">
        <v>1139</v>
      </c>
      <c r="D178" s="202"/>
      <c r="E178" s="203" t="s">
        <v>2165</v>
      </c>
      <c r="F178" s="203"/>
      <c r="G178" s="203"/>
      <c r="H178" s="204" t="s">
        <v>2166</v>
      </c>
      <c r="I178" s="203" t="s">
        <v>2167</v>
      </c>
      <c r="J178" s="205" t="s">
        <v>2168</v>
      </c>
      <c r="K178" s="206" t="s">
        <v>2169</v>
      </c>
    </row>
    <row r="179" spans="1:11" ht="45" x14ac:dyDescent="0.25">
      <c r="A179" s="45" t="s">
        <v>3420</v>
      </c>
      <c r="B179" s="154" t="s">
        <v>1532</v>
      </c>
      <c r="C179" s="159" t="s">
        <v>1141</v>
      </c>
      <c r="D179" s="137" t="s">
        <v>79</v>
      </c>
      <c r="E179" s="138" t="s">
        <v>1533</v>
      </c>
      <c r="F179" s="138"/>
      <c r="G179" s="138"/>
      <c r="H179" s="152" t="s">
        <v>1534</v>
      </c>
      <c r="I179" s="138" t="s">
        <v>1535</v>
      </c>
      <c r="J179" s="153" t="s">
        <v>1536</v>
      </c>
      <c r="K179" s="139" t="s">
        <v>1537</v>
      </c>
    </row>
    <row r="180" spans="1:11" x14ac:dyDescent="0.25">
      <c r="A180" s="45" t="s">
        <v>3419</v>
      </c>
      <c r="B180" s="39" t="s">
        <v>46</v>
      </c>
      <c r="C180" s="36" t="s">
        <v>1141</v>
      </c>
      <c r="D180" s="55" t="s">
        <v>11</v>
      </c>
      <c r="E180" s="56"/>
      <c r="F180" s="56"/>
      <c r="G180" s="56"/>
      <c r="H180" s="604" t="s">
        <v>187</v>
      </c>
      <c r="I180" s="73" t="s">
        <v>185</v>
      </c>
      <c r="J180" s="57" t="s">
        <v>186</v>
      </c>
      <c r="K180" s="45"/>
    </row>
    <row r="181" spans="1:11" ht="30" x14ac:dyDescent="0.25">
      <c r="A181" s="640" t="s">
        <v>3418</v>
      </c>
      <c r="B181" s="154" t="s">
        <v>52</v>
      </c>
      <c r="C181" s="159" t="s">
        <v>1141</v>
      </c>
      <c r="D181" s="137"/>
      <c r="E181" s="138" t="s">
        <v>1369</v>
      </c>
      <c r="F181" s="138" t="s">
        <v>1370</v>
      </c>
      <c r="G181" s="138"/>
      <c r="H181" s="604" t="s">
        <v>1021</v>
      </c>
      <c r="I181" s="138"/>
      <c r="J181" s="153"/>
      <c r="K181" s="45" t="s">
        <v>1022</v>
      </c>
    </row>
    <row r="182" spans="1:11" ht="45" x14ac:dyDescent="0.25">
      <c r="A182" s="640" t="s">
        <v>3417</v>
      </c>
      <c r="B182" s="264" t="s">
        <v>2411</v>
      </c>
      <c r="C182" s="237" t="s">
        <v>1141</v>
      </c>
      <c r="D182" s="259"/>
      <c r="E182" s="260" t="s">
        <v>2412</v>
      </c>
      <c r="F182" s="260"/>
      <c r="G182" s="260"/>
      <c r="H182" s="261" t="s">
        <v>2413</v>
      </c>
      <c r="I182" s="260" t="s">
        <v>2414</v>
      </c>
      <c r="J182" s="262" t="s">
        <v>2415</v>
      </c>
      <c r="K182" s="263" t="s">
        <v>2416</v>
      </c>
    </row>
    <row r="183" spans="1:11" x14ac:dyDescent="0.25">
      <c r="A183" s="45" t="s">
        <v>3416</v>
      </c>
      <c r="B183" s="39" t="s">
        <v>780</v>
      </c>
      <c r="C183" s="38" t="s">
        <v>1141</v>
      </c>
      <c r="D183" s="55"/>
      <c r="E183" s="56" t="s">
        <v>781</v>
      </c>
      <c r="F183" s="56"/>
      <c r="G183" s="56" t="s">
        <v>782</v>
      </c>
      <c r="H183" s="604" t="s">
        <v>783</v>
      </c>
      <c r="I183" s="56" t="s">
        <v>784</v>
      </c>
      <c r="J183" s="57" t="s">
        <v>785</v>
      </c>
      <c r="K183" s="45" t="s">
        <v>786</v>
      </c>
    </row>
    <row r="184" spans="1:11" ht="30" x14ac:dyDescent="0.25">
      <c r="A184" s="45" t="s">
        <v>3415</v>
      </c>
      <c r="B184" s="154" t="s">
        <v>780</v>
      </c>
      <c r="C184" s="159" t="s">
        <v>1141</v>
      </c>
      <c r="D184" s="137"/>
      <c r="E184" s="138" t="s">
        <v>1156</v>
      </c>
      <c r="F184" s="138"/>
      <c r="G184" s="138"/>
      <c r="H184" s="71" t="s">
        <v>1157</v>
      </c>
      <c r="I184" s="73" t="s">
        <v>1284</v>
      </c>
      <c r="J184" s="153" t="s">
        <v>1158</v>
      </c>
      <c r="K184" s="139" t="s">
        <v>1159</v>
      </c>
    </row>
    <row r="185" spans="1:11" x14ac:dyDescent="0.25">
      <c r="A185" s="45" t="s">
        <v>3414</v>
      </c>
      <c r="B185" s="39" t="s">
        <v>269</v>
      </c>
      <c r="C185" s="38" t="s">
        <v>1141</v>
      </c>
      <c r="D185" s="55" t="s">
        <v>29</v>
      </c>
      <c r="E185" s="56"/>
      <c r="F185" s="56"/>
      <c r="G185" s="56"/>
      <c r="H185" s="604" t="s">
        <v>271</v>
      </c>
      <c r="I185" s="73" t="s">
        <v>272</v>
      </c>
      <c r="J185" s="57" t="s">
        <v>270</v>
      </c>
      <c r="K185" s="45"/>
    </row>
    <row r="186" spans="1:11" ht="30" x14ac:dyDescent="0.25">
      <c r="A186" s="45" t="s">
        <v>3413</v>
      </c>
      <c r="B186" s="39" t="s">
        <v>209</v>
      </c>
      <c r="C186" s="38" t="s">
        <v>1141</v>
      </c>
      <c r="D186" s="55"/>
      <c r="E186" s="56" t="s">
        <v>213</v>
      </c>
      <c r="F186" s="56"/>
      <c r="G186" s="56"/>
      <c r="H186" s="604" t="s">
        <v>211</v>
      </c>
      <c r="I186" s="73" t="s">
        <v>212</v>
      </c>
      <c r="J186" s="57" t="s">
        <v>210</v>
      </c>
      <c r="K186" s="45"/>
    </row>
    <row r="187" spans="1:11" ht="30" x14ac:dyDescent="0.25">
      <c r="A187" s="46" t="s">
        <v>3412</v>
      </c>
      <c r="B187" s="78" t="s">
        <v>811</v>
      </c>
      <c r="C187" s="38" t="s">
        <v>1141</v>
      </c>
      <c r="D187" s="55"/>
      <c r="E187" s="119" t="s">
        <v>812</v>
      </c>
      <c r="F187" s="119"/>
      <c r="G187" s="119"/>
      <c r="H187" s="190" t="s">
        <v>813</v>
      </c>
      <c r="I187" s="120" t="s">
        <v>814</v>
      </c>
      <c r="J187" s="124" t="s">
        <v>815</v>
      </c>
      <c r="K187" s="78" t="s">
        <v>816</v>
      </c>
    </row>
    <row r="188" spans="1:11" ht="30" x14ac:dyDescent="0.25">
      <c r="A188" s="314" t="s">
        <v>2480</v>
      </c>
      <c r="B188" s="315" t="s">
        <v>2480</v>
      </c>
      <c r="C188" s="367" t="s">
        <v>1141</v>
      </c>
      <c r="D188" s="259"/>
      <c r="E188" s="308" t="s">
        <v>2484</v>
      </c>
      <c r="F188" s="260"/>
      <c r="G188" s="260"/>
      <c r="H188" s="604" t="s">
        <v>2481</v>
      </c>
      <c r="I188" s="260"/>
      <c r="J188" s="309" t="s">
        <v>2482</v>
      </c>
      <c r="K188" s="310" t="s">
        <v>2483</v>
      </c>
    </row>
    <row r="189" spans="1:11" ht="45" x14ac:dyDescent="0.25">
      <c r="A189" s="206" t="s">
        <v>3411</v>
      </c>
      <c r="B189" s="207" t="s">
        <v>1898</v>
      </c>
      <c r="C189" s="217" t="s">
        <v>1141</v>
      </c>
      <c r="D189" s="202"/>
      <c r="E189" s="203" t="s">
        <v>1899</v>
      </c>
      <c r="F189" s="203"/>
      <c r="G189" s="203"/>
      <c r="H189" s="71" t="s">
        <v>1900</v>
      </c>
      <c r="I189" s="203" t="s">
        <v>1901</v>
      </c>
      <c r="J189" s="205" t="s">
        <v>1902</v>
      </c>
      <c r="K189" s="206" t="s">
        <v>1836</v>
      </c>
    </row>
    <row r="190" spans="1:11" ht="60" x14ac:dyDescent="0.25">
      <c r="A190" s="332" t="s">
        <v>3411</v>
      </c>
      <c r="B190" s="333" t="s">
        <v>3411</v>
      </c>
      <c r="C190" s="366" t="s">
        <v>1141</v>
      </c>
      <c r="D190" s="55"/>
      <c r="E190" s="296" t="s">
        <v>2484</v>
      </c>
      <c r="F190" s="56"/>
      <c r="G190" s="56"/>
      <c r="H190" s="71"/>
      <c r="I190" s="56" t="s">
        <v>2527</v>
      </c>
      <c r="J190" s="166" t="s">
        <v>1902</v>
      </c>
      <c r="K190" s="298" t="s">
        <v>2508</v>
      </c>
    </row>
    <row r="191" spans="1:11" ht="45" x14ac:dyDescent="0.25">
      <c r="A191" s="640" t="s">
        <v>3410</v>
      </c>
      <c r="B191" s="104" t="s">
        <v>1003</v>
      </c>
      <c r="C191" s="38" t="s">
        <v>1141</v>
      </c>
      <c r="D191" s="99"/>
      <c r="E191" s="100" t="s">
        <v>105</v>
      </c>
      <c r="F191" s="100"/>
      <c r="G191" s="100" t="s">
        <v>1004</v>
      </c>
      <c r="H191" s="101" t="s">
        <v>1005</v>
      </c>
      <c r="I191" s="100" t="s">
        <v>1006</v>
      </c>
      <c r="J191" s="102" t="s">
        <v>1007</v>
      </c>
      <c r="K191" s="103" t="s">
        <v>1008</v>
      </c>
    </row>
    <row r="192" spans="1:11" x14ac:dyDescent="0.25">
      <c r="A192" s="46" t="s">
        <v>3409</v>
      </c>
      <c r="B192" s="269" t="s">
        <v>499</v>
      </c>
      <c r="C192" s="38" t="s">
        <v>1141</v>
      </c>
      <c r="D192" s="86"/>
      <c r="E192" s="87" t="s">
        <v>500</v>
      </c>
      <c r="F192" s="87"/>
      <c r="G192" s="87"/>
      <c r="H192" s="189" t="s">
        <v>501</v>
      </c>
      <c r="I192" s="73" t="s">
        <v>502</v>
      </c>
      <c r="J192" s="89" t="s">
        <v>503</v>
      </c>
      <c r="K192" s="46"/>
    </row>
    <row r="193" spans="1:11" ht="30" x14ac:dyDescent="0.25">
      <c r="A193" s="640" t="s">
        <v>3408</v>
      </c>
      <c r="B193" s="154" t="s">
        <v>1319</v>
      </c>
      <c r="C193" s="159" t="s">
        <v>1139</v>
      </c>
      <c r="D193" s="137"/>
      <c r="E193" s="138" t="s">
        <v>1320</v>
      </c>
      <c r="F193" s="138"/>
      <c r="G193" s="138"/>
      <c r="H193" s="152"/>
      <c r="I193" s="138"/>
      <c r="J193" s="153" t="s">
        <v>1321</v>
      </c>
      <c r="K193" s="139"/>
    </row>
    <row r="194" spans="1:11" x14ac:dyDescent="0.25">
      <c r="A194" s="257" t="s">
        <v>3275</v>
      </c>
      <c r="B194" s="258" t="s">
        <v>2351</v>
      </c>
      <c r="C194" s="237" t="s">
        <v>1141</v>
      </c>
      <c r="D194" s="253"/>
      <c r="E194" s="254" t="s">
        <v>2352</v>
      </c>
      <c r="F194" s="254"/>
      <c r="G194" s="254"/>
      <c r="H194" s="255" t="s">
        <v>2353</v>
      </c>
      <c r="I194" s="254" t="s">
        <v>2354</v>
      </c>
      <c r="J194" s="256" t="s">
        <v>2355</v>
      </c>
      <c r="K194" s="257" t="s">
        <v>2356</v>
      </c>
    </row>
    <row r="195" spans="1:11" ht="45" x14ac:dyDescent="0.25">
      <c r="A195" s="45" t="s">
        <v>3407</v>
      </c>
      <c r="B195" s="39" t="s">
        <v>273</v>
      </c>
      <c r="C195" s="38" t="s">
        <v>1141</v>
      </c>
      <c r="D195" s="55" t="s">
        <v>17</v>
      </c>
      <c r="E195" s="56"/>
      <c r="F195" s="56"/>
      <c r="G195" s="56"/>
      <c r="H195" s="604" t="s">
        <v>275</v>
      </c>
      <c r="I195" s="73" t="s">
        <v>274</v>
      </c>
      <c r="J195" s="57" t="s">
        <v>276</v>
      </c>
      <c r="K195" s="45"/>
    </row>
    <row r="196" spans="1:11" ht="60" x14ac:dyDescent="0.25">
      <c r="A196" s="46" t="s">
        <v>3406</v>
      </c>
      <c r="B196" s="148" t="s">
        <v>1232</v>
      </c>
      <c r="C196" s="160" t="s">
        <v>1141</v>
      </c>
      <c r="D196" s="142"/>
      <c r="E196" s="138" t="s">
        <v>1233</v>
      </c>
      <c r="F196" s="143"/>
      <c r="G196" s="143"/>
      <c r="H196" s="158" t="s">
        <v>1234</v>
      </c>
      <c r="I196" s="145" t="s">
        <v>1235</v>
      </c>
      <c r="J196" s="146" t="s">
        <v>1236</v>
      </c>
      <c r="K196" s="147" t="s">
        <v>1237</v>
      </c>
    </row>
    <row r="197" spans="1:11" ht="30" x14ac:dyDescent="0.25">
      <c r="A197" s="97" t="s">
        <v>904</v>
      </c>
      <c r="B197" s="98" t="s">
        <v>905</v>
      </c>
      <c r="C197" s="38" t="s">
        <v>1141</v>
      </c>
      <c r="D197" s="93"/>
      <c r="E197" s="94" t="s">
        <v>129</v>
      </c>
      <c r="F197" s="94"/>
      <c r="G197" s="94"/>
      <c r="H197" s="604" t="s">
        <v>906</v>
      </c>
      <c r="I197" s="94" t="s">
        <v>907</v>
      </c>
      <c r="J197" s="96" t="s">
        <v>908</v>
      </c>
      <c r="K197" s="97" t="s">
        <v>909</v>
      </c>
    </row>
    <row r="198" spans="1:11" ht="60" x14ac:dyDescent="0.25">
      <c r="A198" s="263" t="s">
        <v>2380</v>
      </c>
      <c r="B198" s="264" t="s">
        <v>2381</v>
      </c>
      <c r="C198" s="237" t="s">
        <v>1141</v>
      </c>
      <c r="D198" s="259"/>
      <c r="E198" s="260" t="s">
        <v>2382</v>
      </c>
      <c r="F198" s="260"/>
      <c r="G198" s="260"/>
      <c r="H198" s="261" t="s">
        <v>2383</v>
      </c>
      <c r="I198" s="73" t="s">
        <v>2384</v>
      </c>
      <c r="J198" s="262" t="s">
        <v>2385</v>
      </c>
      <c r="K198" s="263" t="s">
        <v>2386</v>
      </c>
    </row>
    <row r="199" spans="1:11" ht="30" x14ac:dyDescent="0.25">
      <c r="A199" s="664" t="s">
        <v>3405</v>
      </c>
      <c r="B199" s="232" t="s">
        <v>2125</v>
      </c>
      <c r="C199" s="217" t="s">
        <v>1141</v>
      </c>
      <c r="D199" s="209"/>
      <c r="E199" s="210" t="s">
        <v>129</v>
      </c>
      <c r="F199" s="210"/>
      <c r="G199" s="210"/>
      <c r="H199" s="604" t="s">
        <v>1870</v>
      </c>
      <c r="I199" s="211" t="s">
        <v>1871</v>
      </c>
      <c r="J199" s="212" t="s">
        <v>1872</v>
      </c>
      <c r="K199" s="213" t="s">
        <v>1873</v>
      </c>
    </row>
    <row r="200" spans="1:11" x14ac:dyDescent="0.25">
      <c r="A200" s="640" t="s">
        <v>3258</v>
      </c>
      <c r="B200" s="264" t="s">
        <v>2173</v>
      </c>
      <c r="C200" s="277" t="s">
        <v>1139</v>
      </c>
      <c r="D200" s="259"/>
      <c r="E200" s="260" t="s">
        <v>1156</v>
      </c>
      <c r="F200" s="260"/>
      <c r="G200" s="260"/>
      <c r="H200" s="604" t="s">
        <v>2174</v>
      </c>
      <c r="I200" s="260" t="s">
        <v>2175</v>
      </c>
      <c r="J200" s="262" t="s">
        <v>2176</v>
      </c>
      <c r="K200" s="263" t="s">
        <v>2177</v>
      </c>
    </row>
    <row r="201" spans="1:11" ht="30" x14ac:dyDescent="0.25">
      <c r="A201" s="139" t="s">
        <v>1168</v>
      </c>
      <c r="B201" s="154" t="s">
        <v>1169</v>
      </c>
      <c r="C201" s="159" t="s">
        <v>1141</v>
      </c>
      <c r="D201" s="137"/>
      <c r="E201" s="138" t="s">
        <v>961</v>
      </c>
      <c r="F201" s="138"/>
      <c r="G201" s="138" t="s">
        <v>1170</v>
      </c>
      <c r="H201" s="152" t="s">
        <v>1171</v>
      </c>
      <c r="I201" s="138" t="s">
        <v>1172</v>
      </c>
      <c r="J201" s="153" t="s">
        <v>1173</v>
      </c>
      <c r="K201" s="139" t="s">
        <v>1174</v>
      </c>
    </row>
    <row r="202" spans="1:11" ht="30" x14ac:dyDescent="0.25">
      <c r="A202" s="640" t="s">
        <v>3257</v>
      </c>
      <c r="B202" s="154" t="s">
        <v>1185</v>
      </c>
      <c r="C202" s="169" t="s">
        <v>1141</v>
      </c>
      <c r="D202" s="137"/>
      <c r="E202" s="138" t="s">
        <v>1186</v>
      </c>
      <c r="F202" s="138" t="s">
        <v>1187</v>
      </c>
      <c r="G202" s="138"/>
      <c r="H202" s="152" t="s">
        <v>266</v>
      </c>
      <c r="I202" s="138" t="s">
        <v>264</v>
      </c>
      <c r="J202" s="153" t="s">
        <v>267</v>
      </c>
      <c r="K202" s="139" t="s">
        <v>1188</v>
      </c>
    </row>
    <row r="203" spans="1:11" ht="45" x14ac:dyDescent="0.25">
      <c r="A203" s="45" t="s">
        <v>3256</v>
      </c>
      <c r="B203" s="39" t="s">
        <v>57</v>
      </c>
      <c r="C203" s="38" t="s">
        <v>1141</v>
      </c>
      <c r="D203" s="55" t="s">
        <v>29</v>
      </c>
      <c r="E203" s="56"/>
      <c r="F203" s="56"/>
      <c r="G203" s="56" t="s">
        <v>280</v>
      </c>
      <c r="H203" s="71" t="s">
        <v>278</v>
      </c>
      <c r="I203" s="73" t="s">
        <v>277</v>
      </c>
      <c r="J203" s="57" t="s">
        <v>279</v>
      </c>
      <c r="K203" s="45"/>
    </row>
    <row r="204" spans="1:11" ht="45" x14ac:dyDescent="0.25">
      <c r="A204" s="46" t="s">
        <v>3255</v>
      </c>
      <c r="B204" s="252" t="s">
        <v>2333</v>
      </c>
      <c r="C204" s="237" t="s">
        <v>1141</v>
      </c>
      <c r="D204" s="247"/>
      <c r="E204" s="248" t="s">
        <v>2334</v>
      </c>
      <c r="F204" s="248"/>
      <c r="G204" s="248"/>
      <c r="H204" s="604" t="s">
        <v>2335</v>
      </c>
      <c r="I204" s="249" t="s">
        <v>2336</v>
      </c>
      <c r="J204" s="250" t="s">
        <v>2337</v>
      </c>
      <c r="K204" s="251" t="s">
        <v>2338</v>
      </c>
    </row>
    <row r="205" spans="1:11" ht="75" x14ac:dyDescent="0.25">
      <c r="A205" s="45" t="s">
        <v>111</v>
      </c>
      <c r="B205" s="39" t="s">
        <v>124</v>
      </c>
      <c r="C205" s="38" t="s">
        <v>1141</v>
      </c>
      <c r="D205" s="55" t="s">
        <v>119</v>
      </c>
      <c r="E205" s="56" t="s">
        <v>112</v>
      </c>
      <c r="F205" s="56"/>
      <c r="G205" s="56" t="s">
        <v>122</v>
      </c>
      <c r="H205" s="604" t="s">
        <v>118</v>
      </c>
      <c r="I205" s="73" t="s">
        <v>117</v>
      </c>
      <c r="J205" s="178" t="s">
        <v>123</v>
      </c>
      <c r="K205" s="179" t="s">
        <v>115</v>
      </c>
    </row>
    <row r="206" spans="1:11" ht="30" x14ac:dyDescent="0.25">
      <c r="A206" s="45" t="s">
        <v>3254</v>
      </c>
      <c r="B206" s="39" t="s">
        <v>203</v>
      </c>
      <c r="C206" s="38" t="s">
        <v>1141</v>
      </c>
      <c r="D206" s="55"/>
      <c r="E206" s="56"/>
      <c r="F206" s="56"/>
      <c r="G206" s="56"/>
      <c r="H206" s="604" t="s">
        <v>205</v>
      </c>
      <c r="I206" s="73" t="s">
        <v>204</v>
      </c>
      <c r="J206" s="57" t="s">
        <v>206</v>
      </c>
      <c r="K206" s="45" t="s">
        <v>207</v>
      </c>
    </row>
    <row r="207" spans="1:11" ht="60" x14ac:dyDescent="0.25">
      <c r="A207" s="46" t="s">
        <v>3253</v>
      </c>
      <c r="B207" s="98" t="s">
        <v>1053</v>
      </c>
      <c r="C207" s="38" t="s">
        <v>1141</v>
      </c>
      <c r="D207" s="93"/>
      <c r="E207" s="94" t="s">
        <v>1054</v>
      </c>
      <c r="F207" s="94"/>
      <c r="G207" s="94" t="s">
        <v>1055</v>
      </c>
      <c r="H207" s="604" t="s">
        <v>1056</v>
      </c>
      <c r="I207" s="95" t="s">
        <v>1057</v>
      </c>
      <c r="J207" s="96" t="s">
        <v>1058</v>
      </c>
      <c r="K207" s="97" t="s">
        <v>1059</v>
      </c>
    </row>
    <row r="208" spans="1:11" ht="30" x14ac:dyDescent="0.25">
      <c r="A208" s="206" t="s">
        <v>1823</v>
      </c>
      <c r="B208" s="207" t="s">
        <v>1824</v>
      </c>
      <c r="C208" s="217" t="s">
        <v>1141</v>
      </c>
      <c r="D208" s="202"/>
      <c r="E208" s="203" t="s">
        <v>1825</v>
      </c>
      <c r="F208" s="203"/>
      <c r="G208" s="203"/>
      <c r="H208" s="604" t="s">
        <v>1826</v>
      </c>
      <c r="I208" s="203" t="s">
        <v>1827</v>
      </c>
      <c r="J208" s="205" t="s">
        <v>1828</v>
      </c>
      <c r="K208" s="206" t="s">
        <v>1829</v>
      </c>
    </row>
    <row r="209" spans="1:11" ht="60" x14ac:dyDescent="0.25">
      <c r="A209" s="257" t="s">
        <v>2375</v>
      </c>
      <c r="B209" s="258"/>
      <c r="C209" s="224" t="s">
        <v>1141</v>
      </c>
      <c r="D209" s="253"/>
      <c r="E209" s="254" t="s">
        <v>129</v>
      </c>
      <c r="F209" s="254"/>
      <c r="G209" s="254"/>
      <c r="H209" s="255" t="s">
        <v>2376</v>
      </c>
      <c r="I209" s="254" t="s">
        <v>2377</v>
      </c>
      <c r="J209" s="256" t="s">
        <v>2378</v>
      </c>
      <c r="K209" s="257" t="s">
        <v>2379</v>
      </c>
    </row>
    <row r="210" spans="1:11" ht="45" x14ac:dyDescent="0.25">
      <c r="A210" s="181" t="s">
        <v>1595</v>
      </c>
      <c r="B210" s="186" t="s">
        <v>1596</v>
      </c>
      <c r="C210" s="188" t="s">
        <v>1139</v>
      </c>
      <c r="D210" s="182"/>
      <c r="E210" s="183" t="s">
        <v>1597</v>
      </c>
      <c r="F210" s="183"/>
      <c r="G210" s="183"/>
      <c r="H210" s="184" t="s">
        <v>1598</v>
      </c>
      <c r="I210" s="183" t="s">
        <v>1599</v>
      </c>
      <c r="J210" s="185" t="s">
        <v>1600</v>
      </c>
      <c r="K210" s="181" t="s">
        <v>1601</v>
      </c>
    </row>
    <row r="211" spans="1:11" ht="30" x14ac:dyDescent="0.25">
      <c r="A211" s="45" t="s">
        <v>3252</v>
      </c>
      <c r="B211" s="104" t="s">
        <v>942</v>
      </c>
      <c r="C211" s="38" t="s">
        <v>1141</v>
      </c>
      <c r="D211" s="99"/>
      <c r="E211" s="100" t="s">
        <v>943</v>
      </c>
      <c r="F211" s="100"/>
      <c r="G211" s="100"/>
      <c r="H211" s="101"/>
      <c r="I211" s="100" t="s">
        <v>944</v>
      </c>
      <c r="J211" s="102" t="s">
        <v>945</v>
      </c>
      <c r="K211" s="103" t="s">
        <v>946</v>
      </c>
    </row>
    <row r="212" spans="1:11" ht="30" x14ac:dyDescent="0.25">
      <c r="A212" s="640" t="s">
        <v>3404</v>
      </c>
      <c r="B212" s="186" t="s">
        <v>326</v>
      </c>
      <c r="C212" s="188" t="s">
        <v>1141</v>
      </c>
      <c r="D212" s="182"/>
      <c r="E212" s="183"/>
      <c r="F212" s="183"/>
      <c r="G212" s="183"/>
      <c r="H212" s="184"/>
      <c r="I212" s="183"/>
      <c r="J212" s="185"/>
      <c r="K212" s="181"/>
    </row>
    <row r="213" spans="1:11" ht="30" x14ac:dyDescent="0.25">
      <c r="A213" s="46" t="s">
        <v>3403</v>
      </c>
      <c r="B213" s="279" t="s">
        <v>3403</v>
      </c>
      <c r="C213" s="277" t="s">
        <v>1141</v>
      </c>
      <c r="D213" s="259"/>
      <c r="E213" s="296" t="s">
        <v>2519</v>
      </c>
      <c r="F213" s="296"/>
      <c r="G213" s="296"/>
      <c r="H213" s="380"/>
      <c r="I213" s="296"/>
      <c r="J213" s="166" t="s">
        <v>2520</v>
      </c>
      <c r="K213" s="298" t="s">
        <v>2521</v>
      </c>
    </row>
    <row r="214" spans="1:11" ht="30" x14ac:dyDescent="0.25">
      <c r="A214" s="227" t="s">
        <v>3269</v>
      </c>
      <c r="B214" s="214" t="s">
        <v>1973</v>
      </c>
      <c r="C214" s="237" t="s">
        <v>1141</v>
      </c>
      <c r="D214" s="209"/>
      <c r="E214" s="210" t="s">
        <v>684</v>
      </c>
      <c r="F214" s="210"/>
      <c r="G214" s="210"/>
      <c r="H214" s="604" t="s">
        <v>1974</v>
      </c>
      <c r="I214" s="211" t="s">
        <v>1975</v>
      </c>
      <c r="J214" s="212" t="s">
        <v>1976</v>
      </c>
      <c r="K214" s="213" t="s">
        <v>1977</v>
      </c>
    </row>
    <row r="215" spans="1:11" ht="45" x14ac:dyDescent="0.25">
      <c r="A215" s="663" t="s">
        <v>3402</v>
      </c>
      <c r="B215" s="321" t="s">
        <v>3402</v>
      </c>
      <c r="C215" s="367" t="s">
        <v>1141</v>
      </c>
      <c r="D215" s="259"/>
      <c r="E215" s="313" t="s">
        <v>2484</v>
      </c>
      <c r="F215" s="260"/>
      <c r="G215" s="260"/>
      <c r="H215" s="261"/>
      <c r="I215" s="346" t="s">
        <v>2523</v>
      </c>
      <c r="J215" s="323" t="s">
        <v>2490</v>
      </c>
      <c r="K215" s="322" t="s">
        <v>2489</v>
      </c>
    </row>
    <row r="216" spans="1:11" ht="30" x14ac:dyDescent="0.25">
      <c r="A216" s="45" t="s">
        <v>3401</v>
      </c>
      <c r="B216" s="39" t="s">
        <v>764</v>
      </c>
      <c r="C216" s="38" t="s">
        <v>1141</v>
      </c>
      <c r="D216" s="55" t="s">
        <v>79</v>
      </c>
      <c r="E216" s="56" t="s">
        <v>765</v>
      </c>
      <c r="F216" s="56"/>
      <c r="G216" s="56" t="s">
        <v>766</v>
      </c>
      <c r="H216" s="71" t="s">
        <v>767</v>
      </c>
      <c r="I216" s="56" t="s">
        <v>768</v>
      </c>
      <c r="J216" s="57" t="s">
        <v>769</v>
      </c>
      <c r="K216" s="45" t="s">
        <v>770</v>
      </c>
    </row>
    <row r="217" spans="1:11" ht="45" x14ac:dyDescent="0.25">
      <c r="A217" s="640" t="s">
        <v>3400</v>
      </c>
      <c r="B217" s="104" t="s">
        <v>1023</v>
      </c>
      <c r="C217" s="38" t="s">
        <v>1141</v>
      </c>
      <c r="D217" s="99"/>
      <c r="E217" s="100" t="s">
        <v>1024</v>
      </c>
      <c r="F217" s="100" t="s">
        <v>1025</v>
      </c>
      <c r="G217" s="100" t="s">
        <v>1026</v>
      </c>
      <c r="H217" s="101" t="s">
        <v>1027</v>
      </c>
      <c r="I217" s="100" t="s">
        <v>1028</v>
      </c>
      <c r="J217" s="102" t="s">
        <v>1029</v>
      </c>
      <c r="K217" s="103" t="s">
        <v>1030</v>
      </c>
    </row>
    <row r="218" spans="1:11" ht="30" x14ac:dyDescent="0.25">
      <c r="A218" s="640" t="s">
        <v>3399</v>
      </c>
      <c r="B218" s="245" t="s">
        <v>2322</v>
      </c>
      <c r="C218" s="237" t="s">
        <v>1139</v>
      </c>
      <c r="D218" s="241"/>
      <c r="E218" s="242" t="s">
        <v>2323</v>
      </c>
      <c r="F218" s="242"/>
      <c r="G218" s="242"/>
      <c r="H218" s="243" t="s">
        <v>2324</v>
      </c>
      <c r="I218" s="242" t="s">
        <v>2325</v>
      </c>
      <c r="J218" s="386" t="s">
        <v>2326</v>
      </c>
      <c r="K218" s="245" t="s">
        <v>2327</v>
      </c>
    </row>
    <row r="219" spans="1:11" ht="60" x14ac:dyDescent="0.25">
      <c r="A219" s="206" t="s">
        <v>3265</v>
      </c>
      <c r="B219" s="207" t="s">
        <v>2150</v>
      </c>
      <c r="C219" s="217" t="s">
        <v>1141</v>
      </c>
      <c r="D219" s="202"/>
      <c r="E219" s="203" t="s">
        <v>2151</v>
      </c>
      <c r="F219" s="203"/>
      <c r="G219" s="203"/>
      <c r="H219" s="204" t="s">
        <v>2152</v>
      </c>
      <c r="I219" s="203" t="s">
        <v>2153</v>
      </c>
      <c r="J219" s="205" t="s">
        <v>2154</v>
      </c>
      <c r="K219" s="206" t="s">
        <v>2155</v>
      </c>
    </row>
    <row r="220" spans="1:11" ht="30" x14ac:dyDescent="0.25">
      <c r="A220" s="45" t="s">
        <v>3398</v>
      </c>
      <c r="B220" s="154" t="s">
        <v>137</v>
      </c>
      <c r="C220" s="159" t="s">
        <v>1141</v>
      </c>
      <c r="D220" s="137"/>
      <c r="E220" s="138" t="s">
        <v>138</v>
      </c>
      <c r="F220" s="138"/>
      <c r="G220" s="138"/>
      <c r="H220" s="152" t="s">
        <v>139</v>
      </c>
      <c r="I220" s="73" t="s">
        <v>136</v>
      </c>
      <c r="J220" s="153"/>
      <c r="K220" s="139"/>
    </row>
    <row r="221" spans="1:11" ht="30" x14ac:dyDescent="0.25">
      <c r="A221" s="45" t="s">
        <v>3397</v>
      </c>
      <c r="B221" s="39" t="s">
        <v>1565</v>
      </c>
      <c r="C221" s="36" t="s">
        <v>1139</v>
      </c>
      <c r="D221" s="55" t="s">
        <v>79</v>
      </c>
      <c r="E221" s="56" t="s">
        <v>220</v>
      </c>
      <c r="F221" s="56"/>
      <c r="G221" s="56"/>
      <c r="H221" s="604" t="s">
        <v>217</v>
      </c>
      <c r="I221" s="73" t="s">
        <v>218</v>
      </c>
      <c r="J221" s="57" t="s">
        <v>219</v>
      </c>
      <c r="K221" s="45"/>
    </row>
    <row r="222" spans="1:11" ht="30" x14ac:dyDescent="0.25">
      <c r="A222" s="206" t="s">
        <v>1802</v>
      </c>
      <c r="B222" s="207" t="s">
        <v>1803</v>
      </c>
      <c r="C222" s="217" t="s">
        <v>1140</v>
      </c>
      <c r="D222" s="202"/>
      <c r="E222" s="203" t="s">
        <v>1804</v>
      </c>
      <c r="F222" s="203"/>
      <c r="G222" s="203" t="s">
        <v>1805</v>
      </c>
      <c r="H222" s="204" t="s">
        <v>1806</v>
      </c>
      <c r="I222" s="203" t="s">
        <v>1807</v>
      </c>
      <c r="J222" s="205" t="s">
        <v>1808</v>
      </c>
      <c r="K222" s="206" t="s">
        <v>1809</v>
      </c>
    </row>
    <row r="223" spans="1:11" ht="30" x14ac:dyDescent="0.25">
      <c r="A223" s="640" t="s">
        <v>3514</v>
      </c>
      <c r="B223" s="207" t="s">
        <v>1803</v>
      </c>
      <c r="C223" s="208" t="s">
        <v>1141</v>
      </c>
      <c r="D223" s="202"/>
      <c r="E223" s="203" t="s">
        <v>1804</v>
      </c>
      <c r="F223" s="203"/>
      <c r="G223" s="203" t="s">
        <v>1805</v>
      </c>
      <c r="H223" s="204" t="s">
        <v>1806</v>
      </c>
      <c r="I223" s="203" t="s">
        <v>1807</v>
      </c>
      <c r="J223" s="205" t="s">
        <v>1808</v>
      </c>
      <c r="K223" s="206" t="s">
        <v>1809</v>
      </c>
    </row>
    <row r="224" spans="1:11" x14ac:dyDescent="0.25">
      <c r="A224" s="640" t="s">
        <v>3396</v>
      </c>
      <c r="B224" s="154" t="s">
        <v>1543</v>
      </c>
      <c r="C224" s="169" t="s">
        <v>1141</v>
      </c>
      <c r="D224" s="137" t="s">
        <v>79</v>
      </c>
      <c r="E224" s="138" t="s">
        <v>1544</v>
      </c>
      <c r="F224" s="138"/>
      <c r="G224" s="138"/>
      <c r="H224" s="152" t="s">
        <v>1545</v>
      </c>
      <c r="I224" s="138" t="s">
        <v>1546</v>
      </c>
      <c r="J224" s="153" t="s">
        <v>1547</v>
      </c>
      <c r="K224" s="139" t="s">
        <v>1548</v>
      </c>
    </row>
    <row r="225" spans="1:11" ht="30" x14ac:dyDescent="0.25">
      <c r="A225" s="640" t="s">
        <v>3395</v>
      </c>
      <c r="B225" s="139" t="s">
        <v>107</v>
      </c>
      <c r="C225" s="162" t="s">
        <v>1141</v>
      </c>
      <c r="D225" s="55" t="s">
        <v>88</v>
      </c>
      <c r="E225" s="56"/>
      <c r="F225" s="56"/>
      <c r="G225" s="56"/>
      <c r="H225" s="71"/>
      <c r="I225" s="56"/>
      <c r="J225" s="57"/>
      <c r="K225" s="45"/>
    </row>
    <row r="226" spans="1:11" ht="30" x14ac:dyDescent="0.25">
      <c r="A226" s="45" t="s">
        <v>225</v>
      </c>
      <c r="B226" s="39" t="s">
        <v>227</v>
      </c>
      <c r="C226" s="157" t="s">
        <v>1139</v>
      </c>
      <c r="D226" s="55" t="s">
        <v>226</v>
      </c>
      <c r="E226" s="56" t="s">
        <v>231</v>
      </c>
      <c r="F226" s="56"/>
      <c r="G226" s="56"/>
      <c r="H226" s="604" t="s">
        <v>228</v>
      </c>
      <c r="I226" s="73" t="s">
        <v>230</v>
      </c>
      <c r="J226" s="57" t="s">
        <v>229</v>
      </c>
      <c r="K226" s="45"/>
    </row>
    <row r="227" spans="1:11" ht="30" x14ac:dyDescent="0.25">
      <c r="A227" s="640" t="s">
        <v>3394</v>
      </c>
      <c r="B227" s="154" t="s">
        <v>1454</v>
      </c>
      <c r="C227" s="169" t="s">
        <v>1141</v>
      </c>
      <c r="D227" s="137"/>
      <c r="E227" s="138" t="s">
        <v>1455</v>
      </c>
      <c r="F227" s="138"/>
      <c r="G227" s="138" t="s">
        <v>1456</v>
      </c>
      <c r="H227" s="152" t="s">
        <v>1457</v>
      </c>
      <c r="I227" s="138" t="s">
        <v>1458</v>
      </c>
      <c r="J227" s="153" t="s">
        <v>1459</v>
      </c>
      <c r="K227" s="139" t="s">
        <v>1460</v>
      </c>
    </row>
    <row r="228" spans="1:11" ht="30" x14ac:dyDescent="0.25">
      <c r="A228" s="45" t="s">
        <v>3393</v>
      </c>
      <c r="B228" s="39" t="s">
        <v>605</v>
      </c>
      <c r="C228" s="161" t="s">
        <v>1141</v>
      </c>
      <c r="D228" s="55"/>
      <c r="E228" s="56" t="s">
        <v>601</v>
      </c>
      <c r="F228" s="56"/>
      <c r="G228" s="56"/>
      <c r="H228" s="55"/>
      <c r="I228" s="56" t="s">
        <v>606</v>
      </c>
      <c r="J228" s="57"/>
      <c r="K228" s="45"/>
    </row>
    <row r="229" spans="1:11" ht="30" x14ac:dyDescent="0.25">
      <c r="A229" s="46" t="s">
        <v>3392</v>
      </c>
      <c r="B229" s="279" t="s">
        <v>2425</v>
      </c>
      <c r="C229" s="224" t="s">
        <v>1141</v>
      </c>
      <c r="D229" s="259"/>
      <c r="E229" s="260" t="s">
        <v>2426</v>
      </c>
      <c r="F229" s="260"/>
      <c r="G229" s="260"/>
      <c r="H229" s="261" t="s">
        <v>2427</v>
      </c>
      <c r="I229" s="260" t="s">
        <v>2428</v>
      </c>
      <c r="J229" s="262" t="s">
        <v>2429</v>
      </c>
      <c r="K229" s="263" t="s">
        <v>2430</v>
      </c>
    </row>
    <row r="230" spans="1:11" ht="45" x14ac:dyDescent="0.25">
      <c r="A230" s="45" t="s">
        <v>3391</v>
      </c>
      <c r="B230" s="39" t="s">
        <v>403</v>
      </c>
      <c r="C230" s="161" t="s">
        <v>1141</v>
      </c>
      <c r="D230" s="55"/>
      <c r="E230" s="56" t="s">
        <v>285</v>
      </c>
      <c r="F230" s="56"/>
      <c r="G230" s="56"/>
      <c r="H230" s="604" t="s">
        <v>407</v>
      </c>
      <c r="I230" s="73" t="s">
        <v>405</v>
      </c>
      <c r="J230" s="57" t="s">
        <v>406</v>
      </c>
      <c r="K230" s="45" t="s">
        <v>404</v>
      </c>
    </row>
    <row r="231" spans="1:11" ht="30" x14ac:dyDescent="0.25">
      <c r="A231" s="640" t="s">
        <v>3390</v>
      </c>
      <c r="B231" s="154" t="s">
        <v>1512</v>
      </c>
      <c r="C231" s="169" t="s">
        <v>1141</v>
      </c>
      <c r="D231" s="137"/>
      <c r="E231" s="138" t="s">
        <v>1513</v>
      </c>
      <c r="F231" s="138"/>
      <c r="G231" s="138"/>
      <c r="H231" s="152" t="s">
        <v>1514</v>
      </c>
      <c r="I231" s="138"/>
      <c r="J231" s="153" t="s">
        <v>1515</v>
      </c>
      <c r="K231" s="139" t="s">
        <v>1516</v>
      </c>
    </row>
    <row r="232" spans="1:11" ht="30" x14ac:dyDescent="0.25">
      <c r="A232" s="640" t="s">
        <v>3389</v>
      </c>
      <c r="B232" s="104" t="s">
        <v>972</v>
      </c>
      <c r="C232" s="161" t="s">
        <v>1141</v>
      </c>
      <c r="D232" s="99"/>
      <c r="E232" s="100" t="s">
        <v>973</v>
      </c>
      <c r="F232" s="100"/>
      <c r="G232" s="100"/>
      <c r="H232" s="101" t="s">
        <v>974</v>
      </c>
      <c r="I232" s="100"/>
      <c r="J232" s="102" t="s">
        <v>975</v>
      </c>
      <c r="K232" s="103" t="s">
        <v>976</v>
      </c>
    </row>
    <row r="233" spans="1:11" ht="30" x14ac:dyDescent="0.25">
      <c r="A233" s="640" t="s">
        <v>3388</v>
      </c>
      <c r="B233" s="139" t="s">
        <v>1549</v>
      </c>
      <c r="C233" s="169" t="s">
        <v>1141</v>
      </c>
      <c r="D233" s="137" t="s">
        <v>105</v>
      </c>
      <c r="E233" s="138" t="s">
        <v>1550</v>
      </c>
      <c r="F233" s="138"/>
      <c r="G233" s="138"/>
      <c r="H233" s="152" t="s">
        <v>1551</v>
      </c>
      <c r="I233" s="138" t="s">
        <v>1552</v>
      </c>
      <c r="J233" s="153" t="s">
        <v>1553</v>
      </c>
      <c r="K233" s="139" t="s">
        <v>1554</v>
      </c>
    </row>
    <row r="234" spans="1:11" ht="30" x14ac:dyDescent="0.25">
      <c r="A234" s="640" t="s">
        <v>3387</v>
      </c>
      <c r="B234" s="207" t="s">
        <v>2178</v>
      </c>
      <c r="C234" s="208" t="s">
        <v>1141</v>
      </c>
      <c r="D234" s="202"/>
      <c r="E234" s="203" t="s">
        <v>2179</v>
      </c>
      <c r="F234" s="203"/>
      <c r="G234" s="203" t="s">
        <v>2180</v>
      </c>
      <c r="H234" s="220" t="s">
        <v>2181</v>
      </c>
      <c r="I234" s="220" t="s">
        <v>2182</v>
      </c>
      <c r="J234" s="238" t="s">
        <v>2183</v>
      </c>
      <c r="K234" s="206" t="s">
        <v>2184</v>
      </c>
    </row>
    <row r="235" spans="1:11" ht="60" x14ac:dyDescent="0.25">
      <c r="A235" s="147" t="s">
        <v>1238</v>
      </c>
      <c r="B235" s="148" t="s">
        <v>1239</v>
      </c>
      <c r="C235" s="173" t="s">
        <v>1141</v>
      </c>
      <c r="D235" s="142"/>
      <c r="E235" s="138" t="s">
        <v>1240</v>
      </c>
      <c r="F235" s="143"/>
      <c r="G235" s="143"/>
      <c r="H235" s="158"/>
      <c r="I235" s="145" t="s">
        <v>1241</v>
      </c>
      <c r="J235" s="146" t="s">
        <v>1242</v>
      </c>
      <c r="K235" s="147" t="s">
        <v>1243</v>
      </c>
    </row>
    <row r="236" spans="1:11" ht="30" x14ac:dyDescent="0.25">
      <c r="A236" s="206" t="s">
        <v>1810</v>
      </c>
      <c r="B236" s="207" t="s">
        <v>1811</v>
      </c>
      <c r="C236" s="208" t="s">
        <v>1139</v>
      </c>
      <c r="D236" s="202"/>
      <c r="E236" s="203" t="s">
        <v>1161</v>
      </c>
      <c r="F236" s="203"/>
      <c r="G236" s="203"/>
      <c r="H236" s="604" t="s">
        <v>3683</v>
      </c>
      <c r="I236" s="73" t="s">
        <v>1812</v>
      </c>
      <c r="J236" s="205" t="s">
        <v>1813</v>
      </c>
      <c r="K236" s="206" t="s">
        <v>1814</v>
      </c>
    </row>
    <row r="237" spans="1:11" ht="30" x14ac:dyDescent="0.25">
      <c r="A237" s="45" t="s">
        <v>611</v>
      </c>
      <c r="B237" s="39" t="s">
        <v>612</v>
      </c>
      <c r="C237" s="161" t="s">
        <v>1141</v>
      </c>
      <c r="D237" s="55"/>
      <c r="E237" s="56"/>
      <c r="F237" s="56"/>
      <c r="G237" s="56"/>
      <c r="H237" s="71"/>
      <c r="I237" s="56"/>
      <c r="J237" s="57" t="s">
        <v>613</v>
      </c>
      <c r="K237" s="45" t="s">
        <v>614</v>
      </c>
    </row>
    <row r="238" spans="1:11" ht="30" x14ac:dyDescent="0.25">
      <c r="A238" s="45" t="s">
        <v>3386</v>
      </c>
      <c r="B238" s="39"/>
      <c r="C238" s="162" t="s">
        <v>1139</v>
      </c>
      <c r="D238" s="55"/>
      <c r="E238" s="56" t="s">
        <v>423</v>
      </c>
      <c r="F238" s="56" t="s">
        <v>421</v>
      </c>
      <c r="G238" s="56"/>
      <c r="H238" s="71"/>
      <c r="I238" s="56"/>
      <c r="J238" s="57"/>
      <c r="K238" s="45"/>
    </row>
    <row r="239" spans="1:11" ht="30" x14ac:dyDescent="0.25">
      <c r="A239" s="45" t="s">
        <v>3385</v>
      </c>
      <c r="B239" s="39" t="s">
        <v>49</v>
      </c>
      <c r="C239" s="161" t="s">
        <v>1141</v>
      </c>
      <c r="D239" s="55" t="s">
        <v>13</v>
      </c>
      <c r="E239" s="56" t="s">
        <v>15</v>
      </c>
      <c r="F239" s="56"/>
      <c r="G239" s="56" t="s">
        <v>1307</v>
      </c>
      <c r="H239" s="604" t="s">
        <v>1278</v>
      </c>
      <c r="I239" s="73" t="s">
        <v>3011</v>
      </c>
      <c r="J239" s="57" t="s">
        <v>1308</v>
      </c>
      <c r="K239" s="45"/>
    </row>
    <row r="240" spans="1:11" ht="30" x14ac:dyDescent="0.25">
      <c r="A240" s="640" t="s">
        <v>3384</v>
      </c>
      <c r="B240" s="154" t="s">
        <v>1475</v>
      </c>
      <c r="C240" s="169" t="s">
        <v>1141</v>
      </c>
      <c r="D240" s="137"/>
      <c r="E240" s="138" t="s">
        <v>1476</v>
      </c>
      <c r="F240" s="138"/>
      <c r="G240" s="138" t="s">
        <v>1477</v>
      </c>
      <c r="H240" s="152" t="s">
        <v>1478</v>
      </c>
      <c r="I240" s="73" t="s">
        <v>1479</v>
      </c>
      <c r="J240" s="153" t="s">
        <v>1480</v>
      </c>
      <c r="K240" s="139" t="s">
        <v>1481</v>
      </c>
    </row>
    <row r="241" spans="1:11" ht="30" x14ac:dyDescent="0.25">
      <c r="A241" s="442" t="s">
        <v>3383</v>
      </c>
      <c r="B241" s="207" t="s">
        <v>1937</v>
      </c>
      <c r="C241" s="208" t="s">
        <v>1141</v>
      </c>
      <c r="D241" s="202"/>
      <c r="E241" s="203" t="s">
        <v>1938</v>
      </c>
      <c r="F241" s="203"/>
      <c r="G241" s="203"/>
      <c r="H241" s="204"/>
      <c r="I241" s="203" t="s">
        <v>1939</v>
      </c>
      <c r="J241" s="205" t="s">
        <v>1940</v>
      </c>
      <c r="K241" s="206" t="s">
        <v>1941</v>
      </c>
    </row>
    <row r="242" spans="1:11" x14ac:dyDescent="0.25">
      <c r="A242" s="640" t="s">
        <v>3382</v>
      </c>
      <c r="B242" s="154" t="s">
        <v>1538</v>
      </c>
      <c r="C242" s="169" t="s">
        <v>1141</v>
      </c>
      <c r="D242" s="137"/>
      <c r="E242" s="138" t="s">
        <v>105</v>
      </c>
      <c r="F242" s="138"/>
      <c r="G242" s="138"/>
      <c r="H242" s="152" t="s">
        <v>1539</v>
      </c>
      <c r="I242" s="138" t="s">
        <v>1540</v>
      </c>
      <c r="J242" s="153" t="s">
        <v>1541</v>
      </c>
      <c r="K242" s="139" t="s">
        <v>1542</v>
      </c>
    </row>
    <row r="243" spans="1:11" ht="30" x14ac:dyDescent="0.25">
      <c r="A243" s="46" t="s">
        <v>921</v>
      </c>
      <c r="B243" s="98" t="s">
        <v>922</v>
      </c>
      <c r="C243" s="161" t="s">
        <v>1141</v>
      </c>
      <c r="D243" s="55" t="s">
        <v>31</v>
      </c>
      <c r="E243" s="94" t="s">
        <v>923</v>
      </c>
      <c r="F243" s="94"/>
      <c r="G243" s="94"/>
      <c r="H243" s="604" t="s">
        <v>924</v>
      </c>
      <c r="I243" s="107" t="s">
        <v>925</v>
      </c>
      <c r="J243" s="96" t="s">
        <v>926</v>
      </c>
      <c r="K243" s="97" t="s">
        <v>927</v>
      </c>
    </row>
    <row r="244" spans="1:11" ht="45" x14ac:dyDescent="0.25">
      <c r="A244" s="46" t="s">
        <v>3381</v>
      </c>
      <c r="B244" s="43" t="s">
        <v>515</v>
      </c>
      <c r="C244" s="161" t="s">
        <v>1141</v>
      </c>
      <c r="D244" s="86"/>
      <c r="E244" s="87" t="s">
        <v>516</v>
      </c>
      <c r="F244" s="87"/>
      <c r="G244" s="87"/>
      <c r="H244" s="604" t="s">
        <v>517</v>
      </c>
      <c r="I244" s="73" t="s">
        <v>518</v>
      </c>
      <c r="J244" s="89" t="s">
        <v>519</v>
      </c>
      <c r="K244" s="46" t="s">
        <v>520</v>
      </c>
    </row>
    <row r="245" spans="1:11" ht="45" x14ac:dyDescent="0.25">
      <c r="A245" s="45" t="s">
        <v>338</v>
      </c>
      <c r="B245" s="39" t="s">
        <v>340</v>
      </c>
      <c r="C245" s="161" t="s">
        <v>1141</v>
      </c>
      <c r="D245" s="55" t="s">
        <v>13</v>
      </c>
      <c r="E245" s="56"/>
      <c r="F245" s="56"/>
      <c r="G245" s="56" t="s">
        <v>344</v>
      </c>
      <c r="H245" s="71" t="s">
        <v>341</v>
      </c>
      <c r="I245" s="73" t="s">
        <v>343</v>
      </c>
      <c r="J245" s="57" t="s">
        <v>339</v>
      </c>
      <c r="K245" s="45" t="s">
        <v>342</v>
      </c>
    </row>
    <row r="246" spans="1:11" ht="30" x14ac:dyDescent="0.25">
      <c r="A246" s="45" t="s">
        <v>3380</v>
      </c>
      <c r="B246" s="39" t="s">
        <v>174</v>
      </c>
      <c r="C246" s="161" t="s">
        <v>1141</v>
      </c>
      <c r="D246" s="55"/>
      <c r="E246" s="56" t="s">
        <v>175</v>
      </c>
      <c r="F246" s="56"/>
      <c r="G246" s="73"/>
      <c r="H246" s="604" t="s">
        <v>177</v>
      </c>
      <c r="I246" s="73" t="s">
        <v>176</v>
      </c>
      <c r="J246" s="57" t="s">
        <v>178</v>
      </c>
      <c r="K246" s="45"/>
    </row>
    <row r="247" spans="1:11" ht="30" x14ac:dyDescent="0.25">
      <c r="A247" s="640" t="s">
        <v>3379</v>
      </c>
      <c r="B247" s="207" t="s">
        <v>2143</v>
      </c>
      <c r="C247" s="208" t="s">
        <v>1141</v>
      </c>
      <c r="D247" s="202"/>
      <c r="E247" s="203" t="s">
        <v>2144</v>
      </c>
      <c r="F247" s="203"/>
      <c r="G247" s="203" t="s">
        <v>2145</v>
      </c>
      <c r="H247" s="204" t="s">
        <v>2146</v>
      </c>
      <c r="I247" s="73" t="s">
        <v>2147</v>
      </c>
      <c r="J247" s="205" t="s">
        <v>2148</v>
      </c>
      <c r="K247" s="206" t="s">
        <v>2149</v>
      </c>
    </row>
    <row r="248" spans="1:11" ht="30" x14ac:dyDescent="0.25">
      <c r="A248" s="640" t="s">
        <v>3378</v>
      </c>
      <c r="B248" s="264" t="s">
        <v>2452</v>
      </c>
      <c r="C248" s="208" t="s">
        <v>1141</v>
      </c>
      <c r="D248" s="259"/>
      <c r="E248" s="260" t="s">
        <v>765</v>
      </c>
      <c r="F248" s="260"/>
      <c r="G248" s="260"/>
      <c r="H248" s="261"/>
      <c r="I248" s="260" t="s">
        <v>2453</v>
      </c>
      <c r="J248" s="262" t="s">
        <v>2454</v>
      </c>
      <c r="K248" s="263" t="s">
        <v>2455</v>
      </c>
    </row>
    <row r="249" spans="1:11" ht="45" x14ac:dyDescent="0.25">
      <c r="A249" s="45" t="s">
        <v>3377</v>
      </c>
      <c r="B249" s="39" t="s">
        <v>577</v>
      </c>
      <c r="C249" s="161" t="s">
        <v>1141</v>
      </c>
      <c r="D249" s="55"/>
      <c r="E249" s="56" t="s">
        <v>578</v>
      </c>
      <c r="F249" s="56"/>
      <c r="G249" s="56"/>
      <c r="H249" s="71" t="s">
        <v>579</v>
      </c>
      <c r="I249" s="56" t="s">
        <v>580</v>
      </c>
      <c r="J249" s="57" t="s">
        <v>581</v>
      </c>
      <c r="K249" s="45" t="s">
        <v>582</v>
      </c>
    </row>
    <row r="250" spans="1:11" ht="30" x14ac:dyDescent="0.25">
      <c r="A250" s="45" t="s">
        <v>281</v>
      </c>
      <c r="B250" s="1" t="s">
        <v>284</v>
      </c>
      <c r="C250" s="161" t="s">
        <v>1141</v>
      </c>
      <c r="D250" s="1" t="s">
        <v>13</v>
      </c>
      <c r="E250" s="1" t="s">
        <v>285</v>
      </c>
      <c r="F250" s="1"/>
      <c r="G250" s="1" t="s">
        <v>287</v>
      </c>
      <c r="H250" s="604" t="s">
        <v>283</v>
      </c>
      <c r="I250" s="379" t="s">
        <v>282</v>
      </c>
      <c r="J250" s="167" t="s">
        <v>286</v>
      </c>
      <c r="K250" s="1"/>
    </row>
    <row r="251" spans="1:11" x14ac:dyDescent="0.25">
      <c r="A251" s="1" t="s">
        <v>258</v>
      </c>
      <c r="B251" s="1" t="s">
        <v>259</v>
      </c>
      <c r="C251" s="161" t="s">
        <v>1141</v>
      </c>
      <c r="D251" s="1"/>
      <c r="F251" s="1"/>
      <c r="G251" s="1"/>
      <c r="H251" s="1"/>
      <c r="I251" s="1" t="s">
        <v>260</v>
      </c>
      <c r="J251" s="167" t="s">
        <v>261</v>
      </c>
      <c r="K251" s="1"/>
    </row>
    <row r="252" spans="1:11" ht="30" x14ac:dyDescent="0.25">
      <c r="A252" s="220" t="s">
        <v>2156</v>
      </c>
      <c r="B252" s="220" t="s">
        <v>2157</v>
      </c>
      <c r="C252" s="208" t="s">
        <v>1141</v>
      </c>
      <c r="D252" s="220"/>
      <c r="E252" s="220" t="s">
        <v>2158</v>
      </c>
      <c r="F252" s="220"/>
      <c r="G252" s="220"/>
      <c r="H252" s="220" t="s">
        <v>2159</v>
      </c>
      <c r="I252" s="220" t="s">
        <v>2160</v>
      </c>
      <c r="J252" s="238" t="s">
        <v>2161</v>
      </c>
      <c r="K252" s="220" t="s">
        <v>2162</v>
      </c>
    </row>
    <row r="253" spans="1:11" ht="30" x14ac:dyDescent="0.25">
      <c r="A253" s="139" t="s">
        <v>1395</v>
      </c>
      <c r="B253" s="154" t="s">
        <v>1396</v>
      </c>
      <c r="C253" s="169" t="s">
        <v>1139</v>
      </c>
      <c r="D253" s="137"/>
      <c r="E253" s="138" t="s">
        <v>1397</v>
      </c>
      <c r="F253" s="138"/>
      <c r="G253" s="138"/>
      <c r="H253" s="152"/>
      <c r="I253" s="138"/>
      <c r="J253" s="153" t="s">
        <v>1398</v>
      </c>
      <c r="K253" s="139" t="s">
        <v>1399</v>
      </c>
    </row>
    <row r="254" spans="1:11" ht="60" x14ac:dyDescent="0.25">
      <c r="A254" s="147" t="s">
        <v>1244</v>
      </c>
      <c r="B254" s="148" t="s">
        <v>1245</v>
      </c>
      <c r="C254" s="173" t="s">
        <v>1139</v>
      </c>
      <c r="D254" s="142"/>
      <c r="E254" s="138" t="s">
        <v>1246</v>
      </c>
      <c r="F254" s="143"/>
      <c r="G254" s="143"/>
      <c r="H254" s="604" t="s">
        <v>1247</v>
      </c>
      <c r="I254" s="145" t="s">
        <v>1248</v>
      </c>
      <c r="J254" s="146" t="s">
        <v>1249</v>
      </c>
      <c r="K254" s="147" t="s">
        <v>1250</v>
      </c>
    </row>
    <row r="255" spans="1:11" ht="30" x14ac:dyDescent="0.25">
      <c r="A255" s="640" t="s">
        <v>3376</v>
      </c>
      <c r="B255" s="186" t="s">
        <v>1525</v>
      </c>
      <c r="C255" s="195" t="s">
        <v>1139</v>
      </c>
      <c r="D255" s="182"/>
      <c r="E255" s="183" t="s">
        <v>1658</v>
      </c>
      <c r="F255" s="183"/>
      <c r="G255" s="183" t="s">
        <v>1527</v>
      </c>
      <c r="H255" s="184" t="s">
        <v>1528</v>
      </c>
      <c r="I255" s="183" t="s">
        <v>1529</v>
      </c>
      <c r="J255" s="185" t="s">
        <v>1659</v>
      </c>
      <c r="K255" s="181" t="s">
        <v>1531</v>
      </c>
    </row>
    <row r="256" spans="1:11" x14ac:dyDescent="0.25">
      <c r="A256" s="45" t="s">
        <v>3375</v>
      </c>
      <c r="B256" s="39" t="s">
        <v>583</v>
      </c>
      <c r="C256" s="161" t="s">
        <v>1141</v>
      </c>
      <c r="D256" s="55"/>
      <c r="E256" s="1" t="s">
        <v>584</v>
      </c>
      <c r="F256" s="56"/>
      <c r="G256" s="56"/>
      <c r="H256" s="71" t="s">
        <v>585</v>
      </c>
      <c r="I256" s="56" t="s">
        <v>586</v>
      </c>
      <c r="J256" s="57" t="s">
        <v>587</v>
      </c>
      <c r="K256" s="45" t="s">
        <v>588</v>
      </c>
    </row>
    <row r="257" spans="1:11" ht="45" x14ac:dyDescent="0.25">
      <c r="A257" s="46" t="s">
        <v>3374</v>
      </c>
      <c r="B257" s="279" t="s">
        <v>2431</v>
      </c>
      <c r="C257" s="224" t="s">
        <v>1141</v>
      </c>
      <c r="D257" s="259"/>
      <c r="E257" s="260" t="s">
        <v>2432</v>
      </c>
      <c r="F257" s="260"/>
      <c r="G257" s="260"/>
      <c r="H257" s="261" t="s">
        <v>2433</v>
      </c>
      <c r="I257" s="260" t="s">
        <v>2434</v>
      </c>
      <c r="J257" s="262" t="s">
        <v>2435</v>
      </c>
      <c r="K257" s="230" t="s">
        <v>2436</v>
      </c>
    </row>
    <row r="258" spans="1:11" x14ac:dyDescent="0.25">
      <c r="A258" s="45" t="s">
        <v>3373</v>
      </c>
      <c r="B258" s="39" t="s">
        <v>543</v>
      </c>
      <c r="C258" s="161" t="s">
        <v>1141</v>
      </c>
      <c r="D258" s="55"/>
      <c r="E258" s="56" t="s">
        <v>544</v>
      </c>
      <c r="F258" s="56"/>
      <c r="G258" s="56"/>
      <c r="H258" s="71" t="s">
        <v>545</v>
      </c>
      <c r="I258" s="56" t="s">
        <v>546</v>
      </c>
      <c r="J258" s="57" t="s">
        <v>547</v>
      </c>
      <c r="K258" s="45" t="s">
        <v>548</v>
      </c>
    </row>
    <row r="259" spans="1:11" ht="30" x14ac:dyDescent="0.25">
      <c r="A259" s="640" t="s">
        <v>3372</v>
      </c>
      <c r="B259" s="207" t="s">
        <v>2048</v>
      </c>
      <c r="C259" s="231" t="s">
        <v>1141</v>
      </c>
      <c r="D259" s="202"/>
      <c r="E259" s="203" t="s">
        <v>2049</v>
      </c>
      <c r="F259" s="203"/>
      <c r="G259" s="203" t="s">
        <v>2050</v>
      </c>
      <c r="H259" s="204" t="s">
        <v>2051</v>
      </c>
      <c r="I259" s="203" t="s">
        <v>2052</v>
      </c>
      <c r="J259" s="205" t="s">
        <v>2053</v>
      </c>
      <c r="K259" s="206" t="s">
        <v>2054</v>
      </c>
    </row>
    <row r="260" spans="1:11" ht="30" x14ac:dyDescent="0.25">
      <c r="A260" s="45" t="s">
        <v>3371</v>
      </c>
      <c r="B260" s="39" t="s">
        <v>522</v>
      </c>
      <c r="C260" s="161" t="s">
        <v>1141</v>
      </c>
      <c r="D260" s="55"/>
      <c r="E260" s="56" t="s">
        <v>525</v>
      </c>
      <c r="F260" s="56"/>
      <c r="G260" s="56"/>
      <c r="H260" s="71"/>
      <c r="I260" s="73" t="s">
        <v>524</v>
      </c>
      <c r="J260" s="57" t="s">
        <v>523</v>
      </c>
      <c r="K260" s="45"/>
    </row>
    <row r="261" spans="1:11" ht="75" x14ac:dyDescent="0.25">
      <c r="A261" s="640" t="s">
        <v>3270</v>
      </c>
      <c r="B261" s="104" t="s">
        <v>981</v>
      </c>
      <c r="C261" s="161" t="s">
        <v>1141</v>
      </c>
      <c r="D261" s="99"/>
      <c r="E261" s="651" t="s">
        <v>982</v>
      </c>
      <c r="F261" s="100"/>
      <c r="G261" s="100" t="s">
        <v>983</v>
      </c>
      <c r="H261" s="604" t="s">
        <v>984</v>
      </c>
      <c r="I261" s="645" t="s">
        <v>985</v>
      </c>
      <c r="J261" s="102" t="s">
        <v>986</v>
      </c>
      <c r="K261" s="103" t="s">
        <v>987</v>
      </c>
    </row>
    <row r="262" spans="1:11" ht="45" x14ac:dyDescent="0.25">
      <c r="A262" s="45" t="s">
        <v>3369</v>
      </c>
      <c r="B262" s="39" t="s">
        <v>242</v>
      </c>
      <c r="C262" s="157" t="s">
        <v>1139</v>
      </c>
      <c r="D262" s="55"/>
      <c r="E262" s="56"/>
      <c r="F262" s="56"/>
      <c r="G262" s="56"/>
      <c r="H262" s="604" t="s">
        <v>244</v>
      </c>
      <c r="I262" s="56" t="s">
        <v>243</v>
      </c>
      <c r="J262" s="57"/>
      <c r="K262" s="45"/>
    </row>
    <row r="263" spans="1:11" x14ac:dyDescent="0.25">
      <c r="A263" s="640" t="s">
        <v>3368</v>
      </c>
      <c r="B263" s="207" t="s">
        <v>1919</v>
      </c>
      <c r="C263" s="208" t="s">
        <v>1141</v>
      </c>
      <c r="D263" s="202"/>
      <c r="E263" s="203" t="s">
        <v>1920</v>
      </c>
      <c r="F263" s="203"/>
      <c r="G263" s="203"/>
      <c r="H263" s="204" t="s">
        <v>1921</v>
      </c>
      <c r="I263" s="203" t="s">
        <v>1922</v>
      </c>
      <c r="J263" s="205" t="s">
        <v>1923</v>
      </c>
      <c r="K263" s="206" t="s">
        <v>1924</v>
      </c>
    </row>
    <row r="264" spans="1:11" ht="30" x14ac:dyDescent="0.25">
      <c r="A264" s="213" t="s">
        <v>3367</v>
      </c>
      <c r="B264" s="214" t="s">
        <v>1919</v>
      </c>
      <c r="C264" s="224" t="s">
        <v>1140</v>
      </c>
      <c r="D264" s="209"/>
      <c r="E264" s="210" t="s">
        <v>1920</v>
      </c>
      <c r="F264" s="210"/>
      <c r="G264" s="210"/>
      <c r="H264" s="604" t="s">
        <v>1921</v>
      </c>
      <c r="I264" s="211" t="s">
        <v>1922</v>
      </c>
      <c r="J264" s="212" t="s">
        <v>1923</v>
      </c>
      <c r="K264" s="213" t="s">
        <v>1924</v>
      </c>
    </row>
    <row r="265" spans="1:11" ht="30" x14ac:dyDescent="0.25">
      <c r="A265" s="46" t="s">
        <v>3366</v>
      </c>
      <c r="B265" s="214" t="s">
        <v>1919</v>
      </c>
      <c r="C265" s="224" t="s">
        <v>1141</v>
      </c>
      <c r="D265" s="209"/>
      <c r="E265" s="210" t="s">
        <v>1920</v>
      </c>
      <c r="F265" s="210"/>
      <c r="G265" s="210"/>
      <c r="H265" s="604" t="s">
        <v>1921</v>
      </c>
      <c r="I265" s="211" t="s">
        <v>1922</v>
      </c>
      <c r="J265" s="212" t="s">
        <v>1923</v>
      </c>
      <c r="K265" s="213" t="s">
        <v>1924</v>
      </c>
    </row>
    <row r="266" spans="1:11" ht="90" x14ac:dyDescent="0.25">
      <c r="A266" s="317" t="s">
        <v>3365</v>
      </c>
      <c r="B266" s="318" t="s">
        <v>3365</v>
      </c>
      <c r="C266" s="491" t="s">
        <v>1141</v>
      </c>
      <c r="D266" s="334"/>
      <c r="E266" s="56" t="s">
        <v>2539</v>
      </c>
      <c r="F266" s="56"/>
      <c r="G266" s="56"/>
      <c r="H266" s="604" t="s">
        <v>2540</v>
      </c>
      <c r="I266" s="347" t="s">
        <v>2541</v>
      </c>
      <c r="J266" s="57" t="s">
        <v>2542</v>
      </c>
      <c r="K266" s="45" t="s">
        <v>2543</v>
      </c>
    </row>
    <row r="267" spans="1:11" ht="120" x14ac:dyDescent="0.25">
      <c r="A267" s="147" t="s">
        <v>1251</v>
      </c>
      <c r="B267" s="148" t="s">
        <v>1252</v>
      </c>
      <c r="C267" s="173" t="s">
        <v>1139</v>
      </c>
      <c r="D267" s="142"/>
      <c r="E267" s="138" t="s">
        <v>1253</v>
      </c>
      <c r="F267" s="143"/>
      <c r="G267" s="143"/>
      <c r="H267" s="604" t="s">
        <v>1254</v>
      </c>
      <c r="I267" s="145" t="s">
        <v>1255</v>
      </c>
      <c r="J267" s="146" t="s">
        <v>1256</v>
      </c>
      <c r="K267" s="147" t="s">
        <v>1257</v>
      </c>
    </row>
    <row r="268" spans="1:11" ht="45" x14ac:dyDescent="0.25">
      <c r="A268" s="45" t="s">
        <v>3364</v>
      </c>
      <c r="B268" s="39" t="s">
        <v>631</v>
      </c>
      <c r="C268" s="161" t="s">
        <v>1141</v>
      </c>
      <c r="D268" s="55"/>
      <c r="E268" s="56" t="s">
        <v>632</v>
      </c>
      <c r="F268" s="56"/>
      <c r="G268" s="56" t="s">
        <v>633</v>
      </c>
      <c r="H268" s="71" t="s">
        <v>634</v>
      </c>
      <c r="I268" s="56" t="s">
        <v>635</v>
      </c>
      <c r="J268" s="57" t="s">
        <v>636</v>
      </c>
      <c r="K268" s="45" t="s">
        <v>637</v>
      </c>
    </row>
    <row r="269" spans="1:11" ht="60" x14ac:dyDescent="0.25">
      <c r="A269" s="45" t="s">
        <v>3363</v>
      </c>
      <c r="B269" s="39" t="s">
        <v>746</v>
      </c>
      <c r="C269" s="161" t="s">
        <v>1141</v>
      </c>
      <c r="D269" s="55"/>
      <c r="E269" s="56" t="s">
        <v>747</v>
      </c>
      <c r="F269" s="56"/>
      <c r="G269" s="56" t="s">
        <v>748</v>
      </c>
      <c r="H269" s="605" t="s">
        <v>3685</v>
      </c>
      <c r="I269" s="56" t="s">
        <v>749</v>
      </c>
      <c r="J269" s="57" t="s">
        <v>750</v>
      </c>
      <c r="K269" s="45"/>
    </row>
    <row r="270" spans="1:11" x14ac:dyDescent="0.25">
      <c r="A270" s="45" t="s">
        <v>3362</v>
      </c>
      <c r="B270" s="39" t="s">
        <v>61</v>
      </c>
      <c r="C270" s="157" t="s">
        <v>1139</v>
      </c>
      <c r="D270" s="55" t="s">
        <v>13</v>
      </c>
      <c r="E270" s="56" t="s">
        <v>34</v>
      </c>
      <c r="F270" s="56"/>
      <c r="G270" s="56"/>
      <c r="H270" s="71"/>
      <c r="I270" s="56"/>
      <c r="J270" s="57"/>
      <c r="K270" s="45"/>
    </row>
    <row r="271" spans="1:11" x14ac:dyDescent="0.25">
      <c r="A271" s="46" t="s">
        <v>3361</v>
      </c>
      <c r="B271" s="98" t="s">
        <v>891</v>
      </c>
      <c r="C271" s="161" t="s">
        <v>1141</v>
      </c>
      <c r="D271" s="93"/>
      <c r="E271" s="94" t="s">
        <v>892</v>
      </c>
      <c r="F271" s="94"/>
      <c r="G271" s="94"/>
      <c r="H271" s="126"/>
      <c r="I271" s="95" t="s">
        <v>893</v>
      </c>
      <c r="J271" s="96" t="s">
        <v>894</v>
      </c>
      <c r="K271" s="97"/>
    </row>
    <row r="272" spans="1:11" ht="75" x14ac:dyDescent="0.25">
      <c r="A272" s="46" t="s">
        <v>3360</v>
      </c>
      <c r="B272" s="148" t="s">
        <v>1258</v>
      </c>
      <c r="C272" s="173" t="s">
        <v>1141</v>
      </c>
      <c r="D272" s="142"/>
      <c r="E272" s="143" t="s">
        <v>1259</v>
      </c>
      <c r="F272" s="143"/>
      <c r="G272" s="143" t="s">
        <v>1260</v>
      </c>
      <c r="H272" s="604" t="s">
        <v>1261</v>
      </c>
      <c r="I272" s="145" t="s">
        <v>1262</v>
      </c>
      <c r="J272" s="146" t="s">
        <v>1263</v>
      </c>
      <c r="K272" s="147" t="s">
        <v>1264</v>
      </c>
    </row>
    <row r="273" spans="1:11" x14ac:dyDescent="0.25">
      <c r="A273" s="45" t="s">
        <v>3359</v>
      </c>
      <c r="B273" s="39" t="s">
        <v>555</v>
      </c>
      <c r="C273" s="157" t="s">
        <v>1139</v>
      </c>
      <c r="D273" s="55"/>
      <c r="E273" s="56" t="s">
        <v>556</v>
      </c>
      <c r="F273" s="56"/>
      <c r="G273" s="56"/>
      <c r="H273" s="71" t="s">
        <v>557</v>
      </c>
      <c r="I273" s="56" t="s">
        <v>558</v>
      </c>
      <c r="J273" s="57" t="s">
        <v>559</v>
      </c>
      <c r="K273" s="45" t="s">
        <v>560</v>
      </c>
    </row>
    <row r="274" spans="1:11" ht="30" x14ac:dyDescent="0.25">
      <c r="A274" s="45" t="s">
        <v>3358</v>
      </c>
      <c r="B274" s="39" t="s">
        <v>215</v>
      </c>
      <c r="C274" s="162" t="s">
        <v>1141</v>
      </c>
      <c r="D274" s="55" t="s">
        <v>13</v>
      </c>
      <c r="E274" s="56"/>
      <c r="F274" s="56"/>
      <c r="G274" s="56"/>
      <c r="H274" s="604" t="s">
        <v>214</v>
      </c>
      <c r="I274" s="56"/>
      <c r="J274" s="57" t="s">
        <v>216</v>
      </c>
      <c r="K274" s="45"/>
    </row>
    <row r="275" spans="1:11" ht="60" x14ac:dyDescent="0.25">
      <c r="A275" s="46" t="s">
        <v>3357</v>
      </c>
      <c r="B275" s="98" t="s">
        <v>919</v>
      </c>
      <c r="C275" s="157" t="s">
        <v>1139</v>
      </c>
      <c r="D275" s="93"/>
      <c r="E275" s="94" t="s">
        <v>741</v>
      </c>
      <c r="F275" s="87" t="s">
        <v>1301</v>
      </c>
      <c r="G275" s="87" t="s">
        <v>1304</v>
      </c>
      <c r="H275" s="604" t="s">
        <v>1305</v>
      </c>
      <c r="I275" s="94"/>
      <c r="J275" s="89" t="s">
        <v>1306</v>
      </c>
      <c r="K275" s="97" t="s">
        <v>920</v>
      </c>
    </row>
    <row r="276" spans="1:11" ht="75" x14ac:dyDescent="0.25">
      <c r="A276" s="133" t="s">
        <v>3260</v>
      </c>
      <c r="B276" s="134" t="s">
        <v>1100</v>
      </c>
      <c r="C276" s="161" t="s">
        <v>1141</v>
      </c>
      <c r="D276" s="129"/>
      <c r="E276" s="130" t="s">
        <v>1101</v>
      </c>
      <c r="F276" s="130"/>
      <c r="G276" s="130"/>
      <c r="H276" s="604" t="s">
        <v>1102</v>
      </c>
      <c r="I276" s="543" t="s">
        <v>1103</v>
      </c>
      <c r="J276" s="132" t="s">
        <v>1104</v>
      </c>
      <c r="K276" s="133" t="s">
        <v>1105</v>
      </c>
    </row>
    <row r="277" spans="1:11" x14ac:dyDescent="0.25">
      <c r="A277" s="640" t="s">
        <v>3356</v>
      </c>
      <c r="B277" s="104" t="s">
        <v>1078</v>
      </c>
      <c r="C277" s="161" t="s">
        <v>1141</v>
      </c>
      <c r="D277" s="99"/>
      <c r="E277" s="100" t="s">
        <v>1079</v>
      </c>
      <c r="F277" s="100"/>
      <c r="G277" s="100" t="s">
        <v>1080</v>
      </c>
      <c r="H277" s="101" t="s">
        <v>1081</v>
      </c>
      <c r="I277" s="100" t="s">
        <v>1082</v>
      </c>
      <c r="J277" s="102" t="s">
        <v>1083</v>
      </c>
      <c r="K277" s="103" t="s">
        <v>1084</v>
      </c>
    </row>
    <row r="278" spans="1:11" x14ac:dyDescent="0.25">
      <c r="A278" s="97" t="s">
        <v>890</v>
      </c>
      <c r="B278" s="98" t="s">
        <v>818</v>
      </c>
      <c r="C278" s="157" t="s">
        <v>1139</v>
      </c>
      <c r="D278" s="93" t="s">
        <v>13</v>
      </c>
      <c r="E278" s="94" t="s">
        <v>617</v>
      </c>
      <c r="F278" s="94"/>
      <c r="G278" s="94"/>
      <c r="H278" s="604" t="s">
        <v>819</v>
      </c>
      <c r="I278" s="95" t="s">
        <v>820</v>
      </c>
      <c r="J278" s="96" t="s">
        <v>821</v>
      </c>
      <c r="K278" s="97" t="s">
        <v>822</v>
      </c>
    </row>
    <row r="279" spans="1:11" ht="30" x14ac:dyDescent="0.25">
      <c r="A279" s="640" t="s">
        <v>3355</v>
      </c>
      <c r="B279" s="207" t="s">
        <v>1952</v>
      </c>
      <c r="C279" s="208" t="s">
        <v>1141</v>
      </c>
      <c r="D279" s="202"/>
      <c r="E279" s="203" t="s">
        <v>1953</v>
      </c>
      <c r="F279" s="203"/>
      <c r="G279" s="203"/>
      <c r="H279" s="204"/>
      <c r="I279" s="73" t="s">
        <v>2185</v>
      </c>
      <c r="J279" s="205" t="s">
        <v>1954</v>
      </c>
      <c r="K279" s="206"/>
    </row>
    <row r="280" spans="1:11" ht="30" x14ac:dyDescent="0.25">
      <c r="A280" s="640" t="s">
        <v>3354</v>
      </c>
      <c r="B280" s="207" t="s">
        <v>1888</v>
      </c>
      <c r="C280" s="208" t="s">
        <v>1141</v>
      </c>
      <c r="D280" s="202"/>
      <c r="E280" s="203" t="s">
        <v>1889</v>
      </c>
      <c r="F280" s="203"/>
      <c r="G280" s="203"/>
      <c r="H280" s="770" t="s">
        <v>3802</v>
      </c>
      <c r="I280" s="203"/>
      <c r="J280" s="205" t="s">
        <v>1890</v>
      </c>
      <c r="K280" s="206" t="s">
        <v>1891</v>
      </c>
    </row>
    <row r="281" spans="1:11" x14ac:dyDescent="0.25">
      <c r="A281" s="45" t="s">
        <v>127</v>
      </c>
      <c r="B281" s="39" t="s">
        <v>128</v>
      </c>
      <c r="C281" s="157" t="s">
        <v>1139</v>
      </c>
      <c r="D281" s="55"/>
      <c r="E281" s="56" t="s">
        <v>129</v>
      </c>
      <c r="F281" s="56"/>
      <c r="G281" s="56"/>
      <c r="H281" s="604" t="s">
        <v>131</v>
      </c>
      <c r="I281" s="73" t="s">
        <v>130</v>
      </c>
      <c r="J281" s="57"/>
      <c r="K281" s="45"/>
    </row>
    <row r="282" spans="1:11" ht="60" x14ac:dyDescent="0.25">
      <c r="A282" s="45" t="s">
        <v>3353</v>
      </c>
      <c r="B282" s="39" t="s">
        <v>154</v>
      </c>
      <c r="C282" s="157" t="s">
        <v>1139</v>
      </c>
      <c r="D282" s="55" t="s">
        <v>119</v>
      </c>
      <c r="E282" s="56"/>
      <c r="F282" s="56"/>
      <c r="G282" s="56"/>
      <c r="H282" s="604" t="s">
        <v>155</v>
      </c>
      <c r="I282" s="73" t="s">
        <v>156</v>
      </c>
      <c r="J282" s="57" t="s">
        <v>157</v>
      </c>
      <c r="K282" s="45"/>
    </row>
    <row r="283" spans="1:11" x14ac:dyDescent="0.25">
      <c r="A283" s="45" t="s">
        <v>3352</v>
      </c>
      <c r="B283" s="39" t="s">
        <v>549</v>
      </c>
      <c r="C283" s="161" t="s">
        <v>1141</v>
      </c>
      <c r="D283" s="55"/>
      <c r="E283" s="56" t="s">
        <v>550</v>
      </c>
      <c r="F283" s="56"/>
      <c r="G283" s="56"/>
      <c r="H283" s="71" t="s">
        <v>551</v>
      </c>
      <c r="I283" s="56" t="s">
        <v>552</v>
      </c>
      <c r="J283" s="57" t="s">
        <v>553</v>
      </c>
      <c r="K283" s="45" t="s">
        <v>554</v>
      </c>
    </row>
    <row r="284" spans="1:11" ht="30" x14ac:dyDescent="0.25">
      <c r="A284" s="45" t="s">
        <v>3351</v>
      </c>
      <c r="B284" s="39" t="s">
        <v>188</v>
      </c>
      <c r="C284" s="161" t="s">
        <v>1141</v>
      </c>
      <c r="D284" s="55" t="s">
        <v>21</v>
      </c>
      <c r="E284" s="56"/>
      <c r="F284" s="56"/>
      <c r="G284" s="56"/>
      <c r="H284" s="604" t="s">
        <v>191</v>
      </c>
      <c r="I284" s="73" t="s">
        <v>189</v>
      </c>
      <c r="J284" s="57" t="s">
        <v>190</v>
      </c>
      <c r="K284" s="45"/>
    </row>
    <row r="285" spans="1:11" ht="30" x14ac:dyDescent="0.25">
      <c r="A285" s="45" t="s">
        <v>3350</v>
      </c>
      <c r="B285" s="39" t="s">
        <v>53</v>
      </c>
      <c r="C285" s="162" t="s">
        <v>1141</v>
      </c>
      <c r="D285" s="55"/>
      <c r="E285" s="56"/>
      <c r="F285" s="56"/>
      <c r="G285" s="56"/>
      <c r="H285" s="71"/>
      <c r="I285" s="56"/>
      <c r="J285" s="57"/>
      <c r="K285" s="45"/>
    </row>
    <row r="286" spans="1:11" ht="30" x14ac:dyDescent="0.25">
      <c r="A286" s="46" t="s">
        <v>3349</v>
      </c>
      <c r="B286" s="172" t="s">
        <v>848</v>
      </c>
      <c r="C286" s="161" t="s">
        <v>1141</v>
      </c>
      <c r="D286" s="93"/>
      <c r="E286" s="94" t="s">
        <v>129</v>
      </c>
      <c r="F286" s="94"/>
      <c r="G286" s="94"/>
      <c r="H286" s="106"/>
      <c r="I286" s="105" t="s">
        <v>849</v>
      </c>
      <c r="J286" s="96" t="s">
        <v>910</v>
      </c>
      <c r="K286" s="97" t="s">
        <v>911</v>
      </c>
    </row>
    <row r="287" spans="1:11" ht="30" x14ac:dyDescent="0.25">
      <c r="A287" s="640" t="s">
        <v>3348</v>
      </c>
      <c r="B287" s="154" t="s">
        <v>1434</v>
      </c>
      <c r="C287" s="169" t="s">
        <v>1141</v>
      </c>
      <c r="D287" s="137"/>
      <c r="E287" s="138" t="s">
        <v>1435</v>
      </c>
      <c r="F287" s="138"/>
      <c r="G287" s="138"/>
      <c r="H287" s="152" t="s">
        <v>1436</v>
      </c>
      <c r="I287" s="138" t="s">
        <v>1437</v>
      </c>
      <c r="J287" s="153" t="s">
        <v>1438</v>
      </c>
      <c r="K287" s="139" t="s">
        <v>1439</v>
      </c>
    </row>
    <row r="288" spans="1:11" ht="30" x14ac:dyDescent="0.25">
      <c r="A288" s="293" t="s">
        <v>3347</v>
      </c>
      <c r="B288" s="294" t="s">
        <v>2280</v>
      </c>
      <c r="C288" s="276" t="s">
        <v>1141</v>
      </c>
      <c r="D288" s="55"/>
      <c r="E288" s="56" t="s">
        <v>2281</v>
      </c>
      <c r="F288" s="56"/>
      <c r="G288" s="56"/>
      <c r="H288" s="71" t="s">
        <v>2282</v>
      </c>
      <c r="I288" s="56" t="s">
        <v>2283</v>
      </c>
      <c r="J288" s="240" t="s">
        <v>2284</v>
      </c>
      <c r="K288" s="45" t="s">
        <v>2285</v>
      </c>
    </row>
    <row r="289" spans="1:11" x14ac:dyDescent="0.25">
      <c r="A289" s="45" t="s">
        <v>2060</v>
      </c>
      <c r="B289" s="207" t="s">
        <v>2061</v>
      </c>
      <c r="C289" s="208" t="s">
        <v>1141</v>
      </c>
      <c r="D289" s="202"/>
      <c r="E289" s="203" t="s">
        <v>2062</v>
      </c>
      <c r="F289" s="203"/>
      <c r="G289" s="203"/>
      <c r="H289" s="204" t="s">
        <v>2063</v>
      </c>
      <c r="I289" s="203" t="s">
        <v>2064</v>
      </c>
      <c r="J289" s="205" t="s">
        <v>2065</v>
      </c>
      <c r="K289" s="206" t="s">
        <v>2066</v>
      </c>
    </row>
    <row r="290" spans="1:11" ht="30" x14ac:dyDescent="0.25">
      <c r="A290" s="45" t="s">
        <v>3346</v>
      </c>
      <c r="B290" s="39" t="s">
        <v>348</v>
      </c>
      <c r="C290" s="161" t="s">
        <v>1141</v>
      </c>
      <c r="D290" s="55"/>
      <c r="E290" s="56"/>
      <c r="F290" s="56"/>
      <c r="G290" s="56" t="s">
        <v>349</v>
      </c>
      <c r="H290" s="604" t="s">
        <v>346</v>
      </c>
      <c r="I290" s="56" t="s">
        <v>345</v>
      </c>
      <c r="J290" s="57" t="s">
        <v>347</v>
      </c>
      <c r="K290" s="45"/>
    </row>
    <row r="291" spans="1:11" ht="30" x14ac:dyDescent="0.25">
      <c r="A291" s="78" t="s">
        <v>817</v>
      </c>
      <c r="B291" s="84" t="s">
        <v>818</v>
      </c>
      <c r="C291" s="157" t="s">
        <v>1139</v>
      </c>
      <c r="D291" s="55" t="s">
        <v>13</v>
      </c>
      <c r="E291" s="119" t="s">
        <v>617</v>
      </c>
      <c r="F291" s="119"/>
      <c r="G291" s="119"/>
      <c r="H291" s="604" t="s">
        <v>819</v>
      </c>
      <c r="I291" s="120" t="s">
        <v>820</v>
      </c>
      <c r="J291" s="124" t="s">
        <v>821</v>
      </c>
      <c r="K291" s="78" t="s">
        <v>822</v>
      </c>
    </row>
    <row r="292" spans="1:11" x14ac:dyDescent="0.25">
      <c r="A292" s="263" t="s">
        <v>2404</v>
      </c>
      <c r="B292" s="264" t="s">
        <v>2405</v>
      </c>
      <c r="C292" s="224" t="s">
        <v>1141</v>
      </c>
      <c r="D292" s="259"/>
      <c r="E292" s="260" t="s">
        <v>2406</v>
      </c>
      <c r="F292" s="260"/>
      <c r="G292" s="260"/>
      <c r="H292" s="261" t="s">
        <v>2407</v>
      </c>
      <c r="I292" s="260" t="s">
        <v>2408</v>
      </c>
      <c r="J292" s="262" t="s">
        <v>2409</v>
      </c>
      <c r="K292" s="263" t="s">
        <v>2410</v>
      </c>
    </row>
    <row r="293" spans="1:11" ht="45" x14ac:dyDescent="0.25">
      <c r="A293" s="640" t="s">
        <v>3345</v>
      </c>
      <c r="B293" s="207" t="s">
        <v>1837</v>
      </c>
      <c r="C293" s="231" t="s">
        <v>1141</v>
      </c>
      <c r="D293" s="202"/>
      <c r="E293" s="203" t="s">
        <v>1838</v>
      </c>
      <c r="F293" s="203"/>
      <c r="G293" s="203"/>
      <c r="H293" s="204" t="s">
        <v>1839</v>
      </c>
      <c r="I293" s="203" t="s">
        <v>1840</v>
      </c>
      <c r="J293" s="205" t="s">
        <v>1841</v>
      </c>
      <c r="K293" s="206" t="s">
        <v>1842</v>
      </c>
    </row>
    <row r="294" spans="1:11" ht="30" x14ac:dyDescent="0.25">
      <c r="A294" s="45" t="s">
        <v>3344</v>
      </c>
      <c r="B294" s="39" t="s">
        <v>304</v>
      </c>
      <c r="C294" s="162" t="s">
        <v>1141</v>
      </c>
      <c r="D294" s="55"/>
      <c r="E294" s="56"/>
      <c r="F294" s="56"/>
      <c r="G294" s="56" t="s">
        <v>298</v>
      </c>
      <c r="H294" s="604" t="s">
        <v>297</v>
      </c>
      <c r="I294" s="73" t="s">
        <v>296</v>
      </c>
      <c r="J294" s="57" t="s">
        <v>299</v>
      </c>
      <c r="K294" s="45"/>
    </row>
    <row r="295" spans="1:11" ht="45" x14ac:dyDescent="0.25">
      <c r="A295" s="640" t="s">
        <v>3343</v>
      </c>
      <c r="B295" s="207" t="s">
        <v>1984</v>
      </c>
      <c r="C295" s="208" t="s">
        <v>1139</v>
      </c>
      <c r="D295" s="202"/>
      <c r="E295" s="203" t="s">
        <v>1985</v>
      </c>
      <c r="F295" s="203"/>
      <c r="G295" s="203"/>
      <c r="H295" s="204" t="s">
        <v>1986</v>
      </c>
      <c r="I295" s="203" t="s">
        <v>1987</v>
      </c>
      <c r="J295" s="205" t="s">
        <v>1988</v>
      </c>
      <c r="K295" s="206" t="s">
        <v>1989</v>
      </c>
    </row>
    <row r="296" spans="1:11" ht="30" x14ac:dyDescent="0.25">
      <c r="A296" s="103" t="s">
        <v>965</v>
      </c>
      <c r="B296" s="104" t="s">
        <v>966</v>
      </c>
      <c r="C296" s="161" t="s">
        <v>1141</v>
      </c>
      <c r="D296" s="99"/>
      <c r="E296" s="100" t="s">
        <v>967</v>
      </c>
      <c r="F296" s="100"/>
      <c r="G296" s="100"/>
      <c r="H296" s="101" t="s">
        <v>968</v>
      </c>
      <c r="I296" s="100" t="s">
        <v>969</v>
      </c>
      <c r="J296" s="102" t="s">
        <v>970</v>
      </c>
      <c r="K296" s="103" t="s">
        <v>971</v>
      </c>
    </row>
    <row r="297" spans="1:11" ht="30" x14ac:dyDescent="0.25">
      <c r="A297" s="45" t="s">
        <v>795</v>
      </c>
      <c r="B297" s="39" t="s">
        <v>796</v>
      </c>
      <c r="C297" s="161" t="s">
        <v>1141</v>
      </c>
      <c r="D297" s="55"/>
      <c r="E297" s="56" t="s">
        <v>797</v>
      </c>
      <c r="F297" s="56"/>
      <c r="G297" s="56" t="s">
        <v>798</v>
      </c>
      <c r="H297" s="71" t="s">
        <v>799</v>
      </c>
      <c r="I297" s="56" t="s">
        <v>800</v>
      </c>
      <c r="J297" s="57" t="s">
        <v>801</v>
      </c>
      <c r="K297" s="45" t="s">
        <v>802</v>
      </c>
    </row>
    <row r="298" spans="1:11" ht="30" x14ac:dyDescent="0.25">
      <c r="A298" s="103" t="s">
        <v>1085</v>
      </c>
      <c r="B298" s="104" t="s">
        <v>268</v>
      </c>
      <c r="C298" s="161" t="s">
        <v>1141</v>
      </c>
      <c r="D298" s="99"/>
      <c r="E298" s="100" t="s">
        <v>1086</v>
      </c>
      <c r="F298" s="100"/>
      <c r="G298" s="100" t="s">
        <v>1087</v>
      </c>
      <c r="H298" s="101" t="s">
        <v>1088</v>
      </c>
      <c r="I298" s="100" t="s">
        <v>1089</v>
      </c>
      <c r="J298" s="102" t="s">
        <v>1090</v>
      </c>
      <c r="K298" s="103" t="s">
        <v>1091</v>
      </c>
    </row>
    <row r="299" spans="1:11" ht="30" x14ac:dyDescent="0.25">
      <c r="A299" s="103" t="s">
        <v>1070</v>
      </c>
      <c r="B299" s="104" t="s">
        <v>1071</v>
      </c>
      <c r="C299" s="161" t="s">
        <v>1141</v>
      </c>
      <c r="D299" s="99"/>
      <c r="E299" s="100" t="s">
        <v>1072</v>
      </c>
      <c r="F299" s="100"/>
      <c r="G299" s="100" t="s">
        <v>1073</v>
      </c>
      <c r="H299" s="101" t="s">
        <v>1074</v>
      </c>
      <c r="I299" s="100" t="s">
        <v>1075</v>
      </c>
      <c r="J299" s="102" t="s">
        <v>1076</v>
      </c>
      <c r="K299" s="103" t="s">
        <v>1077</v>
      </c>
    </row>
    <row r="300" spans="1:11" ht="30" x14ac:dyDescent="0.25">
      <c r="A300" s="206" t="s">
        <v>2204</v>
      </c>
      <c r="B300" s="207" t="s">
        <v>2205</v>
      </c>
      <c r="C300" s="235" t="s">
        <v>1141</v>
      </c>
      <c r="D300" s="202"/>
      <c r="E300" s="203" t="s">
        <v>2206</v>
      </c>
      <c r="F300" s="203"/>
      <c r="G300" s="203"/>
      <c r="H300" s="204" t="s">
        <v>2207</v>
      </c>
      <c r="I300" s="203" t="s">
        <v>2208</v>
      </c>
      <c r="J300" s="205" t="s">
        <v>2209</v>
      </c>
      <c r="K300" s="206" t="s">
        <v>2210</v>
      </c>
    </row>
    <row r="301" spans="1:11" x14ac:dyDescent="0.25">
      <c r="A301" s="45" t="s">
        <v>850</v>
      </c>
      <c r="B301" s="85" t="s">
        <v>851</v>
      </c>
      <c r="C301" s="157" t="s">
        <v>1139</v>
      </c>
      <c r="D301" s="79" t="s">
        <v>88</v>
      </c>
      <c r="E301" s="80" t="s">
        <v>89</v>
      </c>
      <c r="F301" s="80"/>
      <c r="G301" s="80"/>
      <c r="H301" s="81"/>
      <c r="I301" s="80" t="s">
        <v>852</v>
      </c>
      <c r="J301" s="82"/>
      <c r="K301" s="83"/>
    </row>
    <row r="302" spans="1:11" ht="30" x14ac:dyDescent="0.25">
      <c r="A302" s="640" t="s">
        <v>3342</v>
      </c>
      <c r="B302" s="207" t="s">
        <v>2198</v>
      </c>
      <c r="C302" s="235" t="s">
        <v>1141</v>
      </c>
      <c r="D302" s="202"/>
      <c r="E302" s="203" t="s">
        <v>2199</v>
      </c>
      <c r="F302" s="203"/>
      <c r="G302" s="203" t="s">
        <v>1740</v>
      </c>
      <c r="H302" s="204" t="s">
        <v>2200</v>
      </c>
      <c r="I302" s="203" t="s">
        <v>2201</v>
      </c>
      <c r="J302" s="205" t="s">
        <v>2202</v>
      </c>
      <c r="K302" s="206" t="s">
        <v>2203</v>
      </c>
    </row>
    <row r="303" spans="1:11" x14ac:dyDescent="0.25">
      <c r="A303" s="45" t="s">
        <v>615</v>
      </c>
      <c r="B303" s="39" t="s">
        <v>616</v>
      </c>
      <c r="C303" s="161" t="s">
        <v>1141</v>
      </c>
      <c r="D303" s="55" t="s">
        <v>13</v>
      </c>
      <c r="E303" s="56" t="s">
        <v>651</v>
      </c>
      <c r="F303" s="56"/>
      <c r="G303" s="56" t="s">
        <v>652</v>
      </c>
      <c r="H303" s="71"/>
      <c r="I303" s="56"/>
      <c r="J303" s="57"/>
      <c r="K303" s="45"/>
    </row>
    <row r="304" spans="1:11" ht="30" x14ac:dyDescent="0.25">
      <c r="A304" s="206" t="s">
        <v>615</v>
      </c>
      <c r="B304" s="207" t="s">
        <v>1882</v>
      </c>
      <c r="C304" s="208" t="s">
        <v>1141</v>
      </c>
      <c r="D304" s="202"/>
      <c r="E304" s="203" t="s">
        <v>1883</v>
      </c>
      <c r="F304" s="203"/>
      <c r="G304" s="203" t="s">
        <v>1884</v>
      </c>
      <c r="H304" s="204" t="s">
        <v>1885</v>
      </c>
      <c r="I304" s="203"/>
      <c r="J304" s="205" t="s">
        <v>1886</v>
      </c>
      <c r="K304" s="206" t="s">
        <v>1887</v>
      </c>
    </row>
    <row r="305" spans="1:11" ht="30" x14ac:dyDescent="0.25">
      <c r="A305" s="46" t="s">
        <v>3341</v>
      </c>
      <c r="B305" s="148" t="s">
        <v>59</v>
      </c>
      <c r="C305" s="173" t="s">
        <v>1141</v>
      </c>
      <c r="D305" s="142"/>
      <c r="E305" s="143" t="s">
        <v>923</v>
      </c>
      <c r="F305" s="143"/>
      <c r="G305" s="143"/>
      <c r="H305" s="604" t="s">
        <v>924</v>
      </c>
      <c r="I305" s="145" t="s">
        <v>925</v>
      </c>
      <c r="J305" s="146" t="s">
        <v>926</v>
      </c>
      <c r="K305" s="147" t="s">
        <v>927</v>
      </c>
    </row>
    <row r="306" spans="1:11" x14ac:dyDescent="0.25">
      <c r="A306" s="45" t="s">
        <v>3340</v>
      </c>
      <c r="B306" s="45" t="s">
        <v>64</v>
      </c>
      <c r="C306" s="161" t="s">
        <v>1141</v>
      </c>
      <c r="D306" s="55" t="s">
        <v>17</v>
      </c>
      <c r="E306" s="56"/>
      <c r="F306" s="56"/>
      <c r="G306" s="56"/>
      <c r="H306" s="71"/>
      <c r="I306" s="56"/>
      <c r="J306" s="57"/>
      <c r="K306" s="45"/>
    </row>
    <row r="307" spans="1:11" ht="30" x14ac:dyDescent="0.25">
      <c r="A307" s="83" t="s">
        <v>831</v>
      </c>
      <c r="B307" s="85" t="s">
        <v>832</v>
      </c>
      <c r="C307" s="161" t="s">
        <v>1141</v>
      </c>
      <c r="D307" s="79"/>
      <c r="E307" s="80" t="s">
        <v>833</v>
      </c>
      <c r="F307" s="80"/>
      <c r="G307" s="80"/>
      <c r="H307" s="81" t="s">
        <v>834</v>
      </c>
      <c r="I307" s="80" t="s">
        <v>835</v>
      </c>
      <c r="J307" s="82"/>
      <c r="K307" s="83" t="s">
        <v>836</v>
      </c>
    </row>
    <row r="308" spans="1:11" ht="45" x14ac:dyDescent="0.25">
      <c r="A308" s="46" t="s">
        <v>3339</v>
      </c>
      <c r="B308" s="214" t="s">
        <v>2286</v>
      </c>
      <c r="C308" s="224" t="s">
        <v>1139</v>
      </c>
      <c r="D308" s="207"/>
      <c r="E308" s="203" t="s">
        <v>2287</v>
      </c>
      <c r="F308" s="203"/>
      <c r="G308" s="203"/>
      <c r="H308" s="204" t="s">
        <v>2288</v>
      </c>
      <c r="I308" s="203"/>
      <c r="J308" s="205" t="s">
        <v>2289</v>
      </c>
      <c r="K308" s="206"/>
    </row>
    <row r="309" spans="1:11" ht="30" x14ac:dyDescent="0.25">
      <c r="A309" s="206" t="s">
        <v>3338</v>
      </c>
      <c r="B309" s="207" t="s">
        <v>1857</v>
      </c>
      <c r="C309" s="157" t="s">
        <v>1139</v>
      </c>
      <c r="D309" s="202"/>
      <c r="E309" s="203" t="s">
        <v>1858</v>
      </c>
      <c r="F309" s="203"/>
      <c r="G309" s="203"/>
      <c r="H309" s="204" t="s">
        <v>1859</v>
      </c>
      <c r="I309" s="203" t="s">
        <v>1860</v>
      </c>
      <c r="J309" s="205" t="s">
        <v>1861</v>
      </c>
      <c r="K309" s="206" t="s">
        <v>1862</v>
      </c>
    </row>
    <row r="310" spans="1:11" ht="30" x14ac:dyDescent="0.25">
      <c r="A310" s="640" t="s">
        <v>3338</v>
      </c>
      <c r="B310" s="207" t="s">
        <v>1857</v>
      </c>
      <c r="C310" s="208" t="s">
        <v>1139</v>
      </c>
      <c r="D310" s="202"/>
      <c r="E310" s="203" t="s">
        <v>1858</v>
      </c>
      <c r="F310" s="203"/>
      <c r="G310" s="203"/>
      <c r="H310" s="204" t="s">
        <v>1859</v>
      </c>
      <c r="I310" s="203" t="s">
        <v>1860</v>
      </c>
      <c r="J310" s="205" t="s">
        <v>1861</v>
      </c>
      <c r="K310" s="206" t="s">
        <v>1862</v>
      </c>
    </row>
    <row r="311" spans="1:11" x14ac:dyDescent="0.25">
      <c r="A311" s="45" t="s">
        <v>3337</v>
      </c>
      <c r="B311" s="39" t="s">
        <v>164</v>
      </c>
      <c r="C311" s="162" t="s">
        <v>1141</v>
      </c>
      <c r="D311" s="55" t="s">
        <v>105</v>
      </c>
      <c r="E311" s="56"/>
      <c r="F311" s="56"/>
      <c r="G311" s="56"/>
      <c r="H311" s="604" t="s">
        <v>162</v>
      </c>
      <c r="I311" s="73" t="s">
        <v>163</v>
      </c>
      <c r="J311" s="57" t="s">
        <v>165</v>
      </c>
      <c r="K311" s="45"/>
    </row>
    <row r="312" spans="1:11" ht="30" x14ac:dyDescent="0.25">
      <c r="A312" s="139" t="s">
        <v>1352</v>
      </c>
      <c r="B312" s="154" t="s">
        <v>1353</v>
      </c>
      <c r="C312" s="169" t="s">
        <v>1141</v>
      </c>
      <c r="D312" s="137"/>
      <c r="E312" s="138" t="s">
        <v>105</v>
      </c>
      <c r="F312" s="138"/>
      <c r="G312" s="138"/>
      <c r="H312" s="152" t="s">
        <v>1354</v>
      </c>
      <c r="I312" s="138" t="s">
        <v>1355</v>
      </c>
      <c r="J312" s="153" t="s">
        <v>1356</v>
      </c>
      <c r="K312" s="139" t="s">
        <v>1357</v>
      </c>
    </row>
    <row r="313" spans="1:11" ht="30" x14ac:dyDescent="0.25">
      <c r="A313" s="640" t="s">
        <v>3336</v>
      </c>
      <c r="B313" s="154" t="s">
        <v>1193</v>
      </c>
      <c r="C313" s="169" t="s">
        <v>1139</v>
      </c>
      <c r="D313" s="137"/>
      <c r="E313" s="138" t="s">
        <v>1195</v>
      </c>
      <c r="F313" s="138"/>
      <c r="G313" s="138"/>
      <c r="H313" s="604" t="s">
        <v>1196</v>
      </c>
      <c r="I313" s="164" t="s">
        <v>1194</v>
      </c>
      <c r="J313" s="164" t="s">
        <v>1197</v>
      </c>
      <c r="K313" s="139" t="s">
        <v>1198</v>
      </c>
    </row>
    <row r="314" spans="1:11" ht="30" x14ac:dyDescent="0.25">
      <c r="A314" s="140" t="s">
        <v>2190</v>
      </c>
      <c r="B314" s="141" t="s">
        <v>2191</v>
      </c>
      <c r="C314" s="235" t="s">
        <v>1141</v>
      </c>
      <c r="D314" s="236"/>
      <c r="E314" s="203" t="s">
        <v>2192</v>
      </c>
      <c r="F314" s="203"/>
      <c r="G314" s="203" t="s">
        <v>2193</v>
      </c>
      <c r="H314" s="204" t="s">
        <v>2194</v>
      </c>
      <c r="I314" s="203" t="s">
        <v>2195</v>
      </c>
      <c r="J314" s="205" t="s">
        <v>2196</v>
      </c>
      <c r="K314" s="206" t="s">
        <v>2197</v>
      </c>
    </row>
    <row r="315" spans="1:11" x14ac:dyDescent="0.25">
      <c r="A315" s="45" t="s">
        <v>3335</v>
      </c>
      <c r="B315" s="39" t="s">
        <v>68</v>
      </c>
      <c r="C315" s="161" t="s">
        <v>1141</v>
      </c>
      <c r="D315" s="55" t="s">
        <v>41</v>
      </c>
      <c r="E315" s="56" t="s">
        <v>42</v>
      </c>
      <c r="F315" s="56"/>
      <c r="G315" s="56"/>
      <c r="H315" s="71"/>
      <c r="I315" s="56"/>
      <c r="J315" s="57"/>
      <c r="K315" s="45"/>
    </row>
    <row r="316" spans="1:11" ht="30" x14ac:dyDescent="0.25">
      <c r="A316" s="640" t="s">
        <v>3334</v>
      </c>
      <c r="B316" s="154" t="s">
        <v>1371</v>
      </c>
      <c r="C316" s="169" t="s">
        <v>1139</v>
      </c>
      <c r="D316" s="137"/>
      <c r="E316" s="138" t="s">
        <v>1372</v>
      </c>
      <c r="F316" s="138"/>
      <c r="G316" s="138" t="s">
        <v>1373</v>
      </c>
      <c r="H316" s="152" t="s">
        <v>1374</v>
      </c>
      <c r="I316" s="138" t="s">
        <v>1375</v>
      </c>
      <c r="J316" s="153" t="s">
        <v>1376</v>
      </c>
      <c r="K316" s="139" t="s">
        <v>1377</v>
      </c>
    </row>
    <row r="317" spans="1:11" x14ac:dyDescent="0.25">
      <c r="A317" s="45" t="s">
        <v>3333</v>
      </c>
      <c r="B317" s="39" t="s">
        <v>567</v>
      </c>
      <c r="C317" s="161" t="s">
        <v>1141</v>
      </c>
      <c r="D317" s="55"/>
      <c r="E317" s="56" t="s">
        <v>285</v>
      </c>
      <c r="F317" s="56"/>
      <c r="G317" s="56"/>
      <c r="H317" s="71" t="s">
        <v>568</v>
      </c>
      <c r="I317" s="56" t="s">
        <v>569</v>
      </c>
      <c r="J317" s="57" t="s">
        <v>570</v>
      </c>
      <c r="K317" s="45" t="s">
        <v>571</v>
      </c>
    </row>
    <row r="318" spans="1:11" ht="30" x14ac:dyDescent="0.25">
      <c r="A318" s="45" t="s">
        <v>3332</v>
      </c>
      <c r="B318" s="39" t="s">
        <v>104</v>
      </c>
      <c r="C318" s="162" t="s">
        <v>1141</v>
      </c>
      <c r="D318" s="55" t="s">
        <v>105</v>
      </c>
      <c r="E318" s="56" t="s">
        <v>106</v>
      </c>
      <c r="F318" s="56"/>
      <c r="G318" s="56"/>
      <c r="H318" s="71"/>
      <c r="I318" s="56"/>
      <c r="J318" s="57"/>
      <c r="K318" s="45"/>
    </row>
    <row r="319" spans="1:11" ht="60" x14ac:dyDescent="0.25">
      <c r="A319" s="139" t="s">
        <v>1446</v>
      </c>
      <c r="B319" s="154" t="s">
        <v>1447</v>
      </c>
      <c r="C319" s="169" t="s">
        <v>1139</v>
      </c>
      <c r="D319" s="137"/>
      <c r="E319" s="138" t="s">
        <v>1448</v>
      </c>
      <c r="F319" s="138"/>
      <c r="G319" s="138" t="s">
        <v>1449</v>
      </c>
      <c r="H319" s="152" t="s">
        <v>1450</v>
      </c>
      <c r="I319" s="651" t="s">
        <v>1451</v>
      </c>
      <c r="J319" s="153" t="s">
        <v>1452</v>
      </c>
      <c r="K319" s="139" t="s">
        <v>1453</v>
      </c>
    </row>
    <row r="320" spans="1:11" ht="30" x14ac:dyDescent="0.25">
      <c r="A320" s="640" t="s">
        <v>3331</v>
      </c>
      <c r="B320" s="154" t="s">
        <v>1311</v>
      </c>
      <c r="C320" s="169" t="s">
        <v>1141</v>
      </c>
      <c r="D320" s="137"/>
      <c r="E320" s="138" t="s">
        <v>1312</v>
      </c>
      <c r="F320" s="138"/>
      <c r="G320" s="138"/>
      <c r="H320" s="152" t="s">
        <v>1313</v>
      </c>
      <c r="I320" s="138" t="s">
        <v>1314</v>
      </c>
      <c r="J320" s="153" t="s">
        <v>1315</v>
      </c>
      <c r="K320" s="139" t="s">
        <v>1316</v>
      </c>
    </row>
    <row r="321" spans="1:11" ht="45" x14ac:dyDescent="0.25">
      <c r="A321" s="206" t="s">
        <v>1925</v>
      </c>
      <c r="B321" s="207" t="s">
        <v>1926</v>
      </c>
      <c r="C321" s="208" t="s">
        <v>1141</v>
      </c>
      <c r="D321" s="202"/>
      <c r="E321" s="203" t="s">
        <v>1927</v>
      </c>
      <c r="F321" s="203"/>
      <c r="G321" s="203"/>
      <c r="H321" s="604" t="s">
        <v>1928</v>
      </c>
      <c r="I321" s="203" t="s">
        <v>1929</v>
      </c>
      <c r="J321" s="205" t="s">
        <v>1930</v>
      </c>
      <c r="K321" s="206" t="s">
        <v>1931</v>
      </c>
    </row>
    <row r="322" spans="1:11" ht="75" x14ac:dyDescent="0.25">
      <c r="A322" s="46" t="s">
        <v>3330</v>
      </c>
      <c r="B322" s="43" t="s">
        <v>509</v>
      </c>
      <c r="C322" s="161" t="s">
        <v>1141</v>
      </c>
      <c r="D322" s="86"/>
      <c r="E322" s="87" t="s">
        <v>510</v>
      </c>
      <c r="F322" s="87"/>
      <c r="G322" s="87"/>
      <c r="H322" s="604" t="s">
        <v>511</v>
      </c>
      <c r="I322" s="73" t="s">
        <v>512</v>
      </c>
      <c r="J322" s="89" t="s">
        <v>513</v>
      </c>
      <c r="K322" s="46" t="s">
        <v>514</v>
      </c>
    </row>
    <row r="323" spans="1:11" ht="30" x14ac:dyDescent="0.25">
      <c r="A323" s="43" t="s">
        <v>3329</v>
      </c>
      <c r="B323" s="98" t="s">
        <v>1060</v>
      </c>
      <c r="C323" s="161" t="s">
        <v>1141</v>
      </c>
      <c r="D323" s="93"/>
      <c r="E323" s="94" t="s">
        <v>1061</v>
      </c>
      <c r="F323" s="94"/>
      <c r="G323" s="94" t="s">
        <v>1062</v>
      </c>
      <c r="H323" s="604" t="s">
        <v>1063</v>
      </c>
      <c r="I323" s="95" t="s">
        <v>1064</v>
      </c>
      <c r="J323" s="96" t="s">
        <v>1065</v>
      </c>
      <c r="K323" s="97" t="s">
        <v>1066</v>
      </c>
    </row>
    <row r="324" spans="1:11" ht="30" x14ac:dyDescent="0.25">
      <c r="A324" s="640" t="s">
        <v>3328</v>
      </c>
      <c r="B324" s="264" t="s">
        <v>2444</v>
      </c>
      <c r="C324" s="161" t="s">
        <v>1141</v>
      </c>
      <c r="D324" s="259"/>
      <c r="E324" s="260" t="s">
        <v>2445</v>
      </c>
      <c r="F324" s="260"/>
      <c r="G324" s="260"/>
      <c r="H324" s="261"/>
      <c r="I324" s="260" t="s">
        <v>2446</v>
      </c>
      <c r="J324" s="262" t="s">
        <v>2447</v>
      </c>
      <c r="K324" s="263" t="s">
        <v>2448</v>
      </c>
    </row>
    <row r="325" spans="1:11" x14ac:dyDescent="0.25">
      <c r="A325" s="139" t="s">
        <v>1344</v>
      </c>
      <c r="B325" s="154" t="s">
        <v>1345</v>
      </c>
      <c r="C325" s="169" t="s">
        <v>1141</v>
      </c>
      <c r="D325" s="137"/>
      <c r="E325" s="138" t="s">
        <v>1346</v>
      </c>
      <c r="F325" s="138"/>
      <c r="G325" s="138" t="s">
        <v>1347</v>
      </c>
      <c r="H325" s="604" t="s">
        <v>1348</v>
      </c>
      <c r="I325" s="56" t="s">
        <v>1349</v>
      </c>
      <c r="J325" s="153" t="s">
        <v>1350</v>
      </c>
      <c r="K325" s="139" t="s">
        <v>1351</v>
      </c>
    </row>
    <row r="326" spans="1:11" ht="30" x14ac:dyDescent="0.25">
      <c r="A326" s="46" t="s">
        <v>3326</v>
      </c>
      <c r="B326" s="43" t="s">
        <v>504</v>
      </c>
      <c r="C326" s="161" t="s">
        <v>1141</v>
      </c>
      <c r="D326" s="86"/>
      <c r="E326" s="87" t="s">
        <v>505</v>
      </c>
      <c r="F326" s="87"/>
      <c r="G326" s="87"/>
      <c r="H326" s="604" t="s">
        <v>506</v>
      </c>
      <c r="I326" s="73" t="s">
        <v>507</v>
      </c>
      <c r="J326" s="89" t="s">
        <v>508</v>
      </c>
      <c r="K326" s="46"/>
    </row>
    <row r="327" spans="1:11" ht="45" x14ac:dyDescent="0.25">
      <c r="A327" s="640" t="s">
        <v>3327</v>
      </c>
      <c r="B327" s="186" t="s">
        <v>1591</v>
      </c>
      <c r="C327" s="195" t="s">
        <v>1139</v>
      </c>
      <c r="D327" s="182"/>
      <c r="E327" s="183" t="s">
        <v>1594</v>
      </c>
      <c r="F327" s="183"/>
      <c r="G327" s="183"/>
      <c r="H327" s="184"/>
      <c r="I327" s="183"/>
      <c r="J327" s="185" t="s">
        <v>1592</v>
      </c>
      <c r="K327" s="181" t="s">
        <v>1593</v>
      </c>
    </row>
    <row r="328" spans="1:11" ht="30" x14ac:dyDescent="0.25">
      <c r="A328" s="97" t="s">
        <v>912</v>
      </c>
      <c r="B328" s="98" t="s">
        <v>913</v>
      </c>
      <c r="C328" s="161" t="s">
        <v>1141</v>
      </c>
      <c r="D328" s="93"/>
      <c r="E328" s="94" t="s">
        <v>129</v>
      </c>
      <c r="F328" s="94"/>
      <c r="G328" s="94" t="s">
        <v>914</v>
      </c>
      <c r="H328" s="604" t="s">
        <v>915</v>
      </c>
      <c r="I328" s="107" t="s">
        <v>916</v>
      </c>
      <c r="J328" s="96" t="s">
        <v>917</v>
      </c>
      <c r="K328" s="97" t="s">
        <v>918</v>
      </c>
    </row>
    <row r="329" spans="1:11" ht="45" x14ac:dyDescent="0.25">
      <c r="A329" s="640" t="s">
        <v>3325</v>
      </c>
      <c r="B329" s="154" t="s">
        <v>1555</v>
      </c>
      <c r="C329" s="169" t="s">
        <v>1141</v>
      </c>
      <c r="D329" s="137"/>
      <c r="E329" s="138" t="s">
        <v>1556</v>
      </c>
      <c r="F329" s="138"/>
      <c r="G329" s="138"/>
      <c r="H329" s="152" t="s">
        <v>1557</v>
      </c>
      <c r="I329" s="138" t="s">
        <v>1558</v>
      </c>
      <c r="J329" s="153" t="s">
        <v>1559</v>
      </c>
      <c r="K329" s="139" t="s">
        <v>1560</v>
      </c>
    </row>
    <row r="330" spans="1:11" x14ac:dyDescent="0.25">
      <c r="A330" s="45" t="s">
        <v>3324</v>
      </c>
      <c r="B330" s="39" t="s">
        <v>561</v>
      </c>
      <c r="C330" s="157" t="s">
        <v>1139</v>
      </c>
      <c r="D330" s="55"/>
      <c r="E330" s="56" t="s">
        <v>562</v>
      </c>
      <c r="F330" s="56"/>
      <c r="G330" s="56"/>
      <c r="H330" s="71" t="s">
        <v>563</v>
      </c>
      <c r="I330" s="56" t="s">
        <v>564</v>
      </c>
      <c r="J330" s="57" t="s">
        <v>565</v>
      </c>
      <c r="K330" s="45" t="s">
        <v>566</v>
      </c>
    </row>
    <row r="331" spans="1:11" ht="30" x14ac:dyDescent="0.25">
      <c r="A331" s="287" t="s">
        <v>2418</v>
      </c>
      <c r="B331" s="279" t="s">
        <v>2419</v>
      </c>
      <c r="C331" s="224" t="s">
        <v>1141</v>
      </c>
      <c r="D331" s="283"/>
      <c r="E331" s="271" t="s">
        <v>2420</v>
      </c>
      <c r="F331" s="271"/>
      <c r="G331" s="271"/>
      <c r="H331" s="604" t="s">
        <v>2421</v>
      </c>
      <c r="I331" s="285" t="s">
        <v>2422</v>
      </c>
      <c r="J331" s="275" t="s">
        <v>2423</v>
      </c>
      <c r="K331" s="287" t="s">
        <v>2424</v>
      </c>
    </row>
    <row r="332" spans="1:11" ht="30" x14ac:dyDescent="0.25">
      <c r="A332" s="206" t="s">
        <v>2108</v>
      </c>
      <c r="B332" s="207" t="s">
        <v>2109</v>
      </c>
      <c r="C332" s="231" t="s">
        <v>1141</v>
      </c>
      <c r="D332" s="202"/>
      <c r="E332" s="203" t="s">
        <v>1938</v>
      </c>
      <c r="F332" s="203"/>
      <c r="G332" s="203" t="s">
        <v>2110</v>
      </c>
      <c r="H332" s="204" t="s">
        <v>2111</v>
      </c>
      <c r="I332" s="203" t="s">
        <v>2112</v>
      </c>
      <c r="J332" s="205" t="s">
        <v>2113</v>
      </c>
      <c r="K332" s="206" t="s">
        <v>2114</v>
      </c>
    </row>
    <row r="333" spans="1:11" x14ac:dyDescent="0.25">
      <c r="A333" s="45" t="s">
        <v>3323</v>
      </c>
      <c r="B333" s="39" t="s">
        <v>58</v>
      </c>
      <c r="C333" s="162" t="s">
        <v>1141</v>
      </c>
      <c r="D333" s="55" t="s">
        <v>13</v>
      </c>
      <c r="E333" s="56" t="s">
        <v>30</v>
      </c>
      <c r="F333" s="56"/>
      <c r="G333" s="56"/>
      <c r="H333" s="71"/>
      <c r="I333" s="56"/>
      <c r="J333" s="57"/>
      <c r="K333" s="45"/>
    </row>
    <row r="334" spans="1:11" ht="30" x14ac:dyDescent="0.25">
      <c r="A334" s="640" t="s">
        <v>3322</v>
      </c>
      <c r="B334" s="207" t="s">
        <v>2036</v>
      </c>
      <c r="C334" s="208" t="s">
        <v>1141</v>
      </c>
      <c r="D334" s="202"/>
      <c r="E334" s="203" t="s">
        <v>961</v>
      </c>
      <c r="F334" s="203"/>
      <c r="G334" s="203"/>
      <c r="H334" s="204" t="s">
        <v>2037</v>
      </c>
      <c r="I334" s="203" t="s">
        <v>2038</v>
      </c>
      <c r="J334" s="205" t="s">
        <v>2039</v>
      </c>
      <c r="K334" s="206" t="s">
        <v>2040</v>
      </c>
    </row>
    <row r="335" spans="1:11" ht="30" x14ac:dyDescent="0.25">
      <c r="A335" s="640" t="s">
        <v>3321</v>
      </c>
      <c r="B335" s="207" t="s">
        <v>2006</v>
      </c>
      <c r="C335" s="224" t="s">
        <v>1141</v>
      </c>
      <c r="D335" s="202"/>
      <c r="E335" s="203" t="s">
        <v>2007</v>
      </c>
      <c r="F335" s="203"/>
      <c r="G335" s="203"/>
      <c r="H335" s="770" t="s">
        <v>3801</v>
      </c>
      <c r="I335" s="203" t="s">
        <v>2008</v>
      </c>
      <c r="J335" s="205" t="s">
        <v>2009</v>
      </c>
      <c r="K335" s="206" t="s">
        <v>2010</v>
      </c>
    </row>
    <row r="336" spans="1:11" x14ac:dyDescent="0.25">
      <c r="A336" s="45" t="s">
        <v>3320</v>
      </c>
      <c r="B336" s="39" t="s">
        <v>132</v>
      </c>
      <c r="C336" s="157" t="s">
        <v>1139</v>
      </c>
      <c r="D336" s="55" t="s">
        <v>17</v>
      </c>
      <c r="E336" s="56" t="s">
        <v>133</v>
      </c>
      <c r="F336" s="56"/>
      <c r="G336" s="56"/>
      <c r="H336" s="604" t="s">
        <v>135</v>
      </c>
      <c r="I336" s="73" t="s">
        <v>134</v>
      </c>
      <c r="J336" s="57"/>
      <c r="K336" s="45"/>
    </row>
    <row r="337" spans="1:11" ht="30" x14ac:dyDescent="0.25">
      <c r="A337" s="640" t="s">
        <v>3319</v>
      </c>
      <c r="B337" s="104" t="s">
        <v>947</v>
      </c>
      <c r="C337" s="161" t="s">
        <v>1141</v>
      </c>
      <c r="D337" s="99"/>
      <c r="E337" s="100" t="s">
        <v>948</v>
      </c>
      <c r="F337" s="100"/>
      <c r="G337" s="100"/>
      <c r="H337" s="101"/>
      <c r="I337" s="645" t="s">
        <v>949</v>
      </c>
      <c r="J337" s="102" t="s">
        <v>950</v>
      </c>
      <c r="K337" s="103" t="s">
        <v>951</v>
      </c>
    </row>
    <row r="338" spans="1:11" ht="30" x14ac:dyDescent="0.25">
      <c r="A338" s="206" t="s">
        <v>2137</v>
      </c>
      <c r="B338" s="207" t="s">
        <v>2138</v>
      </c>
      <c r="C338" s="208" t="s">
        <v>1141</v>
      </c>
      <c r="D338" s="202"/>
      <c r="E338" s="203" t="s">
        <v>2139</v>
      </c>
      <c r="F338" s="203"/>
      <c r="G338" s="203"/>
      <c r="H338" s="204" t="s">
        <v>2140</v>
      </c>
      <c r="I338" s="203" t="s">
        <v>2141</v>
      </c>
      <c r="J338" s="205"/>
      <c r="K338" s="206" t="s">
        <v>2142</v>
      </c>
    </row>
    <row r="339" spans="1:11" x14ac:dyDescent="0.25">
      <c r="A339" s="45" t="s">
        <v>3318</v>
      </c>
      <c r="B339" s="39" t="s">
        <v>292</v>
      </c>
      <c r="C339" s="162" t="s">
        <v>1141</v>
      </c>
      <c r="D339" s="55" t="s">
        <v>105</v>
      </c>
      <c r="E339" s="56"/>
      <c r="F339" s="56"/>
      <c r="G339" s="56"/>
      <c r="H339" s="604" t="s">
        <v>294</v>
      </c>
      <c r="I339" s="73" t="s">
        <v>293</v>
      </c>
      <c r="J339" s="57" t="s">
        <v>295</v>
      </c>
      <c r="K339" s="45"/>
    </row>
    <row r="340" spans="1:11" x14ac:dyDescent="0.25">
      <c r="A340" s="45" t="s">
        <v>3317</v>
      </c>
      <c r="B340" s="39" t="s">
        <v>235</v>
      </c>
      <c r="C340" s="161" t="s">
        <v>1141</v>
      </c>
      <c r="D340" s="55" t="s">
        <v>17</v>
      </c>
      <c r="E340" s="56"/>
      <c r="F340" s="56"/>
      <c r="G340" s="56" t="s">
        <v>290</v>
      </c>
      <c r="H340" s="604" t="s">
        <v>289</v>
      </c>
      <c r="I340" s="73" t="s">
        <v>288</v>
      </c>
      <c r="J340" s="57" t="s">
        <v>291</v>
      </c>
      <c r="K340" s="45"/>
    </row>
    <row r="341" spans="1:11" x14ac:dyDescent="0.25">
      <c r="A341" s="45" t="s">
        <v>78</v>
      </c>
      <c r="B341" s="39" t="s">
        <v>80</v>
      </c>
      <c r="C341" s="161" t="s">
        <v>1141</v>
      </c>
      <c r="D341" s="55" t="s">
        <v>79</v>
      </c>
      <c r="E341" s="56" t="s">
        <v>81</v>
      </c>
      <c r="F341" s="56"/>
      <c r="G341" s="56"/>
      <c r="H341" s="604" t="s">
        <v>1096</v>
      </c>
      <c r="I341" s="56"/>
      <c r="J341" s="57"/>
      <c r="K341" s="45"/>
    </row>
    <row r="342" spans="1:11" x14ac:dyDescent="0.25">
      <c r="A342" s="45" t="s">
        <v>39</v>
      </c>
      <c r="B342" s="39" t="s">
        <v>63</v>
      </c>
      <c r="C342" s="161" t="s">
        <v>1141</v>
      </c>
      <c r="D342" s="55" t="s">
        <v>17</v>
      </c>
      <c r="E342" s="56"/>
      <c r="F342" s="56"/>
      <c r="G342" s="56"/>
      <c r="H342" s="71"/>
      <c r="I342" s="56"/>
      <c r="J342" s="57"/>
      <c r="K342" s="45"/>
    </row>
    <row r="343" spans="1:11" x14ac:dyDescent="0.25">
      <c r="A343" s="45" t="s">
        <v>3316</v>
      </c>
      <c r="B343" s="39" t="s">
        <v>55</v>
      </c>
      <c r="C343" s="162" t="s">
        <v>1141</v>
      </c>
      <c r="D343" s="55"/>
      <c r="E343" s="56"/>
      <c r="F343" s="56"/>
      <c r="G343" s="56"/>
      <c r="H343" s="71"/>
      <c r="I343" s="56"/>
      <c r="J343" s="57"/>
      <c r="K343" s="45"/>
    </row>
    <row r="344" spans="1:11" ht="30" x14ac:dyDescent="0.25">
      <c r="A344" s="640" t="s">
        <v>3315</v>
      </c>
      <c r="B344" s="264" t="s">
        <v>2456</v>
      </c>
      <c r="C344" s="208" t="s">
        <v>1141</v>
      </c>
      <c r="D344" s="259"/>
      <c r="E344" s="260" t="s">
        <v>2457</v>
      </c>
      <c r="F344" s="260"/>
      <c r="G344" s="260"/>
      <c r="H344" s="261" t="s">
        <v>2458</v>
      </c>
      <c r="I344" s="260" t="s">
        <v>2459</v>
      </c>
      <c r="J344" s="262" t="s">
        <v>2460</v>
      </c>
      <c r="K344" s="263" t="s">
        <v>2461</v>
      </c>
    </row>
    <row r="345" spans="1:11" ht="30" x14ac:dyDescent="0.25">
      <c r="A345" s="45" t="s">
        <v>150</v>
      </c>
      <c r="B345" s="39" t="s">
        <v>315</v>
      </c>
      <c r="C345" s="161" t="s">
        <v>1141</v>
      </c>
      <c r="D345" s="55" t="s">
        <v>105</v>
      </c>
      <c r="E345" s="56"/>
      <c r="F345" s="56"/>
      <c r="G345" s="56" t="s">
        <v>314</v>
      </c>
      <c r="H345" s="604" t="s">
        <v>317</v>
      </c>
      <c r="I345" s="73" t="s">
        <v>313</v>
      </c>
      <c r="J345" s="57" t="s">
        <v>316</v>
      </c>
      <c r="K345" s="45"/>
    </row>
    <row r="346" spans="1:11" ht="30" x14ac:dyDescent="0.25">
      <c r="A346" s="45" t="s">
        <v>3314</v>
      </c>
      <c r="B346" s="39" t="s">
        <v>1031</v>
      </c>
      <c r="C346" s="157" t="s">
        <v>1139</v>
      </c>
      <c r="D346" s="55" t="s">
        <v>21</v>
      </c>
      <c r="E346" s="56"/>
      <c r="F346" s="56"/>
      <c r="G346" s="56"/>
      <c r="H346" s="604" t="s">
        <v>1121</v>
      </c>
      <c r="I346" s="56"/>
      <c r="J346" s="57"/>
      <c r="K346" s="45"/>
    </row>
    <row r="347" spans="1:11" ht="30" x14ac:dyDescent="0.25">
      <c r="A347" s="640" t="s">
        <v>3313</v>
      </c>
      <c r="B347" s="207" t="s">
        <v>1903</v>
      </c>
      <c r="C347" s="208" t="s">
        <v>1141</v>
      </c>
      <c r="D347" s="202"/>
      <c r="E347" s="203" t="s">
        <v>765</v>
      </c>
      <c r="F347" s="203"/>
      <c r="G347" s="203"/>
      <c r="H347" s="604" t="s">
        <v>1904</v>
      </c>
      <c r="I347" s="203" t="s">
        <v>1905</v>
      </c>
      <c r="J347" s="205" t="s">
        <v>1906</v>
      </c>
      <c r="K347" s="206" t="s">
        <v>1907</v>
      </c>
    </row>
    <row r="348" spans="1:11" ht="30" x14ac:dyDescent="0.25">
      <c r="A348" s="640" t="s">
        <v>3312</v>
      </c>
      <c r="B348" s="207" t="s">
        <v>1908</v>
      </c>
      <c r="C348" s="208" t="s">
        <v>1141</v>
      </c>
      <c r="D348" s="202"/>
      <c r="E348" s="203" t="s">
        <v>1909</v>
      </c>
      <c r="F348" s="203"/>
      <c r="G348" s="203"/>
      <c r="H348" s="204" t="s">
        <v>1910</v>
      </c>
      <c r="I348" s="203" t="s">
        <v>1911</v>
      </c>
      <c r="J348" s="205" t="s">
        <v>1912</v>
      </c>
      <c r="K348" s="206" t="s">
        <v>1913</v>
      </c>
    </row>
    <row r="349" spans="1:11" x14ac:dyDescent="0.25">
      <c r="A349" s="45" t="s">
        <v>3311</v>
      </c>
      <c r="B349" s="39" t="s">
        <v>3311</v>
      </c>
      <c r="C349" s="157" t="s">
        <v>1139</v>
      </c>
      <c r="D349" s="55"/>
      <c r="E349" s="56" t="s">
        <v>487</v>
      </c>
      <c r="F349" s="56" t="s">
        <v>488</v>
      </c>
      <c r="G349" s="56"/>
      <c r="H349" s="71"/>
      <c r="I349" s="56"/>
      <c r="J349" s="57"/>
      <c r="K349" s="45"/>
    </row>
    <row r="350" spans="1:11" ht="30" x14ac:dyDescent="0.25">
      <c r="A350" s="45" t="s">
        <v>232</v>
      </c>
      <c r="B350" s="39" t="s">
        <v>233</v>
      </c>
      <c r="C350" s="157" t="s">
        <v>1139</v>
      </c>
      <c r="D350" s="55" t="s">
        <v>119</v>
      </c>
      <c r="E350" s="56"/>
      <c r="F350" s="56" t="s">
        <v>234</v>
      </c>
      <c r="G350" s="56" t="s">
        <v>1283</v>
      </c>
      <c r="H350" s="604" t="s">
        <v>1279</v>
      </c>
      <c r="I350" s="73" t="s">
        <v>1280</v>
      </c>
      <c r="J350" s="57" t="s">
        <v>1282</v>
      </c>
      <c r="K350" s="45" t="s">
        <v>1281</v>
      </c>
    </row>
    <row r="351" spans="1:11" ht="30" x14ac:dyDescent="0.25">
      <c r="A351" s="293" t="s">
        <v>2248</v>
      </c>
      <c r="B351" s="294" t="s">
        <v>2249</v>
      </c>
      <c r="C351" s="161" t="s">
        <v>1141</v>
      </c>
      <c r="D351" s="295"/>
      <c r="E351" s="296" t="s">
        <v>129</v>
      </c>
      <c r="F351" s="296"/>
      <c r="G351" s="296"/>
      <c r="H351" s="286" t="s">
        <v>2250</v>
      </c>
      <c r="I351" s="297" t="s">
        <v>2251</v>
      </c>
      <c r="J351" s="301" t="s">
        <v>2252</v>
      </c>
      <c r="K351" s="298" t="s">
        <v>2253</v>
      </c>
    </row>
    <row r="352" spans="1:11" ht="75" x14ac:dyDescent="0.25">
      <c r="A352" s="640" t="s">
        <v>3310</v>
      </c>
      <c r="B352" s="85" t="s">
        <v>842</v>
      </c>
      <c r="C352" s="161" t="s">
        <v>1141</v>
      </c>
      <c r="D352" s="79"/>
      <c r="E352" s="80" t="s">
        <v>17</v>
      </c>
      <c r="F352" s="80"/>
      <c r="G352" s="80"/>
      <c r="H352" s="604" t="s">
        <v>843</v>
      </c>
      <c r="I352" s="80" t="s">
        <v>844</v>
      </c>
      <c r="J352" s="82" t="s">
        <v>845</v>
      </c>
      <c r="K352" s="83" t="s">
        <v>846</v>
      </c>
    </row>
    <row r="353" spans="1:11" ht="45" x14ac:dyDescent="0.25">
      <c r="A353" s="45" t="s">
        <v>3309</v>
      </c>
      <c r="B353" s="39" t="s">
        <v>257</v>
      </c>
      <c r="C353" s="162" t="s">
        <v>1141</v>
      </c>
      <c r="D353" s="55" t="s">
        <v>105</v>
      </c>
      <c r="E353" s="56"/>
      <c r="F353" s="56"/>
      <c r="G353" s="56"/>
      <c r="H353" s="77" t="s">
        <v>255</v>
      </c>
      <c r="I353" s="73" t="s">
        <v>254</v>
      </c>
      <c r="J353" s="57" t="s">
        <v>256</v>
      </c>
      <c r="K353" s="45"/>
    </row>
    <row r="354" spans="1:11" x14ac:dyDescent="0.25">
      <c r="A354" s="45" t="s">
        <v>16</v>
      </c>
      <c r="B354" s="39" t="s">
        <v>50</v>
      </c>
      <c r="C354" s="161" t="s">
        <v>1141</v>
      </c>
      <c r="D354" s="55" t="s">
        <v>17</v>
      </c>
      <c r="E354" s="56" t="s">
        <v>18</v>
      </c>
      <c r="F354" s="56"/>
      <c r="G354" s="56"/>
      <c r="H354" s="71"/>
      <c r="I354" s="56"/>
      <c r="J354" s="57"/>
      <c r="K354" s="45"/>
    </row>
    <row r="355" spans="1:11" ht="45" x14ac:dyDescent="0.25">
      <c r="A355" s="46" t="s">
        <v>3308</v>
      </c>
      <c r="B355" s="148" t="s">
        <v>1129</v>
      </c>
      <c r="C355" s="161" t="s">
        <v>1141</v>
      </c>
      <c r="D355" s="142"/>
      <c r="E355" s="143" t="s">
        <v>1130</v>
      </c>
      <c r="F355" s="143"/>
      <c r="G355" s="143" t="s">
        <v>1131</v>
      </c>
      <c r="H355" s="604" t="s">
        <v>1132</v>
      </c>
      <c r="I355" s="145" t="s">
        <v>1133</v>
      </c>
      <c r="J355" s="146" t="s">
        <v>1134</v>
      </c>
      <c r="K355" s="147" t="s">
        <v>1135</v>
      </c>
    </row>
    <row r="356" spans="1:11" ht="60" x14ac:dyDescent="0.25">
      <c r="A356" s="103" t="s">
        <v>988</v>
      </c>
      <c r="B356" s="104" t="s">
        <v>989</v>
      </c>
      <c r="C356" s="161" t="s">
        <v>1141</v>
      </c>
      <c r="D356" s="99"/>
      <c r="E356" s="100" t="s">
        <v>990</v>
      </c>
      <c r="F356" s="100"/>
      <c r="G356" s="100" t="s">
        <v>991</v>
      </c>
      <c r="H356" s="101" t="s">
        <v>992</v>
      </c>
      <c r="I356" s="100" t="s">
        <v>993</v>
      </c>
      <c r="J356" s="102" t="s">
        <v>994</v>
      </c>
      <c r="K356" s="103" t="s">
        <v>995</v>
      </c>
    </row>
    <row r="357" spans="1:11" ht="60" x14ac:dyDescent="0.25">
      <c r="A357" s="46" t="s">
        <v>2308</v>
      </c>
      <c r="B357" s="43" t="s">
        <v>2309</v>
      </c>
      <c r="C357" s="224" t="s">
        <v>1141</v>
      </c>
      <c r="D357" s="241"/>
      <c r="E357" s="228" t="s">
        <v>2314</v>
      </c>
      <c r="F357" s="242"/>
      <c r="G357" s="242"/>
      <c r="H357" s="243" t="s">
        <v>2310</v>
      </c>
      <c r="I357" s="73" t="s">
        <v>2311</v>
      </c>
      <c r="J357" s="229" t="s">
        <v>2312</v>
      </c>
      <c r="K357" s="230" t="s">
        <v>2313</v>
      </c>
    </row>
    <row r="358" spans="1:11" ht="30" x14ac:dyDescent="0.25">
      <c r="A358" s="139" t="s">
        <v>1388</v>
      </c>
      <c r="B358" s="139" t="s">
        <v>1389</v>
      </c>
      <c r="C358" s="159" t="s">
        <v>1141</v>
      </c>
      <c r="D358" s="154"/>
      <c r="E358" s="138" t="s">
        <v>1312</v>
      </c>
      <c r="F358" s="138"/>
      <c r="G358" s="138" t="s">
        <v>1390</v>
      </c>
      <c r="H358" s="152" t="s">
        <v>1391</v>
      </c>
      <c r="I358" s="138" t="s">
        <v>1392</v>
      </c>
      <c r="J358" s="153" t="s">
        <v>1393</v>
      </c>
      <c r="K358" s="139" t="s">
        <v>1394</v>
      </c>
    </row>
    <row r="359" spans="1:11" ht="45" x14ac:dyDescent="0.25">
      <c r="A359" s="327" t="s">
        <v>2500</v>
      </c>
      <c r="B359" s="328" t="s">
        <v>2500</v>
      </c>
      <c r="C359" s="316" t="s">
        <v>1141</v>
      </c>
      <c r="D359" s="329"/>
      <c r="E359" s="324" t="s">
        <v>2501</v>
      </c>
      <c r="F359" s="260"/>
      <c r="G359" s="260"/>
      <c r="H359" s="261"/>
      <c r="I359" s="346" t="s">
        <v>2525</v>
      </c>
      <c r="J359" s="262"/>
      <c r="K359" s="298" t="s">
        <v>2502</v>
      </c>
    </row>
    <row r="360" spans="1:11" ht="30" x14ac:dyDescent="0.25">
      <c r="A360" s="45" t="s">
        <v>624</v>
      </c>
      <c r="B360" s="39" t="s">
        <v>625</v>
      </c>
      <c r="C360" s="161" t="s">
        <v>1141</v>
      </c>
      <c r="D360" s="55"/>
      <c r="E360" s="56" t="s">
        <v>626</v>
      </c>
      <c r="F360" s="56"/>
      <c r="G360" s="56" t="s">
        <v>627</v>
      </c>
      <c r="H360" s="71" t="s">
        <v>628</v>
      </c>
      <c r="I360" s="56" t="s">
        <v>629</v>
      </c>
      <c r="J360" s="57" t="s">
        <v>630</v>
      </c>
      <c r="K360" s="45"/>
    </row>
    <row r="361" spans="1:11" ht="45" x14ac:dyDescent="0.25">
      <c r="A361" s="45" t="s">
        <v>664</v>
      </c>
      <c r="B361" s="39" t="s">
        <v>665</v>
      </c>
      <c r="C361" s="157" t="s">
        <v>1139</v>
      </c>
      <c r="D361" s="55"/>
      <c r="E361" s="56" t="s">
        <v>741</v>
      </c>
      <c r="F361" s="56"/>
      <c r="G361" s="56" t="s">
        <v>591</v>
      </c>
      <c r="H361" s="71" t="s">
        <v>592</v>
      </c>
      <c r="I361" s="56"/>
      <c r="J361" s="57" t="s">
        <v>666</v>
      </c>
      <c r="K361" s="45"/>
    </row>
    <row r="362" spans="1:11" ht="90" x14ac:dyDescent="0.25">
      <c r="A362" s="206" t="s">
        <v>2129</v>
      </c>
      <c r="B362" s="207" t="s">
        <v>2130</v>
      </c>
      <c r="C362" s="208" t="s">
        <v>1141</v>
      </c>
      <c r="D362" s="202"/>
      <c r="E362" s="203" t="s">
        <v>2131</v>
      </c>
      <c r="F362" s="203"/>
      <c r="G362" s="203"/>
      <c r="H362" s="204" t="s">
        <v>2132</v>
      </c>
      <c r="I362" s="203" t="s">
        <v>2133</v>
      </c>
      <c r="J362" s="205" t="s">
        <v>2134</v>
      </c>
      <c r="K362" s="206" t="s">
        <v>2135</v>
      </c>
    </row>
    <row r="363" spans="1:11" ht="30" x14ac:dyDescent="0.25">
      <c r="A363" s="662" t="s">
        <v>3307</v>
      </c>
      <c r="B363" s="134" t="s">
        <v>1106</v>
      </c>
      <c r="C363" s="161" t="s">
        <v>1141</v>
      </c>
      <c r="D363" s="129"/>
      <c r="E363" s="130" t="s">
        <v>1107</v>
      </c>
      <c r="F363" s="130"/>
      <c r="G363" s="130"/>
      <c r="H363" s="131" t="s">
        <v>1108</v>
      </c>
      <c r="I363" s="130" t="s">
        <v>1109</v>
      </c>
      <c r="J363" s="132" t="s">
        <v>1110</v>
      </c>
      <c r="K363" s="133" t="s">
        <v>1111</v>
      </c>
    </row>
    <row r="364" spans="1:11" ht="30" x14ac:dyDescent="0.25">
      <c r="A364" s="640" t="s">
        <v>3306</v>
      </c>
      <c r="B364" s="154" t="s">
        <v>1468</v>
      </c>
      <c r="C364" s="169" t="s">
        <v>1141</v>
      </c>
      <c r="D364" s="137"/>
      <c r="E364" s="138" t="s">
        <v>1469</v>
      </c>
      <c r="F364" s="138"/>
      <c r="G364" s="138" t="s">
        <v>1470</v>
      </c>
      <c r="H364" s="152" t="s">
        <v>1471</v>
      </c>
      <c r="I364" s="138" t="s">
        <v>1472</v>
      </c>
      <c r="J364" s="153" t="s">
        <v>1473</v>
      </c>
      <c r="K364" s="139" t="s">
        <v>1474</v>
      </c>
    </row>
    <row r="365" spans="1:11" x14ac:dyDescent="0.25">
      <c r="A365" s="45" t="s">
        <v>3305</v>
      </c>
      <c r="B365" s="39" t="s">
        <v>56</v>
      </c>
      <c r="C365" s="162" t="s">
        <v>1139</v>
      </c>
      <c r="D365" s="55"/>
      <c r="E365" s="56"/>
      <c r="F365" s="56"/>
      <c r="G365" s="56"/>
      <c r="H365" s="71"/>
      <c r="I365" s="56"/>
      <c r="J365" s="57"/>
      <c r="K365" s="45"/>
    </row>
    <row r="366" spans="1:11" ht="30" x14ac:dyDescent="0.25">
      <c r="A366" s="317" t="s">
        <v>3304</v>
      </c>
      <c r="B366" s="318" t="s">
        <v>3304</v>
      </c>
      <c r="C366" s="491" t="s">
        <v>1141</v>
      </c>
      <c r="D366" s="55"/>
      <c r="E366" s="56" t="s">
        <v>2566</v>
      </c>
      <c r="F366" s="56" t="s">
        <v>2567</v>
      </c>
      <c r="G366" s="56"/>
      <c r="H366" s="71"/>
      <c r="I366" s="56" t="s">
        <v>2568</v>
      </c>
      <c r="J366" s="57" t="s">
        <v>2569</v>
      </c>
      <c r="K366" s="45" t="s">
        <v>2778</v>
      </c>
    </row>
    <row r="367" spans="1:11" ht="30" x14ac:dyDescent="0.25">
      <c r="A367" s="103" t="s">
        <v>959</v>
      </c>
      <c r="B367" s="104" t="s">
        <v>960</v>
      </c>
      <c r="C367" s="161" t="s">
        <v>1141</v>
      </c>
      <c r="D367" s="99"/>
      <c r="E367" s="100" t="s">
        <v>961</v>
      </c>
      <c r="F367" s="100"/>
      <c r="G367" s="100"/>
      <c r="H367" s="101"/>
      <c r="I367" s="100" t="s">
        <v>962</v>
      </c>
      <c r="J367" s="102" t="s">
        <v>963</v>
      </c>
      <c r="K367" s="103" t="s">
        <v>964</v>
      </c>
    </row>
    <row r="368" spans="1:11" ht="30" x14ac:dyDescent="0.25">
      <c r="A368" s="45" t="s">
        <v>787</v>
      </c>
      <c r="B368" s="39" t="s">
        <v>788</v>
      </c>
      <c r="C368" s="161" t="s">
        <v>1141</v>
      </c>
      <c r="D368" s="55"/>
      <c r="E368" s="56" t="s">
        <v>789</v>
      </c>
      <c r="F368" s="56"/>
      <c r="G368" s="56" t="s">
        <v>790</v>
      </c>
      <c r="H368" s="71" t="s">
        <v>791</v>
      </c>
      <c r="I368" s="56" t="s">
        <v>792</v>
      </c>
      <c r="J368" s="57" t="s">
        <v>793</v>
      </c>
      <c r="K368" s="45" t="s">
        <v>794</v>
      </c>
    </row>
    <row r="369" spans="1:11" ht="30" x14ac:dyDescent="0.25">
      <c r="A369" s="45" t="s">
        <v>3303</v>
      </c>
      <c r="B369" s="39" t="s">
        <v>167</v>
      </c>
      <c r="C369" s="157" t="s">
        <v>1139</v>
      </c>
      <c r="D369" s="55"/>
      <c r="E369" s="56"/>
      <c r="F369" s="56"/>
      <c r="G369" s="56"/>
      <c r="H369" s="71"/>
      <c r="I369" s="73" t="s">
        <v>168</v>
      </c>
      <c r="J369" s="57"/>
      <c r="K369" s="45"/>
    </row>
    <row r="370" spans="1:11" ht="45" x14ac:dyDescent="0.25">
      <c r="A370" s="640" t="s">
        <v>3302</v>
      </c>
      <c r="B370" s="359" t="s">
        <v>3302</v>
      </c>
      <c r="C370" s="304" t="s">
        <v>1139</v>
      </c>
      <c r="D370" s="259"/>
      <c r="E370" s="296" t="s">
        <v>2473</v>
      </c>
      <c r="F370" s="296"/>
      <c r="G370" s="296"/>
      <c r="H370" s="604" t="s">
        <v>2474</v>
      </c>
      <c r="I370" s="296" t="s">
        <v>2475</v>
      </c>
      <c r="J370" s="166" t="s">
        <v>2476</v>
      </c>
      <c r="K370" s="298" t="s">
        <v>2477</v>
      </c>
    </row>
    <row r="371" spans="1:11" ht="45" x14ac:dyDescent="0.25">
      <c r="A371" s="45" t="s">
        <v>3301</v>
      </c>
      <c r="B371" s="39" t="s">
        <v>310</v>
      </c>
      <c r="C371" s="161" t="s">
        <v>1141</v>
      </c>
      <c r="D371" s="55" t="s">
        <v>41</v>
      </c>
      <c r="E371" s="56"/>
      <c r="F371" s="56"/>
      <c r="G371" s="56" t="s">
        <v>312</v>
      </c>
      <c r="H371" s="71" t="s">
        <v>308</v>
      </c>
      <c r="I371" s="73" t="s">
        <v>307</v>
      </c>
      <c r="J371" s="57" t="s">
        <v>309</v>
      </c>
      <c r="K371" s="45" t="s">
        <v>311</v>
      </c>
    </row>
    <row r="372" spans="1:11" ht="45" x14ac:dyDescent="0.25">
      <c r="A372" s="139" t="s">
        <v>1505</v>
      </c>
      <c r="B372" s="154" t="s">
        <v>1506</v>
      </c>
      <c r="C372" s="169" t="s">
        <v>1141</v>
      </c>
      <c r="D372" s="137"/>
      <c r="E372" s="138" t="s">
        <v>1507</v>
      </c>
      <c r="F372" s="138"/>
      <c r="G372" s="138"/>
      <c r="H372" s="152" t="s">
        <v>1508</v>
      </c>
      <c r="I372" s="138" t="s">
        <v>1509</v>
      </c>
      <c r="J372" s="153" t="s">
        <v>1510</v>
      </c>
      <c r="K372" s="139" t="s">
        <v>1511</v>
      </c>
    </row>
    <row r="373" spans="1:11" x14ac:dyDescent="0.25">
      <c r="A373" s="46" t="s">
        <v>3300</v>
      </c>
      <c r="B373" s="148" t="s">
        <v>1122</v>
      </c>
      <c r="C373" s="161" t="s">
        <v>1141</v>
      </c>
      <c r="D373" s="142"/>
      <c r="E373" s="143" t="s">
        <v>1123</v>
      </c>
      <c r="F373" s="143"/>
      <c r="G373" s="143" t="s">
        <v>1124</v>
      </c>
      <c r="H373" s="144" t="s">
        <v>1125</v>
      </c>
      <c r="I373" s="145" t="s">
        <v>1126</v>
      </c>
      <c r="J373" s="146" t="s">
        <v>1127</v>
      </c>
      <c r="K373" s="147" t="s">
        <v>1128</v>
      </c>
    </row>
    <row r="374" spans="1:11" ht="30" x14ac:dyDescent="0.25">
      <c r="A374" s="263" t="s">
        <v>2437</v>
      </c>
      <c r="B374" s="264" t="s">
        <v>2438</v>
      </c>
      <c r="C374" s="224" t="s">
        <v>1141</v>
      </c>
      <c r="D374" s="259"/>
      <c r="E374" s="260" t="s">
        <v>2439</v>
      </c>
      <c r="F374" s="260"/>
      <c r="G374" s="260"/>
      <c r="H374" s="261" t="s">
        <v>2440</v>
      </c>
      <c r="I374" s="260" t="s">
        <v>2441</v>
      </c>
      <c r="J374" s="262" t="s">
        <v>2442</v>
      </c>
      <c r="K374" s="263" t="s">
        <v>2443</v>
      </c>
    </row>
    <row r="375" spans="1:11" ht="45" x14ac:dyDescent="0.25">
      <c r="A375" s="640" t="s">
        <v>3299</v>
      </c>
      <c r="B375" s="154" t="s">
        <v>638</v>
      </c>
      <c r="C375" s="169" t="s">
        <v>1141</v>
      </c>
      <c r="D375" s="137"/>
      <c r="E375" s="138" t="s">
        <v>1440</v>
      </c>
      <c r="F375" s="138"/>
      <c r="G375" s="138" t="s">
        <v>1441</v>
      </c>
      <c r="H375" s="152" t="s">
        <v>1442</v>
      </c>
      <c r="I375" s="138" t="s">
        <v>1443</v>
      </c>
      <c r="J375" s="153" t="s">
        <v>1444</v>
      </c>
      <c r="K375" s="139" t="s">
        <v>1445</v>
      </c>
    </row>
    <row r="376" spans="1:11" ht="60" x14ac:dyDescent="0.25">
      <c r="A376" s="103" t="s">
        <v>934</v>
      </c>
      <c r="B376" s="104" t="s">
        <v>935</v>
      </c>
      <c r="C376" s="161" t="s">
        <v>1141</v>
      </c>
      <c r="D376" s="99"/>
      <c r="E376" s="100" t="s">
        <v>936</v>
      </c>
      <c r="F376" s="100"/>
      <c r="G376" s="100" t="s">
        <v>937</v>
      </c>
      <c r="H376" s="101" t="s">
        <v>938</v>
      </c>
      <c r="I376" s="100" t="s">
        <v>939</v>
      </c>
      <c r="J376" s="102" t="s">
        <v>940</v>
      </c>
      <c r="K376" s="103" t="s">
        <v>941</v>
      </c>
    </row>
    <row r="377" spans="1:11" ht="30" x14ac:dyDescent="0.25">
      <c r="A377" s="640" t="s">
        <v>3298</v>
      </c>
      <c r="B377" s="154" t="s">
        <v>1160</v>
      </c>
      <c r="C377" s="169" t="s">
        <v>1141</v>
      </c>
      <c r="D377" s="137"/>
      <c r="E377" s="138" t="s">
        <v>1161</v>
      </c>
      <c r="F377" s="138"/>
      <c r="G377" s="138" t="s">
        <v>1162</v>
      </c>
      <c r="H377" s="152" t="s">
        <v>1163</v>
      </c>
      <c r="I377" s="138" t="s">
        <v>1164</v>
      </c>
      <c r="J377" s="153" t="s">
        <v>1165</v>
      </c>
      <c r="K377" s="139" t="s">
        <v>1166</v>
      </c>
    </row>
    <row r="378" spans="1:11" ht="30" x14ac:dyDescent="0.25">
      <c r="A378" s="263" t="s">
        <v>2513</v>
      </c>
      <c r="B378" s="264" t="s">
        <v>2513</v>
      </c>
      <c r="C378" s="304" t="s">
        <v>1141</v>
      </c>
      <c r="D378" s="259"/>
      <c r="E378" s="335" t="s">
        <v>2514</v>
      </c>
      <c r="F378" s="260"/>
      <c r="G378" s="260"/>
      <c r="H378" s="336" t="s">
        <v>2515</v>
      </c>
      <c r="I378" s="260"/>
      <c r="J378" s="337" t="s">
        <v>2517</v>
      </c>
      <c r="K378" s="338" t="s">
        <v>2516</v>
      </c>
    </row>
    <row r="379" spans="1:11" ht="105.75" customHeight="1" x14ac:dyDescent="0.25">
      <c r="A379" s="46" t="s">
        <v>3518</v>
      </c>
      <c r="B379" s="148" t="s">
        <v>1142</v>
      </c>
      <c r="C379" s="173" t="s">
        <v>1141</v>
      </c>
      <c r="D379" s="142"/>
      <c r="E379" s="143" t="s">
        <v>1143</v>
      </c>
      <c r="F379" s="143"/>
      <c r="G379" s="143"/>
      <c r="H379" s="604" t="s">
        <v>1144</v>
      </c>
      <c r="I379" s="143" t="s">
        <v>1145</v>
      </c>
      <c r="J379" s="146" t="s">
        <v>1146</v>
      </c>
      <c r="K379" s="147" t="s">
        <v>1147</v>
      </c>
    </row>
    <row r="380" spans="1:11" ht="45" x14ac:dyDescent="0.25">
      <c r="A380" s="55" t="s">
        <v>252</v>
      </c>
      <c r="B380" s="55" t="s">
        <v>252</v>
      </c>
      <c r="C380" s="162" t="s">
        <v>1141</v>
      </c>
      <c r="D380" s="55"/>
      <c r="E380" s="56"/>
      <c r="F380" s="56"/>
      <c r="G380" s="56"/>
      <c r="H380" s="71"/>
      <c r="I380" s="56"/>
      <c r="J380" s="57" t="s">
        <v>253</v>
      </c>
      <c r="K380" s="45"/>
    </row>
    <row r="381" spans="1:11" ht="45" x14ac:dyDescent="0.25">
      <c r="A381" s="170" t="s">
        <v>1482</v>
      </c>
      <c r="B381" s="170" t="s">
        <v>1483</v>
      </c>
      <c r="C381" s="273" t="s">
        <v>1141</v>
      </c>
      <c r="D381" s="170"/>
      <c r="E381" s="170" t="s">
        <v>1484</v>
      </c>
      <c r="F381" s="170"/>
      <c r="G381" s="170" t="s">
        <v>1485</v>
      </c>
      <c r="H381" s="170" t="s">
        <v>1486</v>
      </c>
      <c r="I381" s="170" t="s">
        <v>1487</v>
      </c>
      <c r="J381" s="274" t="s">
        <v>1488</v>
      </c>
      <c r="K381" s="170" t="s">
        <v>1489</v>
      </c>
    </row>
    <row r="382" spans="1:11" ht="45" x14ac:dyDescent="0.25">
      <c r="A382" s="661" t="s">
        <v>3297</v>
      </c>
      <c r="B382" s="220" t="s">
        <v>1843</v>
      </c>
      <c r="C382" s="208" t="s">
        <v>1141</v>
      </c>
      <c r="D382" s="220"/>
      <c r="E382" s="220" t="s">
        <v>1844</v>
      </c>
      <c r="F382" s="220"/>
      <c r="G382" s="220" t="s">
        <v>1845</v>
      </c>
      <c r="H382" s="220" t="s">
        <v>1846</v>
      </c>
      <c r="I382" s="220" t="s">
        <v>1847</v>
      </c>
      <c r="J382" s="238" t="s">
        <v>1848</v>
      </c>
      <c r="K382" s="220" t="s">
        <v>1849</v>
      </c>
    </row>
    <row r="383" spans="1:11" ht="30" x14ac:dyDescent="0.25">
      <c r="A383" s="291" t="s">
        <v>1148</v>
      </c>
      <c r="B383" s="291" t="s">
        <v>1149</v>
      </c>
      <c r="C383" s="173" t="s">
        <v>1141</v>
      </c>
      <c r="D383" s="291"/>
      <c r="E383" s="291" t="s">
        <v>1150</v>
      </c>
      <c r="F383" s="291"/>
      <c r="G383" s="291" t="s">
        <v>1151</v>
      </c>
      <c r="H383" s="604" t="s">
        <v>1152</v>
      </c>
      <c r="I383" s="269" t="s">
        <v>1153</v>
      </c>
      <c r="J383" s="300" t="s">
        <v>1154</v>
      </c>
      <c r="K383" s="291" t="s">
        <v>1155</v>
      </c>
    </row>
    <row r="384" spans="1:11" x14ac:dyDescent="0.25">
      <c r="A384" s="1" t="s">
        <v>3296</v>
      </c>
      <c r="B384" s="1" t="s">
        <v>151</v>
      </c>
      <c r="C384" s="157" t="s">
        <v>1139</v>
      </c>
      <c r="D384" s="1" t="s">
        <v>13</v>
      </c>
      <c r="F384" s="1"/>
      <c r="G384" s="1"/>
      <c r="H384" s="1"/>
      <c r="I384" s="1"/>
      <c r="J384" s="167"/>
      <c r="K384" s="1"/>
    </row>
    <row r="385" spans="1:11" ht="45" x14ac:dyDescent="0.25">
      <c r="A385" s="356" t="s">
        <v>837</v>
      </c>
      <c r="B385" s="356" t="s">
        <v>838</v>
      </c>
      <c r="C385" s="280" t="s">
        <v>1141</v>
      </c>
      <c r="D385" s="356"/>
      <c r="E385" s="356" t="s">
        <v>839</v>
      </c>
      <c r="F385" s="356"/>
      <c r="G385" s="356"/>
      <c r="H385" s="356"/>
      <c r="I385" s="356" t="s">
        <v>840</v>
      </c>
      <c r="J385" s="388"/>
      <c r="K385" s="356" t="s">
        <v>841</v>
      </c>
    </row>
    <row r="386" spans="1:11" ht="30" x14ac:dyDescent="0.25">
      <c r="A386" s="661" t="s">
        <v>3295</v>
      </c>
      <c r="B386" s="170" t="s">
        <v>1518</v>
      </c>
      <c r="C386" s="273" t="s">
        <v>1141</v>
      </c>
      <c r="D386" s="137"/>
      <c r="E386" s="170" t="s">
        <v>1519</v>
      </c>
      <c r="F386" s="138"/>
      <c r="G386" s="138" t="s">
        <v>1520</v>
      </c>
      <c r="H386" s="152" t="s">
        <v>1521</v>
      </c>
      <c r="I386" s="138" t="s">
        <v>1522</v>
      </c>
      <c r="J386" s="274" t="s">
        <v>1523</v>
      </c>
      <c r="K386" s="139" t="s">
        <v>1524</v>
      </c>
    </row>
    <row r="387" spans="1:11" ht="60" x14ac:dyDescent="0.25">
      <c r="A387" s="661" t="s">
        <v>3294</v>
      </c>
      <c r="B387" s="220" t="s">
        <v>1830</v>
      </c>
      <c r="C387" s="368" t="s">
        <v>1141</v>
      </c>
      <c r="D387" s="202"/>
      <c r="E387" s="203" t="s">
        <v>1831</v>
      </c>
      <c r="F387" s="203"/>
      <c r="G387" s="203" t="s">
        <v>1832</v>
      </c>
      <c r="H387" s="204" t="s">
        <v>1833</v>
      </c>
      <c r="I387" s="73" t="s">
        <v>1834</v>
      </c>
      <c r="J387" s="205" t="s">
        <v>1835</v>
      </c>
      <c r="K387" s="206" t="s">
        <v>1836</v>
      </c>
    </row>
    <row r="388" spans="1:11" ht="30" x14ac:dyDescent="0.25">
      <c r="A388" s="293" t="s">
        <v>3293</v>
      </c>
      <c r="B388" s="294" t="s">
        <v>2278</v>
      </c>
      <c r="C388" s="276" t="s">
        <v>1141</v>
      </c>
      <c r="D388" s="202"/>
      <c r="E388" s="56" t="s">
        <v>2276</v>
      </c>
      <c r="F388" s="203"/>
      <c r="G388" s="203"/>
      <c r="H388" s="604" t="s">
        <v>2277</v>
      </c>
      <c r="I388" s="73" t="s">
        <v>2275</v>
      </c>
      <c r="J388" s="166" t="s">
        <v>2279</v>
      </c>
      <c r="K388" s="230" t="s">
        <v>2307</v>
      </c>
    </row>
    <row r="389" spans="1:11" ht="30" x14ac:dyDescent="0.25">
      <c r="A389" s="245" t="s">
        <v>2315</v>
      </c>
      <c r="B389" s="246" t="s">
        <v>2316</v>
      </c>
      <c r="C389" s="224" t="s">
        <v>1141</v>
      </c>
      <c r="D389" s="241"/>
      <c r="E389" s="242" t="s">
        <v>2317</v>
      </c>
      <c r="F389" s="242"/>
      <c r="G389" s="242"/>
      <c r="H389" s="243" t="s">
        <v>2318</v>
      </c>
      <c r="I389" s="242" t="s">
        <v>2319</v>
      </c>
      <c r="J389" s="244" t="s">
        <v>2320</v>
      </c>
      <c r="K389" s="245" t="s">
        <v>2321</v>
      </c>
    </row>
    <row r="390" spans="1:11" x14ac:dyDescent="0.25">
      <c r="A390" s="640" t="s">
        <v>3292</v>
      </c>
      <c r="B390" s="207" t="s">
        <v>2011</v>
      </c>
      <c r="C390" s="208" t="s">
        <v>1139</v>
      </c>
      <c r="D390" s="202"/>
      <c r="E390" s="203" t="s">
        <v>2012</v>
      </c>
      <c r="F390" s="203"/>
      <c r="G390" s="203"/>
      <c r="H390" s="204" t="s">
        <v>2013</v>
      </c>
      <c r="I390" s="203" t="s">
        <v>2014</v>
      </c>
      <c r="J390" s="205" t="s">
        <v>2015</v>
      </c>
      <c r="K390" s="206" t="s">
        <v>2016</v>
      </c>
    </row>
    <row r="391" spans="1:11" ht="75" x14ac:dyDescent="0.25">
      <c r="A391" s="640" t="s">
        <v>3291</v>
      </c>
      <c r="B391" s="154" t="s">
        <v>1498</v>
      </c>
      <c r="C391" s="169" t="s">
        <v>1139</v>
      </c>
      <c r="D391" s="137"/>
      <c r="E391" s="138" t="s">
        <v>1499</v>
      </c>
      <c r="F391" s="138"/>
      <c r="G391" s="138" t="s">
        <v>1500</v>
      </c>
      <c r="H391" s="152" t="s">
        <v>1501</v>
      </c>
      <c r="I391" s="138" t="s">
        <v>1502</v>
      </c>
      <c r="J391" s="153" t="s">
        <v>1503</v>
      </c>
      <c r="K391" s="139" t="s">
        <v>1504</v>
      </c>
    </row>
    <row r="392" spans="1:11" ht="30" x14ac:dyDescent="0.25">
      <c r="A392" s="45" t="s">
        <v>3290</v>
      </c>
      <c r="B392" s="39" t="s">
        <v>671</v>
      </c>
      <c r="C392" s="161" t="s">
        <v>1141</v>
      </c>
      <c r="D392" s="55"/>
      <c r="E392" s="56" t="s">
        <v>675</v>
      </c>
      <c r="F392" s="56"/>
      <c r="G392" s="56"/>
      <c r="H392" s="604" t="s">
        <v>672</v>
      </c>
      <c r="I392" s="73" t="s">
        <v>676</v>
      </c>
      <c r="J392" s="57" t="s">
        <v>674</v>
      </c>
      <c r="K392" s="45" t="s">
        <v>673</v>
      </c>
    </row>
    <row r="393" spans="1:11" ht="30" x14ac:dyDescent="0.25">
      <c r="A393" s="46" t="s">
        <v>3289</v>
      </c>
      <c r="B393" s="214" t="s">
        <v>1978</v>
      </c>
      <c r="C393" s="224" t="s">
        <v>1141</v>
      </c>
      <c r="D393" s="209"/>
      <c r="E393" s="210" t="s">
        <v>1979</v>
      </c>
      <c r="F393" s="210"/>
      <c r="G393" s="210"/>
      <c r="H393" s="226" t="s">
        <v>1980</v>
      </c>
      <c r="I393" s="73" t="s">
        <v>1981</v>
      </c>
      <c r="J393" s="212" t="s">
        <v>1982</v>
      </c>
      <c r="K393" s="213" t="s">
        <v>1983</v>
      </c>
    </row>
    <row r="394" spans="1:11" ht="30" x14ac:dyDescent="0.25">
      <c r="A394" s="640" t="s">
        <v>3288</v>
      </c>
      <c r="B394" s="104" t="s">
        <v>1034</v>
      </c>
      <c r="C394" s="161" t="s">
        <v>1141</v>
      </c>
      <c r="D394" s="99"/>
      <c r="E394" s="100" t="s">
        <v>1035</v>
      </c>
      <c r="F394" s="100"/>
      <c r="G394" s="100"/>
      <c r="H394" s="101"/>
      <c r="I394" s="100" t="s">
        <v>1036</v>
      </c>
      <c r="J394" s="102" t="s">
        <v>1037</v>
      </c>
      <c r="K394" s="103" t="s">
        <v>1038</v>
      </c>
    </row>
    <row r="395" spans="1:11" x14ac:dyDescent="0.25">
      <c r="A395" s="45" t="s">
        <v>236</v>
      </c>
      <c r="B395" s="39" t="s">
        <v>237</v>
      </c>
      <c r="C395" s="161" t="s">
        <v>1141</v>
      </c>
      <c r="D395" s="55" t="s">
        <v>105</v>
      </c>
      <c r="E395" s="56" t="s">
        <v>238</v>
      </c>
      <c r="F395" s="56"/>
      <c r="G395" s="56"/>
      <c r="H395" s="604" t="s">
        <v>239</v>
      </c>
      <c r="I395" s="73" t="s">
        <v>240</v>
      </c>
      <c r="J395" s="57" t="s">
        <v>241</v>
      </c>
      <c r="K395" s="45"/>
    </row>
    <row r="396" spans="1:11" ht="60" x14ac:dyDescent="0.25">
      <c r="A396" s="640" t="s">
        <v>3287</v>
      </c>
      <c r="B396" s="207" t="s">
        <v>2213</v>
      </c>
      <c r="C396" s="208" t="s">
        <v>1141</v>
      </c>
      <c r="D396" s="202"/>
      <c r="E396" s="203" t="s">
        <v>2214</v>
      </c>
      <c r="F396" s="203"/>
      <c r="G396" s="203"/>
      <c r="H396" s="204" t="s">
        <v>2215</v>
      </c>
      <c r="I396" s="203" t="s">
        <v>2216</v>
      </c>
      <c r="J396" s="205" t="s">
        <v>2217</v>
      </c>
      <c r="K396" s="206" t="s">
        <v>2218</v>
      </c>
    </row>
    <row r="397" spans="1:11" ht="45" x14ac:dyDescent="0.25">
      <c r="A397" s="293" t="s">
        <v>3286</v>
      </c>
      <c r="B397" s="294" t="s">
        <v>2267</v>
      </c>
      <c r="C397" s="276" t="s">
        <v>1139</v>
      </c>
      <c r="D397" s="295"/>
      <c r="E397" s="296" t="s">
        <v>2268</v>
      </c>
      <c r="F397" s="296"/>
      <c r="G397" s="296"/>
      <c r="H397" s="604" t="s">
        <v>2269</v>
      </c>
      <c r="I397" s="282" t="s">
        <v>2270</v>
      </c>
      <c r="J397" s="166" t="s">
        <v>2271</v>
      </c>
      <c r="K397" s="298" t="s">
        <v>2272</v>
      </c>
    </row>
    <row r="398" spans="1:11" ht="45" x14ac:dyDescent="0.25">
      <c r="A398" s="46" t="s">
        <v>3286</v>
      </c>
      <c r="B398" s="43" t="s">
        <v>3286</v>
      </c>
      <c r="C398" s="157" t="s">
        <v>1139</v>
      </c>
      <c r="D398" s="55"/>
      <c r="E398" s="56" t="s">
        <v>2512</v>
      </c>
      <c r="F398" s="56"/>
      <c r="G398" s="56"/>
      <c r="H398" s="71"/>
      <c r="I398" s="56" t="s">
        <v>2528</v>
      </c>
      <c r="J398" s="57"/>
      <c r="K398" s="298" t="s">
        <v>2272</v>
      </c>
    </row>
    <row r="399" spans="1:11" ht="30" x14ac:dyDescent="0.25">
      <c r="A399" s="640" t="s">
        <v>3285</v>
      </c>
      <c r="B399" s="39" t="s">
        <v>49</v>
      </c>
      <c r="C399" s="169" t="s">
        <v>1141</v>
      </c>
      <c r="D399" s="137" t="s">
        <v>13</v>
      </c>
      <c r="E399" s="138" t="s">
        <v>15</v>
      </c>
      <c r="F399" s="138"/>
      <c r="G399" s="138"/>
      <c r="H399" s="152"/>
      <c r="I399" s="138"/>
      <c r="J399" s="153"/>
      <c r="K399" s="139"/>
    </row>
    <row r="400" spans="1:11" ht="45" x14ac:dyDescent="0.25">
      <c r="A400" s="45" t="s">
        <v>140</v>
      </c>
      <c r="B400" s="39" t="s">
        <v>145</v>
      </c>
      <c r="C400" s="161" t="s">
        <v>1141</v>
      </c>
      <c r="D400" s="55" t="s">
        <v>41</v>
      </c>
      <c r="E400" s="56" t="s">
        <v>141</v>
      </c>
      <c r="F400" s="56"/>
      <c r="G400" s="56"/>
      <c r="H400" s="71" t="s">
        <v>143</v>
      </c>
      <c r="I400" s="73" t="s">
        <v>142</v>
      </c>
      <c r="J400" s="57" t="s">
        <v>144</v>
      </c>
      <c r="K400" s="45"/>
    </row>
    <row r="401" spans="1:11" ht="30" x14ac:dyDescent="0.25">
      <c r="A401" s="45" t="s">
        <v>3284</v>
      </c>
      <c r="B401" s="39" t="s">
        <v>60</v>
      </c>
      <c r="C401" s="162" t="s">
        <v>1141</v>
      </c>
      <c r="D401" s="55" t="s">
        <v>32</v>
      </c>
      <c r="E401" s="56" t="s">
        <v>33</v>
      </c>
      <c r="F401" s="56"/>
      <c r="G401" s="56"/>
      <c r="H401" s="71"/>
      <c r="I401" s="56"/>
      <c r="J401" s="57"/>
      <c r="K401" s="45"/>
    </row>
    <row r="402" spans="1:11" ht="30" x14ac:dyDescent="0.25">
      <c r="A402" s="97" t="s">
        <v>1039</v>
      </c>
      <c r="B402" s="98" t="s">
        <v>1040</v>
      </c>
      <c r="C402" s="161" t="s">
        <v>1141</v>
      </c>
      <c r="D402" s="93"/>
      <c r="E402" s="94" t="s">
        <v>1041</v>
      </c>
      <c r="F402" s="94"/>
      <c r="G402" s="94" t="s">
        <v>1042</v>
      </c>
      <c r="H402" s="604" t="s">
        <v>3681</v>
      </c>
      <c r="I402" s="95" t="s">
        <v>1043</v>
      </c>
      <c r="J402" s="96" t="s">
        <v>1044</v>
      </c>
      <c r="K402" s="97" t="s">
        <v>1045</v>
      </c>
    </row>
    <row r="403" spans="1:11" ht="60" x14ac:dyDescent="0.25">
      <c r="A403" s="45" t="s">
        <v>3283</v>
      </c>
      <c r="B403" s="39"/>
      <c r="C403" s="161" t="s">
        <v>1141</v>
      </c>
      <c r="D403" s="55"/>
      <c r="E403" s="56" t="s">
        <v>572</v>
      </c>
      <c r="F403" s="56"/>
      <c r="G403" s="56"/>
      <c r="H403" s="604" t="s">
        <v>573</v>
      </c>
      <c r="I403" s="56" t="s">
        <v>574</v>
      </c>
      <c r="J403" s="57" t="s">
        <v>575</v>
      </c>
      <c r="K403" s="45" t="s">
        <v>576</v>
      </c>
    </row>
    <row r="404" spans="1:11" ht="21" customHeight="1" x14ac:dyDescent="0.25">
      <c r="A404" s="640" t="s">
        <v>1085</v>
      </c>
      <c r="B404" s="207" t="s">
        <v>268</v>
      </c>
      <c r="C404" s="208" t="s">
        <v>1141</v>
      </c>
      <c r="D404" s="202" t="s">
        <v>41</v>
      </c>
      <c r="E404" s="203"/>
      <c r="F404" s="203"/>
      <c r="G404" s="203"/>
      <c r="H404" s="204" t="s">
        <v>266</v>
      </c>
      <c r="I404" s="203" t="s">
        <v>264</v>
      </c>
      <c r="J404" s="205" t="s">
        <v>267</v>
      </c>
      <c r="K404" s="206"/>
    </row>
    <row r="405" spans="1:11" ht="57.75" customHeight="1" x14ac:dyDescent="0.25">
      <c r="A405" s="206" t="s">
        <v>2041</v>
      </c>
      <c r="B405" s="207" t="s">
        <v>2042</v>
      </c>
      <c r="C405" s="208" t="s">
        <v>1141</v>
      </c>
      <c r="D405" s="202"/>
      <c r="E405" s="203" t="s">
        <v>2043</v>
      </c>
      <c r="F405" s="203"/>
      <c r="G405" s="203"/>
      <c r="H405" s="204" t="s">
        <v>2044</v>
      </c>
      <c r="I405" s="203" t="s">
        <v>2045</v>
      </c>
      <c r="J405" s="205" t="s">
        <v>2046</v>
      </c>
      <c r="K405" s="206" t="s">
        <v>2047</v>
      </c>
    </row>
    <row r="406" spans="1:11" ht="42.75" customHeight="1" x14ac:dyDescent="0.25">
      <c r="A406" s="45" t="s">
        <v>644</v>
      </c>
      <c r="B406" s="39" t="s">
        <v>645</v>
      </c>
      <c r="C406" s="161" t="s">
        <v>1141</v>
      </c>
      <c r="D406" s="55"/>
      <c r="E406" s="56" t="s">
        <v>646</v>
      </c>
      <c r="F406" s="56"/>
      <c r="G406" s="56" t="s">
        <v>647</v>
      </c>
      <c r="H406" s="71" t="s">
        <v>648</v>
      </c>
      <c r="I406" s="56" t="s">
        <v>649</v>
      </c>
      <c r="J406" s="57" t="s">
        <v>650</v>
      </c>
      <c r="K406" s="45"/>
    </row>
    <row r="407" spans="1:11" ht="44.25" customHeight="1" x14ac:dyDescent="0.25">
      <c r="A407" s="45" t="s">
        <v>3282</v>
      </c>
      <c r="B407" s="39" t="s">
        <v>67</v>
      </c>
      <c r="C407" s="161" t="s">
        <v>1141</v>
      </c>
      <c r="D407" s="55" t="s">
        <v>40</v>
      </c>
      <c r="E407" s="56"/>
      <c r="F407" s="56"/>
      <c r="G407" s="56"/>
      <c r="H407" s="71"/>
      <c r="I407" s="56"/>
      <c r="J407" s="57"/>
      <c r="K407" s="45"/>
    </row>
    <row r="408" spans="1:11" ht="51" customHeight="1" x14ac:dyDescent="0.25">
      <c r="A408" s="640" t="s">
        <v>3281</v>
      </c>
      <c r="B408" s="207" t="s">
        <v>2115</v>
      </c>
      <c r="C408" s="208" t="s">
        <v>1141</v>
      </c>
      <c r="D408" s="202"/>
      <c r="E408" s="203" t="s">
        <v>2116</v>
      </c>
      <c r="F408" s="203"/>
      <c r="G408" s="203"/>
      <c r="H408" s="770" t="s">
        <v>3793</v>
      </c>
      <c r="I408" s="203" t="s">
        <v>2117</v>
      </c>
      <c r="J408" s="205" t="s">
        <v>2118</v>
      </c>
      <c r="K408" s="206" t="s">
        <v>2119</v>
      </c>
    </row>
    <row r="409" spans="1:11" ht="43.5" customHeight="1" x14ac:dyDescent="0.25">
      <c r="A409" s="640" t="s">
        <v>3280</v>
      </c>
      <c r="B409" s="154" t="s">
        <v>1525</v>
      </c>
      <c r="C409" s="169" t="s">
        <v>1141</v>
      </c>
      <c r="D409" s="137"/>
      <c r="E409" s="138" t="s">
        <v>1526</v>
      </c>
      <c r="F409" s="138"/>
      <c r="G409" s="138" t="s">
        <v>1527</v>
      </c>
      <c r="H409" s="152" t="s">
        <v>1528</v>
      </c>
      <c r="I409" s="138" t="s">
        <v>1529</v>
      </c>
      <c r="J409" s="153" t="s">
        <v>1530</v>
      </c>
      <c r="K409" s="139" t="s">
        <v>1531</v>
      </c>
    </row>
    <row r="410" spans="1:11" ht="30" customHeight="1" x14ac:dyDescent="0.25">
      <c r="A410" s="640" t="s">
        <v>3279</v>
      </c>
      <c r="B410" s="154" t="s">
        <v>1461</v>
      </c>
      <c r="C410" s="169" t="s">
        <v>1141</v>
      </c>
      <c r="D410" s="137"/>
      <c r="E410" s="138" t="s">
        <v>1462</v>
      </c>
      <c r="F410" s="138"/>
      <c r="G410" s="138" t="s">
        <v>1463</v>
      </c>
      <c r="H410" s="152" t="s">
        <v>1464</v>
      </c>
      <c r="I410" s="138" t="s">
        <v>1465</v>
      </c>
      <c r="J410" s="153" t="s">
        <v>1466</v>
      </c>
      <c r="K410" s="139" t="s">
        <v>1467</v>
      </c>
    </row>
    <row r="411" spans="1:11" ht="30" customHeight="1" x14ac:dyDescent="0.25">
      <c r="A411" s="640" t="s">
        <v>3278</v>
      </c>
      <c r="B411" s="197" t="s">
        <v>1764</v>
      </c>
      <c r="C411" s="371" t="s">
        <v>1141</v>
      </c>
      <c r="D411" s="374"/>
      <c r="E411" s="377" t="s">
        <v>1765</v>
      </c>
      <c r="F411" s="377"/>
      <c r="G411" s="377"/>
      <c r="H411" s="381" t="s">
        <v>1766</v>
      </c>
      <c r="I411" s="377" t="s">
        <v>1767</v>
      </c>
      <c r="J411" s="387" t="s">
        <v>1768</v>
      </c>
      <c r="K411" s="196" t="s">
        <v>1769</v>
      </c>
    </row>
    <row r="412" spans="1:11" ht="30" customHeight="1" x14ac:dyDescent="0.25">
      <c r="A412" s="139" t="s">
        <v>1403</v>
      </c>
      <c r="B412" s="154" t="s">
        <v>1404</v>
      </c>
      <c r="C412" s="169" t="s">
        <v>1139</v>
      </c>
      <c r="D412" s="137"/>
      <c r="E412" s="138" t="s">
        <v>1405</v>
      </c>
      <c r="F412" s="138"/>
      <c r="G412" s="138" t="s">
        <v>1406</v>
      </c>
      <c r="H412" s="152" t="s">
        <v>1407</v>
      </c>
      <c r="I412" s="138" t="s">
        <v>1408</v>
      </c>
      <c r="J412" s="153" t="s">
        <v>1409</v>
      </c>
      <c r="K412" s="139" t="s">
        <v>1410</v>
      </c>
    </row>
    <row r="413" spans="1:11" ht="30" customHeight="1" x14ac:dyDescent="0.25">
      <c r="A413" s="45" t="s">
        <v>27</v>
      </c>
      <c r="B413" s="39" t="s">
        <v>2725</v>
      </c>
      <c r="C413" s="157" t="s">
        <v>1139</v>
      </c>
      <c r="D413" s="55" t="s">
        <v>91</v>
      </c>
      <c r="E413" s="56"/>
      <c r="F413" s="56"/>
      <c r="G413" s="56"/>
      <c r="H413" s="71"/>
      <c r="I413" s="56"/>
      <c r="J413" s="57"/>
      <c r="K413" s="45"/>
    </row>
    <row r="414" spans="1:11" ht="70.5" customHeight="1" x14ac:dyDescent="0.25">
      <c r="A414" s="45" t="s">
        <v>420</v>
      </c>
      <c r="B414" s="39"/>
      <c r="C414" s="161" t="s">
        <v>1141</v>
      </c>
      <c r="D414" s="55"/>
      <c r="E414" s="56" t="s">
        <v>422</v>
      </c>
      <c r="F414" s="56" t="s">
        <v>421</v>
      </c>
      <c r="G414" s="56"/>
      <c r="H414" s="71"/>
      <c r="I414" s="56"/>
      <c r="J414" s="57"/>
      <c r="K414" s="45"/>
    </row>
    <row r="415" spans="1:11" ht="30" x14ac:dyDescent="0.25">
      <c r="A415" s="640" t="s">
        <v>3277</v>
      </c>
      <c r="B415" s="154" t="s">
        <v>1491</v>
      </c>
      <c r="C415" s="169" t="s">
        <v>1141</v>
      </c>
      <c r="D415" s="137"/>
      <c r="E415" s="138" t="s">
        <v>1492</v>
      </c>
      <c r="F415" s="138"/>
      <c r="G415" s="138" t="s">
        <v>1493</v>
      </c>
      <c r="H415" s="152" t="s">
        <v>1494</v>
      </c>
      <c r="I415" s="138" t="s">
        <v>1495</v>
      </c>
      <c r="J415" s="153" t="s">
        <v>1496</v>
      </c>
      <c r="K415" s="139" t="s">
        <v>1497</v>
      </c>
    </row>
    <row r="416" spans="1:11" x14ac:dyDescent="0.25">
      <c r="A416" s="45" t="s">
        <v>22</v>
      </c>
      <c r="B416" s="39" t="s">
        <v>22</v>
      </c>
      <c r="C416" s="157" t="s">
        <v>1139</v>
      </c>
      <c r="D416" s="55" t="s">
        <v>23</v>
      </c>
      <c r="E416" s="56"/>
      <c r="F416" s="56"/>
      <c r="G416" s="56"/>
      <c r="H416" s="71"/>
      <c r="I416" s="56"/>
      <c r="J416" s="57"/>
      <c r="K416" s="45"/>
    </row>
    <row r="417" spans="1:11" x14ac:dyDescent="0.25">
      <c r="A417" s="108" t="s">
        <v>980</v>
      </c>
      <c r="B417" s="109" t="s">
        <v>980</v>
      </c>
      <c r="C417" s="110" t="s">
        <v>1139</v>
      </c>
      <c r="D417" s="111"/>
      <c r="E417" s="112"/>
      <c r="F417" s="112"/>
      <c r="G417" s="112"/>
      <c r="H417" s="113"/>
      <c r="I417" s="112"/>
      <c r="J417" s="114"/>
      <c r="K417" s="115"/>
    </row>
    <row r="418" spans="1:11" x14ac:dyDescent="0.25">
      <c r="A418" s="206" t="s">
        <v>1992</v>
      </c>
      <c r="B418" s="354" t="s">
        <v>1993</v>
      </c>
      <c r="C418" s="208" t="s">
        <v>1139</v>
      </c>
      <c r="D418" s="202"/>
      <c r="E418" s="354" t="s">
        <v>1994</v>
      </c>
      <c r="F418" s="220"/>
      <c r="G418" s="220"/>
      <c r="H418" s="604" t="s">
        <v>1995</v>
      </c>
      <c r="I418" s="220"/>
      <c r="J418" s="383" t="s">
        <v>1996</v>
      </c>
      <c r="K418" s="354" t="s">
        <v>1997</v>
      </c>
    </row>
    <row r="419" spans="1:11" x14ac:dyDescent="0.25">
      <c r="A419" s="103" t="s">
        <v>901</v>
      </c>
      <c r="B419" s="104" t="s">
        <v>901</v>
      </c>
      <c r="C419" s="157" t="s">
        <v>1139</v>
      </c>
      <c r="D419" s="99"/>
      <c r="E419" s="100"/>
      <c r="F419" s="100"/>
      <c r="G419" s="100"/>
      <c r="H419" s="604" t="s">
        <v>1018</v>
      </c>
      <c r="I419" s="100"/>
      <c r="J419" s="102" t="s">
        <v>1017</v>
      </c>
      <c r="K419" s="103"/>
    </row>
    <row r="420" spans="1:11" x14ac:dyDescent="0.25">
      <c r="A420" s="45" t="s">
        <v>1112</v>
      </c>
      <c r="B420" s="39" t="s">
        <v>1112</v>
      </c>
      <c r="C420" s="157" t="s">
        <v>1139</v>
      </c>
      <c r="D420" s="55"/>
      <c r="E420" s="56"/>
      <c r="F420" s="56"/>
      <c r="G420" s="56"/>
      <c r="H420" s="71"/>
      <c r="I420" s="56"/>
      <c r="J420" s="166" t="s">
        <v>1113</v>
      </c>
      <c r="K420" s="45"/>
    </row>
    <row r="421" spans="1:11" x14ac:dyDescent="0.25">
      <c r="A421" s="45" t="s">
        <v>384</v>
      </c>
      <c r="B421" s="39" t="s">
        <v>384</v>
      </c>
      <c r="C421" s="157" t="s">
        <v>1139</v>
      </c>
      <c r="D421" s="55"/>
      <c r="E421" s="56"/>
      <c r="F421" s="56"/>
      <c r="G421" s="56"/>
      <c r="H421" s="71"/>
      <c r="I421" s="56"/>
      <c r="J421" s="57" t="s">
        <v>383</v>
      </c>
      <c r="K421" s="45"/>
    </row>
    <row r="422" spans="1:11" x14ac:dyDescent="0.25">
      <c r="A422" s="45" t="s">
        <v>3140</v>
      </c>
      <c r="B422" s="39" t="s">
        <v>19</v>
      </c>
      <c r="C422" s="161" t="s">
        <v>1141</v>
      </c>
      <c r="D422" s="55" t="s">
        <v>20</v>
      </c>
      <c r="E422" s="56"/>
      <c r="F422" s="56"/>
      <c r="G422" s="56"/>
      <c r="H422" s="71"/>
      <c r="I422" s="56"/>
      <c r="J422" s="57"/>
      <c r="K422" s="45"/>
    </row>
    <row r="423" spans="1:11" x14ac:dyDescent="0.25">
      <c r="A423" s="45" t="s">
        <v>375</v>
      </c>
      <c r="B423" s="39" t="s">
        <v>375</v>
      </c>
      <c r="C423" s="157" t="s">
        <v>1139</v>
      </c>
      <c r="D423" s="55"/>
      <c r="E423" s="56"/>
      <c r="F423" s="56"/>
      <c r="G423" s="56"/>
      <c r="H423" s="71"/>
      <c r="I423" s="56"/>
      <c r="J423" s="167" t="s">
        <v>379</v>
      </c>
      <c r="K423" s="1"/>
    </row>
    <row r="424" spans="1:11" x14ac:dyDescent="0.25">
      <c r="A424" s="45" t="s">
        <v>3821</v>
      </c>
      <c r="B424" s="39" t="s">
        <v>493</v>
      </c>
      <c r="C424" s="161" t="s">
        <v>1141</v>
      </c>
      <c r="D424" s="55"/>
      <c r="E424" s="56"/>
      <c r="F424" s="56"/>
      <c r="G424" s="56"/>
      <c r="H424" s="71"/>
      <c r="I424" s="56"/>
      <c r="J424" s="57"/>
      <c r="K424" s="1"/>
    </row>
    <row r="425" spans="1:11" x14ac:dyDescent="0.25">
      <c r="A425" s="140" t="s">
        <v>1116</v>
      </c>
      <c r="B425" s="141" t="s">
        <v>1116</v>
      </c>
      <c r="C425" s="157" t="s">
        <v>1139</v>
      </c>
      <c r="D425" s="137"/>
      <c r="E425" s="170"/>
      <c r="F425" s="138"/>
      <c r="G425" s="138"/>
      <c r="H425" s="604" t="s">
        <v>1118</v>
      </c>
      <c r="I425" s="138"/>
      <c r="J425" s="167" t="s">
        <v>1117</v>
      </c>
      <c r="K425" s="170"/>
    </row>
    <row r="426" spans="1:11" x14ac:dyDescent="0.25">
      <c r="A426" s="45" t="s">
        <v>24</v>
      </c>
      <c r="B426" s="39" t="s">
        <v>24</v>
      </c>
      <c r="C426" s="157" t="s">
        <v>1139</v>
      </c>
      <c r="D426" s="55"/>
      <c r="F426" s="56"/>
      <c r="G426" s="56"/>
      <c r="H426" s="71"/>
      <c r="I426" s="56"/>
      <c r="J426" s="167"/>
      <c r="K426" s="1"/>
    </row>
    <row r="427" spans="1:11" x14ac:dyDescent="0.25">
      <c r="A427" s="108" t="s">
        <v>977</v>
      </c>
      <c r="B427" s="109" t="s">
        <v>977</v>
      </c>
      <c r="C427" s="110" t="s">
        <v>1139</v>
      </c>
      <c r="D427" s="111"/>
      <c r="E427" s="376"/>
      <c r="F427" s="112"/>
      <c r="G427" s="112"/>
      <c r="H427" s="113"/>
      <c r="I427" s="112"/>
      <c r="J427" s="384"/>
      <c r="K427" s="376"/>
    </row>
    <row r="428" spans="1:11" ht="30" customHeight="1" x14ac:dyDescent="0.25">
      <c r="A428" s="206" t="s">
        <v>2087</v>
      </c>
      <c r="B428" s="39" t="s">
        <v>2724</v>
      </c>
      <c r="C428" s="157" t="s">
        <v>1139</v>
      </c>
      <c r="D428" s="202" t="s">
        <v>1851</v>
      </c>
      <c r="E428" s="203"/>
      <c r="F428" s="203"/>
      <c r="G428" s="203" t="s">
        <v>2090</v>
      </c>
      <c r="H428" s="604" t="s">
        <v>2088</v>
      </c>
      <c r="I428" s="203"/>
      <c r="J428" s="229" t="s">
        <v>2089</v>
      </c>
      <c r="K428" s="220"/>
    </row>
    <row r="429" spans="1:11" ht="45" x14ac:dyDescent="0.25">
      <c r="A429" s="206" t="s">
        <v>1932</v>
      </c>
      <c r="B429" s="207" t="s">
        <v>1932</v>
      </c>
      <c r="C429" s="208" t="s">
        <v>1141</v>
      </c>
      <c r="D429" s="202"/>
      <c r="E429" s="203" t="s">
        <v>1933</v>
      </c>
      <c r="F429" s="203"/>
      <c r="G429" s="203"/>
      <c r="H429" s="204" t="s">
        <v>1934</v>
      </c>
      <c r="I429" s="203" t="s">
        <v>1935</v>
      </c>
      <c r="J429" s="205" t="s">
        <v>1936</v>
      </c>
      <c r="K429" s="206"/>
    </row>
    <row r="430" spans="1:11" x14ac:dyDescent="0.25">
      <c r="A430" s="45" t="s">
        <v>2329</v>
      </c>
      <c r="B430" s="39"/>
      <c r="C430" s="224" t="s">
        <v>1141</v>
      </c>
      <c r="D430" s="55"/>
      <c r="E430" s="56"/>
      <c r="F430" s="56"/>
      <c r="G430" s="56"/>
      <c r="H430" s="71"/>
      <c r="I430" s="56"/>
      <c r="J430" s="57"/>
      <c r="K430" s="45"/>
    </row>
    <row r="431" spans="1:11" ht="45" x14ac:dyDescent="0.25">
      <c r="A431" s="83" t="s">
        <v>853</v>
      </c>
      <c r="B431" s="85" t="s">
        <v>854</v>
      </c>
      <c r="C431" s="157" t="s">
        <v>1139</v>
      </c>
      <c r="D431" s="79" t="s">
        <v>13</v>
      </c>
      <c r="E431" s="80" t="s">
        <v>855</v>
      </c>
      <c r="F431" s="80"/>
      <c r="G431" s="80" t="s">
        <v>856</v>
      </c>
      <c r="H431" s="81" t="s">
        <v>857</v>
      </c>
      <c r="I431" s="80"/>
      <c r="J431" s="82" t="s">
        <v>858</v>
      </c>
      <c r="K431" s="83" t="s">
        <v>859</v>
      </c>
    </row>
    <row r="432" spans="1:11" x14ac:dyDescent="0.25">
      <c r="A432" s="83" t="s">
        <v>860</v>
      </c>
      <c r="B432" s="85" t="s">
        <v>861</v>
      </c>
      <c r="C432" s="157" t="s">
        <v>1139</v>
      </c>
      <c r="D432" s="79"/>
      <c r="E432" s="80" t="s">
        <v>862</v>
      </c>
      <c r="F432" s="80"/>
      <c r="G432" s="80"/>
      <c r="H432" s="81"/>
      <c r="I432" s="80"/>
      <c r="J432" s="82" t="s">
        <v>863</v>
      </c>
      <c r="K432" s="83"/>
    </row>
    <row r="433" spans="1:11" x14ac:dyDescent="0.25">
      <c r="A433" s="317" t="s">
        <v>2485</v>
      </c>
      <c r="B433" s="318" t="s">
        <v>2479</v>
      </c>
      <c r="C433" s="304" t="s">
        <v>1139</v>
      </c>
      <c r="D433" s="55"/>
      <c r="E433" s="56"/>
      <c r="F433" s="56"/>
      <c r="G433" s="56"/>
      <c r="H433" s="71"/>
      <c r="I433" s="56"/>
      <c r="J433" s="57"/>
      <c r="K433" s="45"/>
    </row>
    <row r="434" spans="1:11" x14ac:dyDescent="0.25">
      <c r="A434" s="45" t="s">
        <v>489</v>
      </c>
      <c r="B434" s="39" t="s">
        <v>489</v>
      </c>
      <c r="C434" s="161" t="s">
        <v>1141</v>
      </c>
      <c r="D434" s="55"/>
      <c r="E434" s="56" t="s">
        <v>490</v>
      </c>
      <c r="F434" s="56" t="s">
        <v>488</v>
      </c>
      <c r="G434" s="56"/>
      <c r="H434" s="71"/>
      <c r="I434" s="56"/>
      <c r="J434" s="57"/>
      <c r="K434" s="45"/>
    </row>
    <row r="435" spans="1:11" ht="30" x14ac:dyDescent="0.25">
      <c r="A435" s="45" t="s">
        <v>245</v>
      </c>
      <c r="B435" s="39" t="s">
        <v>245</v>
      </c>
      <c r="C435" s="161" t="s">
        <v>1139</v>
      </c>
      <c r="D435" s="55"/>
      <c r="E435" s="56"/>
      <c r="F435" s="56"/>
      <c r="G435" s="56"/>
      <c r="H435" s="604" t="s">
        <v>247</v>
      </c>
      <c r="I435" s="56" t="s">
        <v>246</v>
      </c>
      <c r="J435" s="57" t="s">
        <v>248</v>
      </c>
      <c r="K435" s="45"/>
    </row>
    <row r="436" spans="1:11" ht="30" x14ac:dyDescent="0.25">
      <c r="A436" s="263" t="s">
        <v>2571</v>
      </c>
      <c r="B436" s="263" t="s">
        <v>2571</v>
      </c>
      <c r="C436" s="304" t="s">
        <v>1139</v>
      </c>
      <c r="D436" s="389" t="s">
        <v>2572</v>
      </c>
      <c r="E436" s="260"/>
      <c r="F436" s="391" t="s">
        <v>2576</v>
      </c>
      <c r="G436" s="260"/>
      <c r="H436" s="261"/>
      <c r="I436" s="260"/>
      <c r="J436" s="390" t="s">
        <v>2575</v>
      </c>
      <c r="K436" s="263"/>
    </row>
    <row r="437" spans="1:11" x14ac:dyDescent="0.25">
      <c r="A437" s="640" t="s">
        <v>2573</v>
      </c>
      <c r="B437" s="263" t="s">
        <v>2573</v>
      </c>
      <c r="C437" s="304" t="s">
        <v>1139</v>
      </c>
      <c r="D437" s="389" t="s">
        <v>861</v>
      </c>
      <c r="E437" s="260"/>
      <c r="F437" s="260"/>
      <c r="G437" s="260"/>
      <c r="H437" s="261"/>
      <c r="I437" s="260"/>
      <c r="J437" s="390" t="s">
        <v>2574</v>
      </c>
      <c r="K437" s="263"/>
    </row>
    <row r="438" spans="1:11" ht="45" x14ac:dyDescent="0.25">
      <c r="A438" s="263" t="s">
        <v>2577</v>
      </c>
      <c r="B438" s="263" t="s">
        <v>2577</v>
      </c>
      <c r="C438" s="304" t="s">
        <v>1139</v>
      </c>
      <c r="D438" s="392" t="s">
        <v>2578</v>
      </c>
      <c r="E438" s="393" t="s">
        <v>2579</v>
      </c>
      <c r="F438" s="393" t="s">
        <v>2580</v>
      </c>
      <c r="G438" s="260"/>
      <c r="H438" s="604" t="s">
        <v>2581</v>
      </c>
      <c r="I438" s="73" t="s">
        <v>2582</v>
      </c>
      <c r="J438" s="394" t="s">
        <v>2583</v>
      </c>
      <c r="K438" s="395" t="s">
        <v>2584</v>
      </c>
    </row>
    <row r="439" spans="1:11" x14ac:dyDescent="0.25">
      <c r="A439" s="660" t="s">
        <v>3276</v>
      </c>
      <c r="B439" s="319" t="s">
        <v>3276</v>
      </c>
      <c r="C439" s="396" t="s">
        <v>1141</v>
      </c>
      <c r="D439" s="397" t="s">
        <v>2578</v>
      </c>
      <c r="E439" s="398" t="s">
        <v>129</v>
      </c>
      <c r="F439" s="260"/>
      <c r="G439" s="260"/>
      <c r="H439" s="604" t="s">
        <v>3684</v>
      </c>
      <c r="I439" s="260"/>
      <c r="J439" s="262"/>
      <c r="K439" s="263"/>
    </row>
    <row r="440" spans="1:11" x14ac:dyDescent="0.25">
      <c r="A440" s="332" t="s">
        <v>3275</v>
      </c>
      <c r="B440" s="327" t="s">
        <v>3275</v>
      </c>
      <c r="C440" s="399" t="s">
        <v>1141</v>
      </c>
      <c r="D440" s="328" t="s">
        <v>2351</v>
      </c>
      <c r="E440" s="400" t="s">
        <v>2352</v>
      </c>
      <c r="F440" s="271"/>
      <c r="G440" s="271"/>
      <c r="H440" s="604" t="s">
        <v>2353</v>
      </c>
      <c r="I440" s="285" t="s">
        <v>2354</v>
      </c>
      <c r="J440" s="275" t="s">
        <v>2355</v>
      </c>
      <c r="K440" s="263"/>
    </row>
    <row r="441" spans="1:11" ht="105" x14ac:dyDescent="0.25">
      <c r="A441" s="317" t="s">
        <v>2588</v>
      </c>
      <c r="B441" s="402"/>
      <c r="C441" s="492" t="s">
        <v>1141</v>
      </c>
      <c r="D441" s="403" t="s">
        <v>2589</v>
      </c>
      <c r="E441" s="260" t="s">
        <v>2590</v>
      </c>
      <c r="F441" s="260" t="s">
        <v>2591</v>
      </c>
      <c r="G441" s="260"/>
      <c r="H441" s="604" t="s">
        <v>2592</v>
      </c>
      <c r="I441" s="260" t="s">
        <v>2593</v>
      </c>
      <c r="J441" s="401" t="s">
        <v>2594</v>
      </c>
      <c r="K441" s="263" t="s">
        <v>2595</v>
      </c>
    </row>
    <row r="442" spans="1:11" ht="45" x14ac:dyDescent="0.25">
      <c r="A442" s="314" t="s">
        <v>2596</v>
      </c>
      <c r="B442" s="404"/>
      <c r="C442" s="492" t="s">
        <v>1141</v>
      </c>
      <c r="D442" s="329" t="s">
        <v>25</v>
      </c>
      <c r="E442" s="260" t="s">
        <v>2597</v>
      </c>
      <c r="F442" s="260"/>
      <c r="G442" s="260"/>
      <c r="H442" s="604" t="s">
        <v>2598</v>
      </c>
      <c r="I442" s="285" t="s">
        <v>2599</v>
      </c>
      <c r="J442" s="262"/>
      <c r="K442" s="263" t="s">
        <v>2600</v>
      </c>
    </row>
    <row r="443" spans="1:11" ht="30" x14ac:dyDescent="0.25">
      <c r="A443" s="317" t="s">
        <v>3274</v>
      </c>
      <c r="B443" s="402" t="s">
        <v>3274</v>
      </c>
      <c r="C443" s="492" t="s">
        <v>1141</v>
      </c>
      <c r="D443" s="403" t="s">
        <v>11</v>
      </c>
      <c r="E443" s="260" t="s">
        <v>2601</v>
      </c>
      <c r="F443" s="260"/>
      <c r="G443" s="260"/>
      <c r="H443" s="604" t="s">
        <v>2602</v>
      </c>
      <c r="I443" s="260" t="s">
        <v>2603</v>
      </c>
      <c r="J443" s="262" t="s">
        <v>2604</v>
      </c>
      <c r="K443" s="263" t="s">
        <v>2605</v>
      </c>
    </row>
    <row r="444" spans="1:11" ht="30" x14ac:dyDescent="0.25">
      <c r="A444" s="659" t="s">
        <v>3273</v>
      </c>
      <c r="B444" s="404" t="s">
        <v>3273</v>
      </c>
      <c r="C444" s="316" t="s">
        <v>1141</v>
      </c>
      <c r="D444" s="329" t="s">
        <v>2616</v>
      </c>
      <c r="E444" s="260" t="s">
        <v>2606</v>
      </c>
      <c r="F444" s="260"/>
      <c r="G444" s="260"/>
      <c r="H444" s="261" t="s">
        <v>2607</v>
      </c>
      <c r="I444" s="260" t="s">
        <v>2608</v>
      </c>
      <c r="J444" s="262" t="s">
        <v>2609</v>
      </c>
      <c r="K444" s="263" t="s">
        <v>2610</v>
      </c>
    </row>
    <row r="445" spans="1:11" x14ac:dyDescent="0.25">
      <c r="A445" s="319" t="s">
        <v>2611</v>
      </c>
      <c r="B445" s="402" t="s">
        <v>2611</v>
      </c>
      <c r="C445" s="492" t="s">
        <v>1141</v>
      </c>
      <c r="D445" s="403" t="s">
        <v>41</v>
      </c>
      <c r="E445" s="260" t="s">
        <v>2612</v>
      </c>
      <c r="F445" s="260"/>
      <c r="G445" s="260"/>
      <c r="H445" s="604" t="s">
        <v>2613</v>
      </c>
      <c r="I445" s="260" t="s">
        <v>2614</v>
      </c>
      <c r="J445" s="262"/>
      <c r="K445" s="263" t="s">
        <v>2615</v>
      </c>
    </row>
    <row r="446" spans="1:11" ht="30" x14ac:dyDescent="0.25">
      <c r="A446" s="46" t="s">
        <v>3272</v>
      </c>
      <c r="B446" s="352" t="s">
        <v>2617</v>
      </c>
      <c r="C446" s="493" t="s">
        <v>1141</v>
      </c>
      <c r="D446" s="259" t="s">
        <v>2618</v>
      </c>
      <c r="E446" s="405" t="s">
        <v>2619</v>
      </c>
      <c r="F446" s="260"/>
      <c r="G446" s="260"/>
      <c r="H446" s="261"/>
      <c r="I446" s="260"/>
      <c r="J446" s="262"/>
      <c r="K446" s="263"/>
    </row>
    <row r="447" spans="1:11" ht="30" customHeight="1" x14ac:dyDescent="0.25">
      <c r="A447" s="46" t="s">
        <v>3271</v>
      </c>
      <c r="B447" s="352" t="s">
        <v>2617</v>
      </c>
      <c r="C447" s="504" t="s">
        <v>1139</v>
      </c>
      <c r="D447" s="259" t="s">
        <v>2618</v>
      </c>
      <c r="E447" s="405" t="s">
        <v>2619</v>
      </c>
      <c r="F447" s="260"/>
      <c r="G447" s="260"/>
      <c r="H447" s="261"/>
      <c r="I447" s="260"/>
      <c r="J447" s="262"/>
      <c r="K447" s="263"/>
    </row>
    <row r="448" spans="1:11" x14ac:dyDescent="0.25">
      <c r="A448" s="263" t="s">
        <v>2620</v>
      </c>
      <c r="B448" s="45" t="s">
        <v>2723</v>
      </c>
      <c r="C448" s="157" t="s">
        <v>1139</v>
      </c>
      <c r="D448" s="406" t="s">
        <v>91</v>
      </c>
      <c r="E448" s="260"/>
      <c r="F448" s="260"/>
      <c r="G448" s="260"/>
      <c r="H448" s="261"/>
      <c r="I448" s="260"/>
      <c r="J448" s="262"/>
      <c r="K448" s="263"/>
    </row>
    <row r="449" spans="1:11" x14ac:dyDescent="0.25">
      <c r="A449" s="640" t="s">
        <v>3270</v>
      </c>
      <c r="B449" s="264"/>
      <c r="C449" s="493" t="s">
        <v>1141</v>
      </c>
      <c r="D449" s="259"/>
      <c r="E449" s="260"/>
      <c r="F449" s="260"/>
      <c r="G449" s="260"/>
      <c r="H449" s="261"/>
      <c r="I449" s="260"/>
      <c r="J449" s="262"/>
      <c r="K449" s="263"/>
    </row>
    <row r="450" spans="1:11" ht="30" customHeight="1" x14ac:dyDescent="0.25">
      <c r="A450" s="287" t="s">
        <v>2621</v>
      </c>
      <c r="B450" s="279" t="s">
        <v>2621</v>
      </c>
      <c r="C450" s="304" t="s">
        <v>1139</v>
      </c>
      <c r="D450" s="259"/>
      <c r="E450" s="260"/>
      <c r="F450" s="260"/>
      <c r="G450" s="260"/>
      <c r="H450" s="261"/>
      <c r="I450" s="260"/>
      <c r="J450" s="262"/>
      <c r="K450" s="263"/>
    </row>
    <row r="451" spans="1:11" x14ac:dyDescent="0.25">
      <c r="A451" s="45" t="s">
        <v>2626</v>
      </c>
      <c r="B451" s="45" t="s">
        <v>2722</v>
      </c>
      <c r="C451" s="304" t="s">
        <v>1139</v>
      </c>
      <c r="D451" s="259" t="s">
        <v>91</v>
      </c>
      <c r="E451" s="408" t="s">
        <v>2629</v>
      </c>
      <c r="F451" s="260"/>
      <c r="G451" s="260"/>
      <c r="H451" s="261"/>
      <c r="I451" s="260"/>
      <c r="J451" s="262"/>
      <c r="K451" s="263"/>
    </row>
    <row r="452" spans="1:11" x14ac:dyDescent="0.25">
      <c r="A452" s="263" t="s">
        <v>2628</v>
      </c>
      <c r="B452" s="45" t="s">
        <v>2721</v>
      </c>
      <c r="C452" s="304" t="s">
        <v>1139</v>
      </c>
      <c r="D452" s="259" t="s">
        <v>91</v>
      </c>
      <c r="E452" s="408" t="s">
        <v>2627</v>
      </c>
      <c r="F452" s="260"/>
      <c r="G452" s="260"/>
      <c r="H452" s="261"/>
      <c r="I452" s="260"/>
      <c r="J452" s="262"/>
      <c r="K452" s="263"/>
    </row>
    <row r="453" spans="1:11" ht="30" x14ac:dyDescent="0.25">
      <c r="A453" s="46" t="s">
        <v>3269</v>
      </c>
      <c r="B453" s="43" t="s">
        <v>3269</v>
      </c>
      <c r="C453" s="399" t="s">
        <v>1141</v>
      </c>
      <c r="D453" s="86"/>
      <c r="E453" s="87" t="s">
        <v>2630</v>
      </c>
      <c r="F453" s="87"/>
      <c r="G453" s="87"/>
      <c r="H453" s="604" t="s">
        <v>2631</v>
      </c>
      <c r="I453" s="87"/>
      <c r="J453" s="89" t="s">
        <v>1976</v>
      </c>
      <c r="K453" s="46" t="s">
        <v>2632</v>
      </c>
    </row>
    <row r="454" spans="1:11" x14ac:dyDescent="0.25">
      <c r="A454" s="412" t="s">
        <v>2635</v>
      </c>
      <c r="B454" s="490" t="s">
        <v>2720</v>
      </c>
      <c r="C454" s="304" t="s">
        <v>1139</v>
      </c>
      <c r="D454" s="259" t="s">
        <v>91</v>
      </c>
      <c r="E454" s="410" t="s">
        <v>2636</v>
      </c>
      <c r="F454" s="260"/>
      <c r="G454" s="260"/>
      <c r="H454" s="261"/>
      <c r="I454" s="260"/>
      <c r="J454" s="411" t="s">
        <v>2637</v>
      </c>
      <c r="K454" s="263"/>
    </row>
    <row r="455" spans="1:11" x14ac:dyDescent="0.25">
      <c r="A455" s="45" t="s">
        <v>2853</v>
      </c>
      <c r="B455" s="45" t="s">
        <v>2777</v>
      </c>
      <c r="C455" s="304" t="s">
        <v>1139</v>
      </c>
      <c r="D455" s="259" t="s">
        <v>91</v>
      </c>
      <c r="E455" s="441" t="s">
        <v>2636</v>
      </c>
      <c r="F455" s="260"/>
      <c r="G455" s="260"/>
      <c r="H455" s="261"/>
      <c r="I455" s="260"/>
      <c r="J455" s="411" t="s">
        <v>2638</v>
      </c>
      <c r="K455" s="263"/>
    </row>
    <row r="456" spans="1:11" ht="30" x14ac:dyDescent="0.25">
      <c r="A456" s="46" t="s">
        <v>3268</v>
      </c>
      <c r="B456" s="43" t="s">
        <v>3268</v>
      </c>
      <c r="C456" s="413" t="s">
        <v>1141</v>
      </c>
      <c r="D456" s="86"/>
      <c r="E456" s="87" t="s">
        <v>2639</v>
      </c>
      <c r="F456" s="87"/>
      <c r="G456" s="87"/>
      <c r="H456" s="604" t="s">
        <v>2631</v>
      </c>
      <c r="I456" s="87" t="s">
        <v>2640</v>
      </c>
      <c r="J456" s="89" t="s">
        <v>2641</v>
      </c>
      <c r="K456" s="46" t="s">
        <v>2642</v>
      </c>
    </row>
    <row r="457" spans="1:11" x14ac:dyDescent="0.25">
      <c r="A457" s="46" t="s">
        <v>3267</v>
      </c>
      <c r="B457" s="43" t="s">
        <v>2643</v>
      </c>
      <c r="C457" s="413" t="s">
        <v>1141</v>
      </c>
      <c r="D457" s="86"/>
      <c r="E457" s="87" t="s">
        <v>129</v>
      </c>
      <c r="F457" s="87"/>
      <c r="G457" s="87"/>
      <c r="H457" s="604" t="s">
        <v>2644</v>
      </c>
      <c r="I457" s="87" t="s">
        <v>2645</v>
      </c>
      <c r="J457" s="89" t="s">
        <v>2646</v>
      </c>
      <c r="K457" s="46" t="s">
        <v>2647</v>
      </c>
    </row>
    <row r="458" spans="1:11" ht="30" x14ac:dyDescent="0.25">
      <c r="A458" s="263" t="s">
        <v>2656</v>
      </c>
      <c r="B458" s="263" t="s">
        <v>2656</v>
      </c>
      <c r="C458" s="413" t="s">
        <v>1141</v>
      </c>
      <c r="D458" s="259"/>
      <c r="E458" s="414" t="s">
        <v>2001</v>
      </c>
      <c r="F458" s="260"/>
      <c r="G458" s="260"/>
      <c r="H458" s="261"/>
      <c r="I458" s="260"/>
      <c r="J458" s="262"/>
      <c r="K458" s="263"/>
    </row>
    <row r="459" spans="1:11" x14ac:dyDescent="0.25">
      <c r="A459" s="415" t="s">
        <v>2657</v>
      </c>
      <c r="B459" s="263" t="s">
        <v>2657</v>
      </c>
      <c r="C459" s="304" t="s">
        <v>1139</v>
      </c>
      <c r="D459" s="259" t="s">
        <v>91</v>
      </c>
      <c r="E459" s="260"/>
      <c r="F459" s="260"/>
      <c r="G459" s="260"/>
      <c r="H459" s="261"/>
      <c r="I459" s="260"/>
      <c r="J459" s="262"/>
      <c r="K459" s="263"/>
    </row>
    <row r="460" spans="1:11" x14ac:dyDescent="0.25">
      <c r="A460" s="46" t="s">
        <v>2659</v>
      </c>
      <c r="B460" s="352" t="s">
        <v>2659</v>
      </c>
      <c r="C460" s="493" t="s">
        <v>1139</v>
      </c>
      <c r="D460" s="55"/>
      <c r="E460" s="56" t="s">
        <v>2601</v>
      </c>
      <c r="F460" s="56"/>
      <c r="G460" s="56"/>
      <c r="H460" s="71"/>
      <c r="I460" s="56"/>
      <c r="J460" s="57"/>
      <c r="K460" s="45"/>
    </row>
    <row r="461" spans="1:11" x14ac:dyDescent="0.25">
      <c r="A461" s="419" t="s">
        <v>2660</v>
      </c>
      <c r="B461" s="420" t="s">
        <v>2660</v>
      </c>
      <c r="C461" s="413" t="s">
        <v>1141</v>
      </c>
      <c r="D461" s="416"/>
      <c r="E461" s="417" t="s">
        <v>2661</v>
      </c>
      <c r="F461" s="417"/>
      <c r="G461" s="417"/>
      <c r="H461" s="604" t="s">
        <v>2662</v>
      </c>
      <c r="I461" s="417" t="s">
        <v>2663</v>
      </c>
      <c r="J461" s="418" t="s">
        <v>2664</v>
      </c>
      <c r="K461" s="419" t="s">
        <v>2665</v>
      </c>
    </row>
    <row r="462" spans="1:11" ht="30" x14ac:dyDescent="0.25">
      <c r="A462" s="325" t="s">
        <v>3266</v>
      </c>
      <c r="B462" s="326" t="s">
        <v>3266</v>
      </c>
      <c r="C462" s="421" t="s">
        <v>1141</v>
      </c>
      <c r="D462" s="86"/>
      <c r="E462" s="87" t="s">
        <v>42</v>
      </c>
      <c r="F462" s="87"/>
      <c r="G462" s="87"/>
      <c r="H462" s="604" t="s">
        <v>2666</v>
      </c>
      <c r="I462" s="422" t="s">
        <v>2669</v>
      </c>
      <c r="J462" s="89" t="s">
        <v>2667</v>
      </c>
      <c r="K462" s="46" t="s">
        <v>2668</v>
      </c>
    </row>
    <row r="463" spans="1:11" x14ac:dyDescent="0.25">
      <c r="A463" s="424" t="s">
        <v>2657</v>
      </c>
      <c r="B463" s="420" t="s">
        <v>2657</v>
      </c>
      <c r="C463" s="304" t="s">
        <v>1139</v>
      </c>
      <c r="D463" s="416" t="s">
        <v>91</v>
      </c>
      <c r="E463" s="417"/>
      <c r="F463" s="417"/>
      <c r="G463" s="417"/>
      <c r="H463" s="423"/>
      <c r="I463" s="417"/>
      <c r="J463" s="418"/>
      <c r="K463" s="419"/>
    </row>
    <row r="464" spans="1:11" ht="30" x14ac:dyDescent="0.25">
      <c r="A464" s="46" t="s">
        <v>3265</v>
      </c>
      <c r="B464" s="43" t="s">
        <v>3265</v>
      </c>
      <c r="C464" s="413" t="s">
        <v>1141</v>
      </c>
      <c r="D464" s="86"/>
      <c r="E464" s="87" t="s">
        <v>2670</v>
      </c>
      <c r="F464" s="87"/>
      <c r="G464" s="87"/>
      <c r="H464" s="189"/>
      <c r="I464" s="87"/>
      <c r="J464" s="89" t="s">
        <v>2671</v>
      </c>
      <c r="K464" s="46" t="s">
        <v>2155</v>
      </c>
    </row>
    <row r="465" spans="1:11" ht="135" x14ac:dyDescent="0.25">
      <c r="A465" s="431" t="s">
        <v>2675</v>
      </c>
      <c r="B465" s="431" t="s">
        <v>2675</v>
      </c>
      <c r="C465" s="304" t="s">
        <v>1139</v>
      </c>
      <c r="D465" s="425"/>
      <c r="E465" s="430" t="s">
        <v>2676</v>
      </c>
      <c r="F465" s="426"/>
      <c r="G465" s="426"/>
      <c r="H465" s="427"/>
      <c r="I465" s="426"/>
      <c r="J465" s="428"/>
      <c r="K465" s="429"/>
    </row>
    <row r="466" spans="1:11" ht="45" x14ac:dyDescent="0.25">
      <c r="A466" s="433" t="s">
        <v>2677</v>
      </c>
      <c r="B466" s="433" t="s">
        <v>2677</v>
      </c>
      <c r="C466" s="304" t="s">
        <v>1139</v>
      </c>
      <c r="D466" s="432"/>
      <c r="E466" s="434" t="s">
        <v>2678</v>
      </c>
      <c r="F466" s="426"/>
      <c r="G466" s="426"/>
      <c r="H466" s="427"/>
      <c r="I466" s="426"/>
      <c r="J466" s="428"/>
      <c r="K466" s="429"/>
    </row>
    <row r="467" spans="1:11" ht="30" x14ac:dyDescent="0.25">
      <c r="A467" s="658" t="s">
        <v>3264</v>
      </c>
      <c r="B467" s="439" t="s">
        <v>3264</v>
      </c>
      <c r="C467" s="440" t="s">
        <v>1141</v>
      </c>
      <c r="D467" s="438"/>
      <c r="E467" s="441" t="s">
        <v>42</v>
      </c>
      <c r="F467" s="435"/>
      <c r="G467" s="435"/>
      <c r="H467" s="436"/>
      <c r="I467" s="435"/>
      <c r="J467" s="437" t="s">
        <v>2680</v>
      </c>
      <c r="K467" s="442" t="s">
        <v>2679</v>
      </c>
    </row>
    <row r="468" spans="1:11" ht="45" x14ac:dyDescent="0.25">
      <c r="A468" s="640" t="s">
        <v>3263</v>
      </c>
      <c r="B468" s="445" t="s">
        <v>3263</v>
      </c>
      <c r="C468" s="440" t="s">
        <v>1141</v>
      </c>
      <c r="D468" s="443"/>
      <c r="E468" s="435" t="s">
        <v>2681</v>
      </c>
      <c r="F468" s="435"/>
      <c r="G468" s="435"/>
      <c r="H468" s="436"/>
      <c r="I468" s="435"/>
      <c r="J468" s="437" t="s">
        <v>2682</v>
      </c>
      <c r="K468" s="444" t="s">
        <v>2683</v>
      </c>
    </row>
    <row r="469" spans="1:11" ht="30" x14ac:dyDescent="0.25">
      <c r="A469" s="448" t="s">
        <v>3262</v>
      </c>
      <c r="B469" s="449" t="s">
        <v>3262</v>
      </c>
      <c r="C469" s="304" t="s">
        <v>1139</v>
      </c>
      <c r="D469" s="443"/>
      <c r="E469" s="441" t="s">
        <v>2695</v>
      </c>
      <c r="F469" s="435"/>
      <c r="G469" s="435"/>
      <c r="H469" s="604" t="s">
        <v>2696</v>
      </c>
      <c r="I469" s="73" t="s">
        <v>2697</v>
      </c>
      <c r="J469" s="450" t="s">
        <v>2698</v>
      </c>
      <c r="K469" s="442" t="s">
        <v>2699</v>
      </c>
    </row>
    <row r="470" spans="1:11" ht="30" x14ac:dyDescent="0.25">
      <c r="A470" s="451" t="s">
        <v>2700</v>
      </c>
      <c r="B470" s="481" t="s">
        <v>2719</v>
      </c>
      <c r="C470" s="304" t="s">
        <v>1139</v>
      </c>
      <c r="D470" s="452" t="s">
        <v>91</v>
      </c>
      <c r="E470" s="453" t="s">
        <v>2701</v>
      </c>
      <c r="F470" s="453"/>
      <c r="G470" s="453" t="s">
        <v>2702</v>
      </c>
      <c r="H470" s="454"/>
      <c r="I470" s="453"/>
      <c r="J470" s="455" t="s">
        <v>2703</v>
      </c>
      <c r="K470" s="456"/>
    </row>
    <row r="471" spans="1:11" x14ac:dyDescent="0.25">
      <c r="A471" s="448" t="s">
        <v>2710</v>
      </c>
      <c r="B471" s="449" t="s">
        <v>2718</v>
      </c>
      <c r="C471" s="461" t="s">
        <v>1139</v>
      </c>
      <c r="D471" s="452" t="s">
        <v>91</v>
      </c>
      <c r="E471" s="441" t="s">
        <v>2713</v>
      </c>
      <c r="F471" s="453"/>
      <c r="G471" s="441" t="s">
        <v>2710</v>
      </c>
      <c r="H471" s="604" t="s">
        <v>2711</v>
      </c>
      <c r="I471" s="453"/>
      <c r="J471" s="450" t="s">
        <v>2712</v>
      </c>
      <c r="K471" s="456"/>
    </row>
    <row r="472" spans="1:11" ht="30" x14ac:dyDescent="0.25">
      <c r="A472" s="480" t="s">
        <v>3261</v>
      </c>
      <c r="B472" s="481" t="s">
        <v>2715</v>
      </c>
      <c r="C472" s="461" t="s">
        <v>1139</v>
      </c>
      <c r="D472" s="55"/>
      <c r="E472" s="56" t="s">
        <v>1804</v>
      </c>
      <c r="F472" s="56"/>
      <c r="G472" s="56"/>
      <c r="H472" s="71"/>
      <c r="I472" s="73" t="s">
        <v>2716</v>
      </c>
      <c r="J472" s="57"/>
      <c r="K472" s="45"/>
    </row>
    <row r="473" spans="1:11" x14ac:dyDescent="0.25">
      <c r="A473" s="587" t="s">
        <v>3260</v>
      </c>
      <c r="B473" s="449" t="s">
        <v>3260</v>
      </c>
      <c r="C473" s="483" t="s">
        <v>1141</v>
      </c>
      <c r="D473" s="484" t="s">
        <v>17</v>
      </c>
      <c r="E473" s="441" t="s">
        <v>36</v>
      </c>
      <c r="F473" s="485"/>
      <c r="G473" s="485"/>
      <c r="H473" s="486"/>
      <c r="I473" s="485"/>
      <c r="J473" s="487"/>
      <c r="K473" s="488"/>
    </row>
    <row r="474" spans="1:11" x14ac:dyDescent="0.25">
      <c r="A474" s="480" t="s">
        <v>2717</v>
      </c>
      <c r="B474" s="481" t="s">
        <v>2776</v>
      </c>
      <c r="C474" s="482" t="s">
        <v>1139</v>
      </c>
      <c r="D474" s="55" t="s">
        <v>91</v>
      </c>
      <c r="E474" s="56" t="s">
        <v>2636</v>
      </c>
      <c r="F474" s="56"/>
      <c r="G474" s="56" t="s">
        <v>2717</v>
      </c>
      <c r="H474" s="589"/>
      <c r="I474" s="56"/>
      <c r="J474" s="57"/>
      <c r="K474" s="45"/>
    </row>
    <row r="475" spans="1:11" x14ac:dyDescent="0.25">
      <c r="A475" s="480" t="s">
        <v>2768</v>
      </c>
      <c r="B475" s="449" t="s">
        <v>2775</v>
      </c>
      <c r="C475" s="483" t="s">
        <v>1139</v>
      </c>
      <c r="D475" s="55" t="s">
        <v>91</v>
      </c>
      <c r="E475" s="56" t="s">
        <v>2636</v>
      </c>
      <c r="F475" s="56" t="s">
        <v>2796</v>
      </c>
      <c r="G475" s="441" t="s">
        <v>2768</v>
      </c>
      <c r="H475" s="71"/>
      <c r="I475" s="485"/>
      <c r="J475" s="487"/>
      <c r="K475" s="488"/>
    </row>
    <row r="476" spans="1:11" ht="90" x14ac:dyDescent="0.25">
      <c r="A476" s="480" t="s">
        <v>2779</v>
      </c>
      <c r="B476" s="481" t="s">
        <v>2779</v>
      </c>
      <c r="C476" s="483" t="s">
        <v>1139</v>
      </c>
      <c r="D476" s="55"/>
      <c r="E476" s="56" t="s">
        <v>2780</v>
      </c>
      <c r="F476" s="56"/>
      <c r="G476" s="56"/>
      <c r="H476" s="71" t="s">
        <v>2783</v>
      </c>
      <c r="I476" s="56"/>
      <c r="J476" s="57" t="s">
        <v>2781</v>
      </c>
      <c r="K476" s="45" t="s">
        <v>2782</v>
      </c>
    </row>
    <row r="477" spans="1:11" x14ac:dyDescent="0.25">
      <c r="A477" s="448" t="s">
        <v>2785</v>
      </c>
      <c r="B477" s="449" t="s">
        <v>2786</v>
      </c>
      <c r="C477" s="483" t="s">
        <v>1139</v>
      </c>
      <c r="D477" s="55" t="s">
        <v>91</v>
      </c>
      <c r="E477" s="496"/>
      <c r="F477" s="441"/>
      <c r="G477" s="496"/>
      <c r="H477" s="497"/>
      <c r="I477" s="496"/>
      <c r="J477" s="498"/>
      <c r="K477" s="442" t="s">
        <v>2788</v>
      </c>
    </row>
    <row r="478" spans="1:11" x14ac:dyDescent="0.25">
      <c r="A478" s="480" t="s">
        <v>2797</v>
      </c>
      <c r="B478" s="502"/>
      <c r="C478" s="483" t="s">
        <v>1139</v>
      </c>
      <c r="D478" s="495"/>
      <c r="E478" s="496"/>
      <c r="F478" s="441" t="s">
        <v>2796</v>
      </c>
      <c r="G478" s="441" t="s">
        <v>2797</v>
      </c>
      <c r="H478" s="497"/>
      <c r="I478" s="496"/>
      <c r="J478" s="498"/>
      <c r="K478" s="503"/>
    </row>
    <row r="479" spans="1:11" x14ac:dyDescent="0.25">
      <c r="A479" s="501" t="s">
        <v>2798</v>
      </c>
      <c r="B479" s="502"/>
      <c r="C479" s="483" t="s">
        <v>1139</v>
      </c>
      <c r="D479" s="495"/>
      <c r="E479" s="496"/>
      <c r="F479" s="441" t="s">
        <v>2796</v>
      </c>
      <c r="G479" s="441" t="s">
        <v>2798</v>
      </c>
      <c r="H479" s="497"/>
      <c r="I479" s="496"/>
      <c r="J479" s="498"/>
      <c r="K479" s="503"/>
    </row>
    <row r="480" spans="1:11" ht="45" x14ac:dyDescent="0.25">
      <c r="A480" s="507" t="s">
        <v>2816</v>
      </c>
      <c r="B480" s="508"/>
      <c r="C480" s="483" t="s">
        <v>1139</v>
      </c>
      <c r="D480" s="509"/>
      <c r="E480" s="441" t="s">
        <v>2817</v>
      </c>
      <c r="F480" s="510"/>
      <c r="G480" s="512" t="s">
        <v>2818</v>
      </c>
      <c r="H480" s="604" t="s">
        <v>2819</v>
      </c>
      <c r="I480" s="73"/>
      <c r="J480" s="511"/>
      <c r="K480" s="442" t="s">
        <v>2820</v>
      </c>
    </row>
    <row r="481" spans="1:11" ht="45" x14ac:dyDescent="0.25">
      <c r="A481" s="448" t="s">
        <v>2823</v>
      </c>
      <c r="B481" s="449" t="s">
        <v>2823</v>
      </c>
      <c r="C481" s="483" t="s">
        <v>1139</v>
      </c>
      <c r="D481" s="509"/>
      <c r="E481" s="441" t="s">
        <v>2824</v>
      </c>
      <c r="F481" s="510"/>
      <c r="G481" s="512" t="s">
        <v>2825</v>
      </c>
      <c r="H481" s="72"/>
      <c r="I481" s="73" t="s">
        <v>2826</v>
      </c>
      <c r="J481" s="511"/>
      <c r="K481" s="442" t="s">
        <v>2827</v>
      </c>
    </row>
    <row r="482" spans="1:11" ht="45" x14ac:dyDescent="0.25">
      <c r="A482" s="480" t="s">
        <v>2831</v>
      </c>
      <c r="B482" s="481" t="s">
        <v>2831</v>
      </c>
      <c r="C482" s="483" t="s">
        <v>1139</v>
      </c>
      <c r="D482" s="55"/>
      <c r="E482" s="56" t="s">
        <v>2832</v>
      </c>
      <c r="F482" s="56"/>
      <c r="G482" s="56"/>
      <c r="H482" s="604" t="s">
        <v>2908</v>
      </c>
      <c r="I482" s="56"/>
      <c r="J482" s="57"/>
      <c r="K482" s="45"/>
    </row>
    <row r="483" spans="1:11" ht="45" x14ac:dyDescent="0.25">
      <c r="A483" s="448" t="s">
        <v>2895</v>
      </c>
      <c r="B483" s="449" t="s">
        <v>2895</v>
      </c>
      <c r="C483" s="483" t="s">
        <v>1139</v>
      </c>
      <c r="D483" s="518"/>
      <c r="E483" s="441" t="s">
        <v>2896</v>
      </c>
      <c r="F483" s="519"/>
      <c r="G483" s="519"/>
      <c r="H483" s="730" t="s">
        <v>155</v>
      </c>
      <c r="I483" s="519"/>
      <c r="J483" s="450" t="s">
        <v>2898</v>
      </c>
      <c r="K483" s="442" t="s">
        <v>2897</v>
      </c>
    </row>
    <row r="484" spans="1:11" x14ac:dyDescent="0.25">
      <c r="A484" s="448" t="s">
        <v>2901</v>
      </c>
      <c r="B484" s="449" t="s">
        <v>2902</v>
      </c>
      <c r="C484" s="483" t="s">
        <v>1139</v>
      </c>
      <c r="D484" s="526" t="s">
        <v>91</v>
      </c>
      <c r="E484" s="519"/>
      <c r="F484" s="519"/>
      <c r="G484" s="519"/>
      <c r="H484" s="520"/>
      <c r="I484" s="519"/>
      <c r="J484" s="524"/>
      <c r="K484" s="525"/>
    </row>
    <row r="485" spans="1:11" ht="45" x14ac:dyDescent="0.25">
      <c r="A485" s="480" t="s">
        <v>2910</v>
      </c>
      <c r="B485" s="481"/>
      <c r="C485" s="482" t="s">
        <v>1141</v>
      </c>
      <c r="D485" s="55"/>
      <c r="E485" s="56"/>
      <c r="F485" s="56"/>
      <c r="G485" s="527" t="s">
        <v>3606</v>
      </c>
      <c r="H485" s="604" t="s">
        <v>3605</v>
      </c>
      <c r="I485" s="73"/>
      <c r="J485" s="57" t="s">
        <v>2913</v>
      </c>
      <c r="K485" s="45" t="s">
        <v>2912</v>
      </c>
    </row>
    <row r="486" spans="1:11" x14ac:dyDescent="0.25">
      <c r="A486" s="448" t="s">
        <v>2917</v>
      </c>
      <c r="B486" s="449" t="s">
        <v>2918</v>
      </c>
      <c r="C486" s="529" t="s">
        <v>1139</v>
      </c>
      <c r="D486" s="526" t="s">
        <v>91</v>
      </c>
      <c r="E486" s="519"/>
      <c r="F486" s="519"/>
      <c r="G486" s="519"/>
      <c r="H486" s="520"/>
      <c r="I486" s="519"/>
      <c r="J486" s="524"/>
      <c r="K486" s="525"/>
    </row>
    <row r="487" spans="1:11" ht="30" x14ac:dyDescent="0.25">
      <c r="A487" s="448" t="s">
        <v>2920</v>
      </c>
      <c r="B487" s="528"/>
      <c r="C487" s="529" t="s">
        <v>1139</v>
      </c>
      <c r="D487" s="518"/>
      <c r="E487" s="519"/>
      <c r="F487" s="519"/>
      <c r="G487" s="519"/>
      <c r="H487" s="520"/>
      <c r="I487" s="519"/>
      <c r="J487" s="524"/>
      <c r="K487" s="525"/>
    </row>
    <row r="488" spans="1:11" ht="30" x14ac:dyDescent="0.25">
      <c r="A488" s="448" t="s">
        <v>2920</v>
      </c>
      <c r="B488" s="528"/>
      <c r="C488" s="529" t="s">
        <v>1139</v>
      </c>
      <c r="D488" s="518"/>
      <c r="E488" s="519"/>
      <c r="F488" s="519"/>
      <c r="G488" s="519"/>
      <c r="H488" s="520"/>
      <c r="I488" s="519"/>
      <c r="J488" s="524"/>
      <c r="K488" s="525"/>
    </row>
    <row r="489" spans="1:11" x14ac:dyDescent="0.25">
      <c r="A489" s="523" t="s">
        <v>2926</v>
      </c>
      <c r="B489" s="449" t="s">
        <v>2927</v>
      </c>
      <c r="C489" s="529" t="s">
        <v>1139</v>
      </c>
      <c r="D489" s="526" t="s">
        <v>91</v>
      </c>
      <c r="E489" s="519"/>
      <c r="F489" s="519"/>
      <c r="G489" s="519"/>
      <c r="H489" s="520"/>
      <c r="I489" s="519"/>
      <c r="J489" s="524"/>
      <c r="K489" s="525"/>
    </row>
    <row r="490" spans="1:11" ht="30" x14ac:dyDescent="0.25">
      <c r="A490" s="480" t="s">
        <v>2929</v>
      </c>
      <c r="B490" s="481" t="s">
        <v>2931</v>
      </c>
      <c r="C490" s="531" t="s">
        <v>1139</v>
      </c>
      <c r="D490" s="55"/>
      <c r="E490" s="56" t="s">
        <v>2930</v>
      </c>
      <c r="F490" s="56"/>
      <c r="G490" s="56"/>
      <c r="H490" s="71"/>
      <c r="I490" s="56"/>
      <c r="J490" s="533">
        <v>4957976336</v>
      </c>
      <c r="K490" s="532" t="s">
        <v>2932</v>
      </c>
    </row>
    <row r="491" spans="1:11" ht="45" x14ac:dyDescent="0.25">
      <c r="A491" s="448" t="s">
        <v>3259</v>
      </c>
      <c r="B491" s="528"/>
      <c r="C491" s="531" t="s">
        <v>1139</v>
      </c>
      <c r="D491" s="518"/>
      <c r="E491" s="441" t="s">
        <v>2933</v>
      </c>
      <c r="F491" s="645" t="s">
        <v>3192</v>
      </c>
      <c r="G491" s="519"/>
      <c r="H491" s="604" t="s">
        <v>3191</v>
      </c>
      <c r="I491" s="73" t="s">
        <v>2934</v>
      </c>
      <c r="J491" s="533">
        <v>8126271434</v>
      </c>
      <c r="K491" s="532" t="s">
        <v>2934</v>
      </c>
    </row>
    <row r="492" spans="1:11" ht="75" x14ac:dyDescent="0.25">
      <c r="A492" s="448" t="s">
        <v>2964</v>
      </c>
      <c r="B492" s="528"/>
      <c r="C492" s="529" t="s">
        <v>1139</v>
      </c>
      <c r="D492" s="518"/>
      <c r="E492" s="56" t="s">
        <v>2965</v>
      </c>
      <c r="F492" s="56" t="s">
        <v>2966</v>
      </c>
      <c r="G492" s="519"/>
      <c r="H492" s="730" t="s">
        <v>3603</v>
      </c>
      <c r="I492" s="519"/>
      <c r="J492" s="57" t="s">
        <v>2967</v>
      </c>
      <c r="K492" s="45" t="s">
        <v>2968</v>
      </c>
    </row>
    <row r="493" spans="1:11" x14ac:dyDescent="0.25">
      <c r="A493" s="448" t="s">
        <v>3246</v>
      </c>
      <c r="B493" s="528"/>
      <c r="C493" s="529" t="s">
        <v>1139</v>
      </c>
      <c r="D493" s="518"/>
      <c r="E493" s="441" t="s">
        <v>977</v>
      </c>
      <c r="F493" s="519"/>
      <c r="G493" s="519"/>
      <c r="H493" s="520"/>
      <c r="I493" s="519"/>
      <c r="J493" s="524"/>
      <c r="K493" s="532" t="s">
        <v>2935</v>
      </c>
    </row>
    <row r="494" spans="1:11" x14ac:dyDescent="0.25">
      <c r="A494" s="448" t="s">
        <v>3252</v>
      </c>
      <c r="B494" s="449" t="s">
        <v>2936</v>
      </c>
      <c r="C494" s="529" t="s">
        <v>1141</v>
      </c>
      <c r="D494" s="518"/>
      <c r="E494" s="519"/>
      <c r="F494" s="519"/>
      <c r="G494" s="519"/>
      <c r="H494" s="520"/>
      <c r="I494" s="519"/>
      <c r="J494" s="524"/>
      <c r="K494" s="532" t="s">
        <v>944</v>
      </c>
    </row>
    <row r="495" spans="1:11" ht="30" x14ac:dyDescent="0.25">
      <c r="A495" s="448" t="s">
        <v>2938</v>
      </c>
      <c r="B495" s="528"/>
      <c r="C495" s="529" t="s">
        <v>1141</v>
      </c>
      <c r="D495" s="518"/>
      <c r="E495" s="441" t="s">
        <v>2941</v>
      </c>
      <c r="F495" s="519"/>
      <c r="G495" s="441" t="s">
        <v>2110</v>
      </c>
      <c r="H495" s="604" t="s">
        <v>2939</v>
      </c>
      <c r="I495" s="519"/>
      <c r="J495" s="533">
        <v>9055009910</v>
      </c>
      <c r="K495" s="532" t="s">
        <v>2940</v>
      </c>
    </row>
    <row r="496" spans="1:11" ht="60" x14ac:dyDescent="0.25">
      <c r="A496" s="587" t="s">
        <v>3867</v>
      </c>
      <c r="B496" s="528"/>
      <c r="C496" s="529" t="s">
        <v>1141</v>
      </c>
      <c r="D496" s="518"/>
      <c r="E496" s="519"/>
      <c r="F496" s="519"/>
      <c r="G496" s="441" t="s">
        <v>2985</v>
      </c>
      <c r="H496" s="604" t="s">
        <v>2983</v>
      </c>
      <c r="I496" s="519"/>
      <c r="J496" s="450" t="s">
        <v>2984</v>
      </c>
      <c r="K496" s="532" t="s">
        <v>2982</v>
      </c>
    </row>
    <row r="497" spans="1:11" x14ac:dyDescent="0.25">
      <c r="A497" s="448" t="s">
        <v>3245</v>
      </c>
      <c r="B497" s="528"/>
      <c r="C497" s="529" t="s">
        <v>1139</v>
      </c>
      <c r="D497" s="518"/>
      <c r="E497" s="519"/>
      <c r="F497" s="519"/>
      <c r="G497" s="519"/>
      <c r="H497" s="604" t="s">
        <v>2981</v>
      </c>
      <c r="I497" s="519"/>
      <c r="J497" s="450" t="s">
        <v>2980</v>
      </c>
      <c r="K497" s="532" t="s">
        <v>2979</v>
      </c>
    </row>
    <row r="498" spans="1:11" ht="45" x14ac:dyDescent="0.25">
      <c r="A498" s="534" t="s">
        <v>3244</v>
      </c>
      <c r="B498" s="481"/>
      <c r="C498" s="482" t="s">
        <v>1141</v>
      </c>
      <c r="D498" s="55"/>
      <c r="E498" s="535" t="s">
        <v>2950</v>
      </c>
      <c r="F498" s="535" t="s">
        <v>2951</v>
      </c>
      <c r="G498" s="535" t="s">
        <v>2952</v>
      </c>
      <c r="H498" s="536" t="s">
        <v>2953</v>
      </c>
      <c r="I498" s="537"/>
      <c r="J498" s="538" t="s">
        <v>2954</v>
      </c>
      <c r="K498" s="539" t="s">
        <v>2955</v>
      </c>
    </row>
    <row r="499" spans="1:11" ht="45" x14ac:dyDescent="0.25">
      <c r="A499" s="448" t="s">
        <v>2963</v>
      </c>
      <c r="B499" s="528" t="s">
        <v>2956</v>
      </c>
      <c r="C499" s="529" t="s">
        <v>1139</v>
      </c>
      <c r="D499" s="518"/>
      <c r="E499" s="56" t="s">
        <v>2957</v>
      </c>
      <c r="F499" s="56" t="s">
        <v>2958</v>
      </c>
      <c r="G499" s="56" t="s">
        <v>2959</v>
      </c>
      <c r="H499" s="604" t="s">
        <v>2960</v>
      </c>
      <c r="I499" s="519"/>
      <c r="J499" s="540" t="s">
        <v>2961</v>
      </c>
      <c r="K499" s="45" t="s">
        <v>2962</v>
      </c>
    </row>
    <row r="500" spans="1:11" x14ac:dyDescent="0.25">
      <c r="A500" s="523" t="s">
        <v>2969</v>
      </c>
      <c r="B500" s="449" t="s">
        <v>2970</v>
      </c>
      <c r="C500" s="529" t="s">
        <v>1139</v>
      </c>
      <c r="D500" s="518"/>
      <c r="E500" s="519"/>
      <c r="F500" s="519"/>
      <c r="G500" s="519"/>
      <c r="H500" s="520"/>
      <c r="I500" s="519"/>
      <c r="J500" s="524"/>
      <c r="K500" s="525"/>
    </row>
    <row r="501" spans="1:11" x14ac:dyDescent="0.25">
      <c r="A501" s="448" t="s">
        <v>3243</v>
      </c>
      <c r="B501" s="528"/>
      <c r="C501" s="529" t="s">
        <v>1141</v>
      </c>
      <c r="D501" s="518"/>
      <c r="E501" s="519"/>
      <c r="F501" s="519"/>
      <c r="G501" s="519"/>
      <c r="H501" s="604" t="s">
        <v>3009</v>
      </c>
      <c r="I501" s="73" t="s">
        <v>3008</v>
      </c>
      <c r="J501" s="524"/>
      <c r="K501" s="525"/>
    </row>
    <row r="502" spans="1:11" ht="30" x14ac:dyDescent="0.25">
      <c r="A502" s="480" t="s">
        <v>2971</v>
      </c>
      <c r="B502" s="481" t="s">
        <v>2972</v>
      </c>
      <c r="C502" s="482" t="s">
        <v>1141</v>
      </c>
      <c r="D502" s="55"/>
      <c r="E502" s="56" t="s">
        <v>2973</v>
      </c>
      <c r="F502" s="56"/>
      <c r="G502" s="56"/>
      <c r="H502" s="71"/>
      <c r="I502" s="56"/>
      <c r="J502" s="57"/>
      <c r="K502" s="45"/>
    </row>
    <row r="503" spans="1:11" x14ac:dyDescent="0.25">
      <c r="A503" s="523" t="s">
        <v>2986</v>
      </c>
      <c r="B503" s="449" t="s">
        <v>2987</v>
      </c>
      <c r="C503" s="529" t="s">
        <v>1141</v>
      </c>
      <c r="D503" s="518"/>
      <c r="E503" s="441" t="s">
        <v>20</v>
      </c>
      <c r="F503" s="519"/>
      <c r="G503" s="519"/>
      <c r="H503" s="520"/>
      <c r="I503" s="519"/>
      <c r="J503" s="524"/>
      <c r="K503" s="525"/>
    </row>
    <row r="504" spans="1:11" ht="30" x14ac:dyDescent="0.25">
      <c r="A504" s="587" t="s">
        <v>3251</v>
      </c>
      <c r="B504" s="528"/>
      <c r="C504" s="529" t="s">
        <v>1141</v>
      </c>
      <c r="D504" s="518"/>
      <c r="E504" s="441" t="s">
        <v>2989</v>
      </c>
      <c r="F504" s="519"/>
      <c r="G504" s="519"/>
      <c r="H504" s="520"/>
      <c r="I504" s="519"/>
      <c r="J504" s="524"/>
      <c r="K504" s="532" t="s">
        <v>2988</v>
      </c>
    </row>
    <row r="505" spans="1:11" x14ac:dyDescent="0.25">
      <c r="A505" s="541" t="s">
        <v>2990</v>
      </c>
      <c r="B505" s="528"/>
      <c r="C505" s="529" t="s">
        <v>1141</v>
      </c>
      <c r="D505" s="518"/>
      <c r="E505" s="519"/>
      <c r="F505" s="519"/>
      <c r="G505" s="519"/>
      <c r="H505" s="520"/>
      <c r="I505" s="519"/>
      <c r="J505" s="524"/>
      <c r="K505" s="525"/>
    </row>
    <row r="506" spans="1:11" ht="30" x14ac:dyDescent="0.25">
      <c r="A506" s="480" t="s">
        <v>2991</v>
      </c>
      <c r="B506" s="481" t="s">
        <v>2992</v>
      </c>
      <c r="C506" s="482" t="s">
        <v>1139</v>
      </c>
      <c r="D506" s="55"/>
      <c r="E506" s="56" t="s">
        <v>2993</v>
      </c>
      <c r="F506" s="56"/>
      <c r="G506" s="56"/>
      <c r="H506" s="71"/>
      <c r="I506" s="56"/>
      <c r="J506" s="57"/>
      <c r="K506" s="532" t="s">
        <v>2994</v>
      </c>
    </row>
    <row r="507" spans="1:11" ht="60" x14ac:dyDescent="0.25">
      <c r="A507" s="448" t="s">
        <v>2995</v>
      </c>
      <c r="B507" s="528"/>
      <c r="C507" s="529" t="s">
        <v>1139</v>
      </c>
      <c r="D507" s="518"/>
      <c r="E507" s="441" t="s">
        <v>1156</v>
      </c>
      <c r="F507" s="441" t="s">
        <v>2996</v>
      </c>
      <c r="G507" s="441" t="s">
        <v>1740</v>
      </c>
      <c r="H507" s="520"/>
      <c r="I507" s="519"/>
      <c r="J507" s="533">
        <v>9265417006</v>
      </c>
      <c r="K507" s="525"/>
    </row>
    <row r="508" spans="1:11" ht="30" x14ac:dyDescent="0.25">
      <c r="A508" s="448" t="s">
        <v>2998</v>
      </c>
      <c r="B508" s="528"/>
      <c r="C508" s="529" t="s">
        <v>1139</v>
      </c>
      <c r="D508" s="518"/>
      <c r="E508" s="441" t="s">
        <v>2999</v>
      </c>
      <c r="F508" s="519"/>
      <c r="G508" s="519"/>
      <c r="H508" s="604" t="s">
        <v>898</v>
      </c>
      <c r="I508" s="73" t="s">
        <v>3010</v>
      </c>
      <c r="J508" s="524"/>
      <c r="K508" s="532" t="s">
        <v>3000</v>
      </c>
    </row>
    <row r="509" spans="1:11" x14ac:dyDescent="0.25">
      <c r="A509" s="448" t="s">
        <v>3250</v>
      </c>
      <c r="B509" s="528"/>
      <c r="C509" s="542" t="s">
        <v>1141</v>
      </c>
      <c r="D509" s="518"/>
      <c r="E509" s="441" t="s">
        <v>40</v>
      </c>
      <c r="F509" s="519"/>
      <c r="G509" s="519"/>
      <c r="H509" s="520"/>
      <c r="I509" s="519"/>
      <c r="J509" s="524"/>
      <c r="K509" s="532" t="s">
        <v>3001</v>
      </c>
    </row>
    <row r="510" spans="1:11" x14ac:dyDescent="0.25">
      <c r="A510" s="448" t="s">
        <v>3002</v>
      </c>
      <c r="B510" s="528"/>
      <c r="C510" s="529" t="s">
        <v>1139</v>
      </c>
      <c r="D510" s="526" t="s">
        <v>91</v>
      </c>
      <c r="E510" s="519"/>
      <c r="F510" s="519"/>
      <c r="G510" s="519"/>
      <c r="H510" s="520"/>
      <c r="I510" s="519"/>
      <c r="J510" s="524"/>
      <c r="K510" s="525"/>
    </row>
    <row r="511" spans="1:11" x14ac:dyDescent="0.25">
      <c r="A511" s="523" t="s">
        <v>3003</v>
      </c>
      <c r="B511" s="528"/>
      <c r="C511" s="529" t="s">
        <v>1139</v>
      </c>
      <c r="D511" s="518"/>
      <c r="E511" s="441" t="s">
        <v>1386</v>
      </c>
      <c r="F511" s="519"/>
      <c r="G511" s="519"/>
      <c r="H511" s="520"/>
      <c r="I511" s="519"/>
      <c r="J511" s="524"/>
      <c r="K511" s="525"/>
    </row>
    <row r="512" spans="1:11" ht="30" x14ac:dyDescent="0.25">
      <c r="A512" s="523" t="s">
        <v>3004</v>
      </c>
      <c r="B512" s="528"/>
      <c r="C512" s="529" t="s">
        <v>1139</v>
      </c>
      <c r="D512" s="518"/>
      <c r="E512" s="441" t="s">
        <v>3005</v>
      </c>
      <c r="F512" s="441" t="s">
        <v>3006</v>
      </c>
      <c r="G512" s="519"/>
      <c r="H512" s="520"/>
      <c r="I512" s="519"/>
      <c r="J512" s="524"/>
      <c r="K512" s="525"/>
    </row>
    <row r="513" spans="1:11" x14ac:dyDescent="0.25">
      <c r="A513" s="448" t="s">
        <v>3242</v>
      </c>
      <c r="B513" s="528"/>
      <c r="C513" s="529" t="s">
        <v>1139</v>
      </c>
      <c r="D513" s="518"/>
      <c r="E513" s="441" t="s">
        <v>1386</v>
      </c>
      <c r="F513" s="441" t="s">
        <v>3007</v>
      </c>
      <c r="G513" s="519"/>
      <c r="H513" s="520"/>
      <c r="I513" s="519"/>
      <c r="J513" s="524"/>
      <c r="K513" s="525"/>
    </row>
    <row r="514" spans="1:11" x14ac:dyDescent="0.25">
      <c r="A514" s="523" t="s">
        <v>3014</v>
      </c>
      <c r="B514" s="528"/>
      <c r="C514" s="529" t="s">
        <v>1139</v>
      </c>
      <c r="D514" s="518"/>
      <c r="E514" s="519" t="s">
        <v>3015</v>
      </c>
      <c r="F514" s="519"/>
      <c r="G514" s="519"/>
      <c r="H514" s="520"/>
      <c r="I514" s="519"/>
      <c r="J514" s="533"/>
      <c r="K514" s="525"/>
    </row>
    <row r="515" spans="1:11" x14ac:dyDescent="0.25">
      <c r="A515" s="480" t="s">
        <v>3241</v>
      </c>
      <c r="B515" s="481"/>
      <c r="C515" s="482" t="s">
        <v>1139</v>
      </c>
      <c r="D515" s="55"/>
      <c r="E515" s="56"/>
      <c r="F515" s="56"/>
      <c r="G515" s="56"/>
      <c r="H515" s="71"/>
      <c r="I515" s="56"/>
      <c r="J515" s="57"/>
      <c r="K515" s="45"/>
    </row>
    <row r="516" spans="1:11" x14ac:dyDescent="0.25">
      <c r="A516" s="587" t="s">
        <v>3240</v>
      </c>
      <c r="B516" s="528"/>
      <c r="C516" s="529" t="s">
        <v>1141</v>
      </c>
      <c r="D516" s="518"/>
      <c r="E516" s="441" t="s">
        <v>3031</v>
      </c>
      <c r="F516" s="519"/>
      <c r="G516" s="519"/>
      <c r="H516" s="520"/>
      <c r="I516" s="73" t="s">
        <v>3032</v>
      </c>
      <c r="J516" s="524"/>
      <c r="K516" s="525"/>
    </row>
    <row r="517" spans="1:11" ht="30" x14ac:dyDescent="0.25">
      <c r="A517" s="587" t="s">
        <v>3239</v>
      </c>
      <c r="B517" s="528"/>
      <c r="C517" s="529" t="s">
        <v>1139</v>
      </c>
      <c r="D517" s="518"/>
      <c r="E517" s="441" t="s">
        <v>3035</v>
      </c>
      <c r="F517" s="441" t="s">
        <v>3033</v>
      </c>
      <c r="G517" s="519"/>
      <c r="H517" s="520"/>
      <c r="I517" s="73" t="s">
        <v>3034</v>
      </c>
      <c r="J517" s="524"/>
      <c r="K517" s="525"/>
    </row>
    <row r="518" spans="1:11" ht="60" x14ac:dyDescent="0.25">
      <c r="A518" s="587" t="s">
        <v>3238</v>
      </c>
      <c r="B518" s="528"/>
      <c r="C518" s="529" t="s">
        <v>1141</v>
      </c>
      <c r="D518" s="518"/>
      <c r="E518" s="441" t="s">
        <v>3036</v>
      </c>
      <c r="F518" s="441" t="s">
        <v>3038</v>
      </c>
      <c r="G518" s="519"/>
      <c r="H518" s="520"/>
      <c r="I518" s="73" t="s">
        <v>3037</v>
      </c>
      <c r="J518" s="524"/>
      <c r="K518" s="525"/>
    </row>
    <row r="519" spans="1:11" ht="45" x14ac:dyDescent="0.25">
      <c r="A519" s="480" t="s">
        <v>3039</v>
      </c>
      <c r="B519" s="481"/>
      <c r="C519" s="482" t="s">
        <v>1141</v>
      </c>
      <c r="D519" s="55"/>
      <c r="E519" s="56"/>
      <c r="F519" s="56" t="s">
        <v>3040</v>
      </c>
      <c r="G519" s="56"/>
      <c r="H519" s="71"/>
      <c r="I519" s="73" t="s">
        <v>3041</v>
      </c>
      <c r="J519" s="57"/>
      <c r="K519" s="45"/>
    </row>
    <row r="520" spans="1:11" ht="30" x14ac:dyDescent="0.25">
      <c r="A520" s="480" t="s">
        <v>3249</v>
      </c>
      <c r="B520" s="481" t="s">
        <v>3084</v>
      </c>
      <c r="C520" s="482" t="s">
        <v>1141</v>
      </c>
      <c r="D520" s="55"/>
      <c r="E520" s="56" t="s">
        <v>3085</v>
      </c>
      <c r="F520" s="56" t="s">
        <v>3086</v>
      </c>
      <c r="G520" s="56"/>
      <c r="H520" s="71"/>
      <c r="I520" s="56"/>
      <c r="J520" s="57"/>
      <c r="K520" s="45"/>
    </row>
    <row r="521" spans="1:11" ht="90" x14ac:dyDescent="0.25">
      <c r="A521" s="480" t="s">
        <v>3248</v>
      </c>
      <c r="B521" s="481"/>
      <c r="C521" s="482" t="s">
        <v>1141</v>
      </c>
      <c r="D521" s="55"/>
      <c r="E521" s="56" t="s">
        <v>3087</v>
      </c>
      <c r="F521" s="56" t="s">
        <v>3090</v>
      </c>
      <c r="G521" s="56"/>
      <c r="H521" s="604" t="s">
        <v>3171</v>
      </c>
      <c r="I521" s="73" t="s">
        <v>3088</v>
      </c>
      <c r="J521" s="57" t="s">
        <v>3089</v>
      </c>
      <c r="K521" s="45"/>
    </row>
    <row r="522" spans="1:11" ht="45" x14ac:dyDescent="0.25">
      <c r="A522" s="480" t="s">
        <v>3094</v>
      </c>
      <c r="B522" s="481" t="s">
        <v>263</v>
      </c>
      <c r="C522" s="482" t="s">
        <v>1139</v>
      </c>
      <c r="D522" s="55"/>
      <c r="E522" s="56" t="s">
        <v>3095</v>
      </c>
      <c r="F522" s="56" t="s">
        <v>3096</v>
      </c>
      <c r="G522" s="56"/>
      <c r="H522" s="71"/>
      <c r="I522" s="56"/>
      <c r="J522" s="57"/>
      <c r="K522" s="45"/>
    </row>
    <row r="523" spans="1:11" x14ac:dyDescent="0.25">
      <c r="A523" s="480" t="s">
        <v>3237</v>
      </c>
      <c r="B523" s="481" t="s">
        <v>3097</v>
      </c>
      <c r="C523" s="482" t="s">
        <v>1141</v>
      </c>
      <c r="D523" s="55"/>
      <c r="E523" s="56"/>
      <c r="F523" s="56"/>
      <c r="G523" s="56"/>
      <c r="H523" s="71" t="s">
        <v>3167</v>
      </c>
      <c r="I523" s="73" t="s">
        <v>3098</v>
      </c>
      <c r="J523" s="57"/>
      <c r="K523" s="45"/>
    </row>
    <row r="524" spans="1:11" x14ac:dyDescent="0.25">
      <c r="A524" s="480" t="s">
        <v>3236</v>
      </c>
      <c r="B524" s="481" t="s">
        <v>2093</v>
      </c>
      <c r="C524" s="482" t="s">
        <v>1141</v>
      </c>
      <c r="D524" s="55"/>
      <c r="E524" s="56"/>
      <c r="F524" s="56"/>
      <c r="G524" s="56"/>
      <c r="H524" s="71"/>
      <c r="I524" s="73" t="s">
        <v>3099</v>
      </c>
      <c r="J524" s="57"/>
      <c r="K524" s="45"/>
    </row>
    <row r="525" spans="1:11" x14ac:dyDescent="0.25">
      <c r="A525" s="587" t="s">
        <v>3235</v>
      </c>
      <c r="B525" s="449" t="s">
        <v>3104</v>
      </c>
      <c r="C525" s="482" t="s">
        <v>1141</v>
      </c>
      <c r="D525" s="570"/>
      <c r="E525" s="441" t="s">
        <v>3102</v>
      </c>
      <c r="F525" s="441" t="s">
        <v>3103</v>
      </c>
      <c r="G525" s="571"/>
      <c r="H525" s="572"/>
      <c r="I525" s="571"/>
      <c r="J525" s="573"/>
      <c r="K525" s="574"/>
    </row>
    <row r="526" spans="1:11" x14ac:dyDescent="0.25">
      <c r="A526" s="480" t="s">
        <v>3234</v>
      </c>
      <c r="B526" s="481" t="s">
        <v>137</v>
      </c>
      <c r="C526" s="482" t="s">
        <v>1141</v>
      </c>
      <c r="D526" s="55"/>
      <c r="E526" s="56" t="s">
        <v>138</v>
      </c>
      <c r="F526" s="56"/>
      <c r="G526" s="56"/>
      <c r="H526" s="71" t="s">
        <v>139</v>
      </c>
      <c r="I526" s="56" t="s">
        <v>136</v>
      </c>
      <c r="J526" s="57"/>
      <c r="K526" s="45"/>
    </row>
    <row r="527" spans="1:11" ht="30" x14ac:dyDescent="0.25">
      <c r="A527" s="448" t="s">
        <v>3510</v>
      </c>
      <c r="B527" s="641"/>
      <c r="C527" s="627" t="s">
        <v>1139</v>
      </c>
      <c r="D527" s="665" t="s">
        <v>3466</v>
      </c>
      <c r="E527" s="598"/>
      <c r="F527" s="598"/>
      <c r="G527" s="598"/>
      <c r="H527" s="599"/>
      <c r="I527" s="598"/>
      <c r="J527" s="606"/>
      <c r="K527" s="600"/>
    </row>
    <row r="528" spans="1:11" ht="45" x14ac:dyDescent="0.25">
      <c r="A528" s="587" t="s">
        <v>3233</v>
      </c>
      <c r="B528" s="449" t="s">
        <v>3106</v>
      </c>
      <c r="C528" s="482" t="s">
        <v>1141</v>
      </c>
      <c r="D528" s="576"/>
      <c r="E528" s="577"/>
      <c r="F528" s="581" t="s">
        <v>3108</v>
      </c>
      <c r="G528" s="577"/>
      <c r="H528" s="578"/>
      <c r="I528" s="73" t="s">
        <v>3107</v>
      </c>
      <c r="J528" s="579"/>
      <c r="K528" s="580"/>
    </row>
    <row r="529" spans="1:11" x14ac:dyDescent="0.25">
      <c r="A529" s="587" t="s">
        <v>3117</v>
      </c>
      <c r="B529" s="449" t="s">
        <v>3118</v>
      </c>
      <c r="C529" s="482" t="s">
        <v>1139</v>
      </c>
      <c r="D529" s="55" t="s">
        <v>91</v>
      </c>
      <c r="E529" s="588"/>
      <c r="F529" s="588"/>
      <c r="G529" s="588"/>
      <c r="H529" s="589"/>
      <c r="I529" s="588"/>
      <c r="J529" s="590"/>
      <c r="K529" s="591"/>
    </row>
    <row r="530" spans="1:11" ht="30" x14ac:dyDescent="0.25">
      <c r="A530" s="596" t="s">
        <v>3124</v>
      </c>
      <c r="B530" s="449" t="s">
        <v>3125</v>
      </c>
      <c r="C530" s="529" t="s">
        <v>1139</v>
      </c>
      <c r="D530" s="597"/>
      <c r="E530" s="441" t="s">
        <v>2896</v>
      </c>
      <c r="F530" s="581" t="s">
        <v>3127</v>
      </c>
      <c r="G530" s="598"/>
      <c r="H530" s="599"/>
      <c r="I530" s="73" t="s">
        <v>3126</v>
      </c>
      <c r="J530" s="533">
        <v>8129750802</v>
      </c>
      <c r="K530" s="600"/>
    </row>
    <row r="531" spans="1:11" ht="30" x14ac:dyDescent="0.25">
      <c r="A531" s="448" t="s">
        <v>3232</v>
      </c>
      <c r="B531" s="449" t="s">
        <v>3129</v>
      </c>
      <c r="C531" s="482" t="s">
        <v>1141</v>
      </c>
      <c r="D531" s="597"/>
      <c r="E531" s="581" t="s">
        <v>3130</v>
      </c>
      <c r="F531" s="581" t="s">
        <v>3169</v>
      </c>
      <c r="G531" s="598"/>
      <c r="H531" s="604" t="s">
        <v>3168</v>
      </c>
      <c r="I531" s="73" t="s">
        <v>3128</v>
      </c>
      <c r="J531" s="533"/>
      <c r="K531" s="600"/>
    </row>
    <row r="532" spans="1:11" ht="45" x14ac:dyDescent="0.25">
      <c r="A532" s="587" t="s">
        <v>3131</v>
      </c>
      <c r="B532" s="601"/>
      <c r="C532" s="602" t="s">
        <v>1139</v>
      </c>
      <c r="D532" s="603"/>
      <c r="E532" s="588" t="s">
        <v>3132</v>
      </c>
      <c r="F532" s="588" t="s">
        <v>3170</v>
      </c>
      <c r="G532" s="588"/>
      <c r="H532" s="589"/>
      <c r="I532" s="588"/>
      <c r="J532" s="533">
        <v>4952257550</v>
      </c>
      <c r="K532" s="591"/>
    </row>
    <row r="533" spans="1:11" x14ac:dyDescent="0.25">
      <c r="A533" s="587" t="s">
        <v>3134</v>
      </c>
      <c r="B533" s="601" t="s">
        <v>3133</v>
      </c>
      <c r="C533" s="602" t="s">
        <v>1139</v>
      </c>
      <c r="D533" s="603" t="s">
        <v>91</v>
      </c>
      <c r="E533" s="588"/>
      <c r="F533" s="588"/>
      <c r="G533" s="588"/>
      <c r="H533" s="589"/>
      <c r="I533" s="588"/>
      <c r="J533" s="590"/>
      <c r="K533" s="591"/>
    </row>
    <row r="534" spans="1:11" ht="30" x14ac:dyDescent="0.25">
      <c r="A534" s="448" t="s">
        <v>3247</v>
      </c>
      <c r="B534" s="449" t="s">
        <v>3135</v>
      </c>
      <c r="C534" s="602" t="s">
        <v>1139</v>
      </c>
      <c r="D534" s="597"/>
      <c r="E534" s="56" t="s">
        <v>1804</v>
      </c>
      <c r="F534" s="598"/>
      <c r="G534" s="598"/>
      <c r="H534" s="599"/>
      <c r="I534" s="73" t="s">
        <v>3136</v>
      </c>
      <c r="J534" s="606"/>
      <c r="K534" s="600"/>
    </row>
    <row r="535" spans="1:11" ht="30" x14ac:dyDescent="0.25">
      <c r="A535" s="587" t="s">
        <v>3139</v>
      </c>
      <c r="B535" s="601" t="s">
        <v>3138</v>
      </c>
      <c r="C535" s="531" t="s">
        <v>1139</v>
      </c>
      <c r="D535" s="603"/>
      <c r="E535" s="588" t="s">
        <v>20</v>
      </c>
      <c r="F535" s="588"/>
      <c r="G535" s="588"/>
      <c r="H535" s="589"/>
      <c r="I535" s="532" t="s">
        <v>3137</v>
      </c>
      <c r="J535" s="590"/>
      <c r="K535" s="600"/>
    </row>
    <row r="536" spans="1:11" ht="75" x14ac:dyDescent="0.25">
      <c r="A536" s="448" t="s">
        <v>3165</v>
      </c>
      <c r="B536" s="449" t="s">
        <v>3141</v>
      </c>
      <c r="C536" s="627" t="s">
        <v>1141</v>
      </c>
      <c r="D536" s="597"/>
      <c r="E536" s="581" t="s">
        <v>3142</v>
      </c>
      <c r="F536" s="598"/>
      <c r="G536" s="598"/>
      <c r="H536" s="604" t="s">
        <v>3143</v>
      </c>
      <c r="I536" s="73" t="s">
        <v>3144</v>
      </c>
      <c r="J536" s="533">
        <v>8126663636</v>
      </c>
      <c r="K536" s="600"/>
    </row>
    <row r="537" spans="1:11" x14ac:dyDescent="0.25">
      <c r="A537" s="448" t="s">
        <v>3145</v>
      </c>
      <c r="B537" s="449" t="s">
        <v>3146</v>
      </c>
      <c r="C537" s="627" t="s">
        <v>1139</v>
      </c>
      <c r="D537" s="597"/>
      <c r="E537" s="581" t="s">
        <v>3147</v>
      </c>
      <c r="F537" s="598"/>
      <c r="G537" s="598"/>
      <c r="H537" s="604" t="s">
        <v>3148</v>
      </c>
      <c r="I537" s="73" t="s">
        <v>3149</v>
      </c>
      <c r="J537" s="533">
        <v>9164902519</v>
      </c>
      <c r="K537" s="600"/>
    </row>
    <row r="538" spans="1:11" x14ac:dyDescent="0.25">
      <c r="A538" s="448" t="s">
        <v>3164</v>
      </c>
      <c r="B538" s="449" t="s">
        <v>3152</v>
      </c>
      <c r="C538" s="627" t="s">
        <v>1139</v>
      </c>
      <c r="D538" s="597"/>
      <c r="E538" s="581" t="s">
        <v>3153</v>
      </c>
      <c r="F538" s="598"/>
      <c r="G538" s="598"/>
      <c r="H538" s="599"/>
      <c r="I538" s="598"/>
      <c r="J538" s="606"/>
      <c r="K538" s="600"/>
    </row>
    <row r="539" spans="1:11" x14ac:dyDescent="0.25">
      <c r="A539" s="448" t="s">
        <v>3179</v>
      </c>
      <c r="B539" s="449" t="s">
        <v>3156</v>
      </c>
      <c r="C539" s="627" t="s">
        <v>1139</v>
      </c>
      <c r="D539" s="597" t="s">
        <v>91</v>
      </c>
      <c r="E539" s="598"/>
      <c r="F539" s="598"/>
      <c r="G539" s="598"/>
      <c r="H539" s="599"/>
      <c r="I539" s="598"/>
      <c r="J539" s="606"/>
      <c r="K539" s="600"/>
    </row>
    <row r="540" spans="1:11" ht="30" x14ac:dyDescent="0.25">
      <c r="A540" s="448" t="s">
        <v>3161</v>
      </c>
      <c r="B540" s="449" t="s">
        <v>3159</v>
      </c>
      <c r="C540" s="627" t="s">
        <v>1141</v>
      </c>
      <c r="D540" s="597"/>
      <c r="E540" s="441" t="s">
        <v>2941</v>
      </c>
      <c r="F540" s="581" t="s">
        <v>3160</v>
      </c>
      <c r="G540" s="441" t="s">
        <v>2110</v>
      </c>
      <c r="H540" s="604" t="s">
        <v>2939</v>
      </c>
      <c r="I540" s="598"/>
      <c r="J540" s="533">
        <v>9055009910</v>
      </c>
      <c r="K540" s="532" t="s">
        <v>2940</v>
      </c>
    </row>
    <row r="541" spans="1:11" ht="30" x14ac:dyDescent="0.25">
      <c r="A541" s="587" t="s">
        <v>3162</v>
      </c>
      <c r="B541" s="641"/>
      <c r="C541" s="627" t="s">
        <v>1139</v>
      </c>
      <c r="D541" s="597"/>
      <c r="E541" s="581" t="s">
        <v>3163</v>
      </c>
      <c r="F541" s="598"/>
      <c r="G541" s="598"/>
      <c r="H541" s="599"/>
      <c r="I541" s="598"/>
      <c r="J541" s="606"/>
      <c r="K541" s="600"/>
    </row>
    <row r="542" spans="1:11" x14ac:dyDescent="0.25">
      <c r="A542" s="600" t="s">
        <v>3175</v>
      </c>
      <c r="B542" s="642" t="s">
        <v>3218</v>
      </c>
      <c r="C542" s="643" t="s">
        <v>1139</v>
      </c>
      <c r="D542" s="597" t="s">
        <v>91</v>
      </c>
      <c r="E542" s="598"/>
      <c r="F542" s="598"/>
      <c r="G542" s="598"/>
      <c r="H542" s="599"/>
      <c r="I542" s="598"/>
      <c r="J542" s="606"/>
      <c r="K542" s="600"/>
    </row>
    <row r="543" spans="1:11" ht="60" x14ac:dyDescent="0.25">
      <c r="A543" s="448" t="s">
        <v>3180</v>
      </c>
      <c r="B543" s="449" t="s">
        <v>2676</v>
      </c>
      <c r="C543" s="542" t="s">
        <v>1139</v>
      </c>
      <c r="D543" s="597"/>
      <c r="E543" s="598"/>
      <c r="F543" s="598"/>
      <c r="G543" s="598"/>
      <c r="H543" s="599"/>
      <c r="I543" s="598"/>
      <c r="J543" s="606"/>
      <c r="K543" s="600"/>
    </row>
    <row r="544" spans="1:11" ht="120" x14ac:dyDescent="0.25">
      <c r="A544" s="448" t="s">
        <v>3904</v>
      </c>
      <c r="B544" s="449" t="s">
        <v>3181</v>
      </c>
      <c r="C544" s="627" t="s">
        <v>1139</v>
      </c>
      <c r="D544" s="597"/>
      <c r="E544" s="581" t="s">
        <v>3182</v>
      </c>
      <c r="F544" s="598"/>
      <c r="G544" s="598"/>
      <c r="H544" s="599"/>
      <c r="I544" s="598"/>
      <c r="J544" s="606"/>
      <c r="K544" s="600"/>
    </row>
    <row r="545" spans="1:11" ht="30" x14ac:dyDescent="0.25">
      <c r="A545" s="448" t="s">
        <v>3183</v>
      </c>
      <c r="B545" s="449" t="s">
        <v>3184</v>
      </c>
      <c r="C545" s="627" t="s">
        <v>1139</v>
      </c>
      <c r="D545" s="597"/>
      <c r="E545" s="581" t="s">
        <v>3185</v>
      </c>
      <c r="F545" s="581" t="s">
        <v>3190</v>
      </c>
      <c r="G545" s="581" t="s">
        <v>3189</v>
      </c>
      <c r="H545" s="604" t="s">
        <v>3187</v>
      </c>
      <c r="I545" s="73" t="s">
        <v>3188</v>
      </c>
      <c r="J545" s="644" t="s">
        <v>3186</v>
      </c>
      <c r="K545" s="600"/>
    </row>
    <row r="546" spans="1:11" ht="75" x14ac:dyDescent="0.25">
      <c r="A546" s="448" t="s">
        <v>3197</v>
      </c>
      <c r="B546" s="449" t="s">
        <v>3198</v>
      </c>
      <c r="C546" s="627" t="s">
        <v>1141</v>
      </c>
      <c r="D546" s="597"/>
      <c r="E546" s="581" t="s">
        <v>982</v>
      </c>
      <c r="F546" s="581" t="s">
        <v>3370</v>
      </c>
      <c r="G546" s="581" t="s">
        <v>3201</v>
      </c>
      <c r="H546" s="604" t="s">
        <v>984</v>
      </c>
      <c r="I546" s="73" t="s">
        <v>985</v>
      </c>
      <c r="J546" s="644" t="s">
        <v>3195</v>
      </c>
      <c r="K546" s="650" t="s">
        <v>3196</v>
      </c>
    </row>
    <row r="547" spans="1:11" ht="45" x14ac:dyDescent="0.25">
      <c r="A547" s="596" t="s">
        <v>3199</v>
      </c>
      <c r="B547" s="449" t="s">
        <v>3200</v>
      </c>
      <c r="C547" s="627" t="s">
        <v>1141</v>
      </c>
      <c r="D547" s="597"/>
      <c r="E547" s="581" t="s">
        <v>3202</v>
      </c>
      <c r="F547" s="598"/>
      <c r="G547" s="598"/>
      <c r="H547" s="599"/>
      <c r="I547" s="73" t="s">
        <v>3204</v>
      </c>
      <c r="J547" s="644" t="s">
        <v>3203</v>
      </c>
      <c r="K547" s="600"/>
    </row>
    <row r="548" spans="1:11" ht="45" x14ac:dyDescent="0.25">
      <c r="A548" s="596" t="s">
        <v>3205</v>
      </c>
      <c r="B548" s="449" t="s">
        <v>3206</v>
      </c>
      <c r="C548" s="627" t="s">
        <v>1141</v>
      </c>
      <c r="D548" s="597"/>
      <c r="E548" s="581" t="s">
        <v>3207</v>
      </c>
      <c r="F548" s="598"/>
      <c r="G548" s="598"/>
      <c r="H548" s="604" t="s">
        <v>3231</v>
      </c>
      <c r="I548" s="73" t="s">
        <v>3208</v>
      </c>
      <c r="J548" s="644" t="s">
        <v>3230</v>
      </c>
      <c r="K548" s="650" t="s">
        <v>3209</v>
      </c>
    </row>
    <row r="549" spans="1:11" x14ac:dyDescent="0.25">
      <c r="A549" s="596" t="s">
        <v>3210</v>
      </c>
      <c r="B549" s="449" t="s">
        <v>3211</v>
      </c>
      <c r="C549" s="627" t="s">
        <v>1141</v>
      </c>
      <c r="D549" s="597"/>
      <c r="E549" s="581"/>
      <c r="F549" s="598"/>
      <c r="G549" s="598"/>
      <c r="H549" s="604" t="s">
        <v>3519</v>
      </c>
      <c r="I549" s="598"/>
      <c r="J549" s="606"/>
      <c r="K549" s="600"/>
    </row>
    <row r="550" spans="1:11" x14ac:dyDescent="0.25">
      <c r="A550" s="596" t="s">
        <v>3213</v>
      </c>
      <c r="B550" s="449" t="s">
        <v>3214</v>
      </c>
      <c r="C550" s="627" t="s">
        <v>1139</v>
      </c>
      <c r="D550" s="603" t="s">
        <v>91</v>
      </c>
      <c r="E550" s="598"/>
      <c r="F550" s="598"/>
      <c r="G550" s="598"/>
      <c r="H550" s="599"/>
      <c r="I550" s="598"/>
      <c r="J550" s="606"/>
      <c r="K550" s="600"/>
    </row>
    <row r="551" spans="1:11" ht="30" x14ac:dyDescent="0.25">
      <c r="A551" s="596" t="s">
        <v>3219</v>
      </c>
      <c r="B551" s="154" t="s">
        <v>1179</v>
      </c>
      <c r="C551" s="627" t="s">
        <v>1141</v>
      </c>
      <c r="D551" s="597"/>
      <c r="E551" s="138" t="s">
        <v>1180</v>
      </c>
      <c r="F551" s="581" t="s">
        <v>3220</v>
      </c>
      <c r="G551" s="598"/>
      <c r="H551" s="152" t="s">
        <v>1181</v>
      </c>
      <c r="I551" s="138" t="s">
        <v>1182</v>
      </c>
      <c r="J551" s="153" t="s">
        <v>1183</v>
      </c>
      <c r="K551" s="640" t="s">
        <v>3221</v>
      </c>
    </row>
    <row r="552" spans="1:11" ht="30" x14ac:dyDescent="0.25">
      <c r="A552" s="596" t="s">
        <v>3223</v>
      </c>
      <c r="B552" s="449" t="s">
        <v>3224</v>
      </c>
      <c r="C552" s="627" t="s">
        <v>1141</v>
      </c>
      <c r="D552" s="597"/>
      <c r="E552" s="581" t="s">
        <v>3225</v>
      </c>
      <c r="F552" s="581" t="s">
        <v>3226</v>
      </c>
      <c r="G552" s="598"/>
      <c r="H552" s="604" t="s">
        <v>3229</v>
      </c>
      <c r="I552" s="73"/>
      <c r="J552" s="606" t="s">
        <v>3228</v>
      </c>
      <c r="K552" s="650" t="s">
        <v>3227</v>
      </c>
    </row>
    <row r="553" spans="1:11" ht="30" x14ac:dyDescent="0.25">
      <c r="A553" s="596" t="s">
        <v>3457</v>
      </c>
      <c r="B553" s="449" t="s">
        <v>3458</v>
      </c>
      <c r="C553" s="627" t="s">
        <v>1141</v>
      </c>
      <c r="D553" s="665" t="s">
        <v>40</v>
      </c>
      <c r="E553" s="598"/>
      <c r="F553" s="598"/>
      <c r="G553" s="598"/>
      <c r="H553" s="604" t="s">
        <v>3459</v>
      </c>
      <c r="I553" s="598"/>
      <c r="J553" s="644" t="s">
        <v>3461</v>
      </c>
      <c r="K553" s="650" t="s">
        <v>3460</v>
      </c>
    </row>
    <row r="554" spans="1:11" ht="45" x14ac:dyDescent="0.25">
      <c r="A554" s="448" t="s">
        <v>3462</v>
      </c>
      <c r="B554" s="641"/>
      <c r="C554" s="627" t="s">
        <v>1141</v>
      </c>
      <c r="D554" s="597"/>
      <c r="E554" s="598"/>
      <c r="F554" s="598"/>
      <c r="G554" s="598"/>
      <c r="H554" s="604" t="s">
        <v>3464</v>
      </c>
      <c r="I554" s="598"/>
      <c r="J554" s="644" t="s">
        <v>3465</v>
      </c>
      <c r="K554" s="650" t="s">
        <v>3463</v>
      </c>
    </row>
    <row r="555" spans="1:11" ht="105" x14ac:dyDescent="0.25">
      <c r="A555" s="480" t="s">
        <v>3827</v>
      </c>
      <c r="B555" s="481" t="s">
        <v>263</v>
      </c>
      <c r="C555" s="482" t="s">
        <v>1139</v>
      </c>
      <c r="D555" s="55"/>
      <c r="E555" s="56"/>
      <c r="F555" s="56"/>
      <c r="G555" s="56"/>
      <c r="H555" s="71"/>
      <c r="I555" s="56"/>
      <c r="J555" s="57"/>
      <c r="K555" s="45"/>
    </row>
    <row r="556" spans="1:11" ht="45" x14ac:dyDescent="0.25">
      <c r="A556" s="587" t="s">
        <v>3826</v>
      </c>
      <c r="B556" s="641"/>
      <c r="C556" s="627" t="s">
        <v>1139</v>
      </c>
      <c r="D556" s="665" t="s">
        <v>3466</v>
      </c>
      <c r="E556" s="598"/>
      <c r="F556" s="598"/>
      <c r="G556" s="598"/>
      <c r="H556" s="599"/>
      <c r="I556" s="598"/>
      <c r="J556" s="606"/>
      <c r="K556" s="600"/>
    </row>
    <row r="557" spans="1:11" ht="30" x14ac:dyDescent="0.25">
      <c r="A557" s="448" t="s">
        <v>3469</v>
      </c>
      <c r="B557" s="449" t="s">
        <v>41</v>
      </c>
      <c r="C557" s="627" t="s">
        <v>1141</v>
      </c>
      <c r="D557" s="597"/>
      <c r="E557" s="598"/>
      <c r="F557" s="598"/>
      <c r="G557" s="598"/>
      <c r="H557" s="599"/>
      <c r="I557" s="598"/>
      <c r="J557" s="644" t="s">
        <v>3471</v>
      </c>
      <c r="K557" s="650" t="s">
        <v>3470</v>
      </c>
    </row>
    <row r="558" spans="1:11" ht="30" x14ac:dyDescent="0.25">
      <c r="A558" s="448" t="s">
        <v>3473</v>
      </c>
      <c r="B558" s="449" t="s">
        <v>3472</v>
      </c>
      <c r="C558" s="627" t="s">
        <v>1141</v>
      </c>
      <c r="D558" s="597"/>
      <c r="E558" s="598"/>
      <c r="F558" s="598"/>
      <c r="G558" s="598"/>
      <c r="H558" s="604" t="s">
        <v>3521</v>
      </c>
      <c r="I558" s="598"/>
      <c r="J558" s="606"/>
      <c r="K558" s="600"/>
    </row>
    <row r="559" spans="1:11" ht="30" x14ac:dyDescent="0.25">
      <c r="A559" s="448" t="s">
        <v>3474</v>
      </c>
      <c r="B559" s="449" t="s">
        <v>3472</v>
      </c>
      <c r="C559" s="627" t="s">
        <v>1139</v>
      </c>
      <c r="D559" s="597"/>
      <c r="E559" s="598"/>
      <c r="F559" s="598"/>
      <c r="G559" s="598"/>
      <c r="H559" s="604" t="s">
        <v>3521</v>
      </c>
      <c r="I559" s="598"/>
      <c r="J559" s="606"/>
      <c r="K559" s="600"/>
    </row>
    <row r="560" spans="1:11" x14ac:dyDescent="0.25">
      <c r="A560" s="596" t="s">
        <v>3475</v>
      </c>
      <c r="B560" s="641"/>
      <c r="C560" s="627" t="s">
        <v>1141</v>
      </c>
      <c r="D560" s="597"/>
      <c r="E560" s="598"/>
      <c r="F560" s="598"/>
      <c r="G560" s="598"/>
      <c r="H560" s="599"/>
      <c r="I560" s="598"/>
      <c r="J560" s="606"/>
      <c r="K560" s="600"/>
    </row>
    <row r="561" spans="1:11" x14ac:dyDescent="0.25">
      <c r="A561" s="596" t="s">
        <v>3476</v>
      </c>
      <c r="B561" s="449" t="s">
        <v>3477</v>
      </c>
      <c r="C561" s="627" t="s">
        <v>1139</v>
      </c>
      <c r="D561" s="597"/>
      <c r="E561" s="598"/>
      <c r="F561" s="598"/>
      <c r="G561" s="598"/>
      <c r="H561" s="604" t="s">
        <v>3520</v>
      </c>
      <c r="I561" s="598"/>
      <c r="J561" s="606"/>
      <c r="K561" s="600"/>
    </row>
    <row r="562" spans="1:11" ht="30" x14ac:dyDescent="0.25">
      <c r="A562" s="596" t="s">
        <v>3495</v>
      </c>
      <c r="B562" s="641"/>
      <c r="C562" s="627" t="s">
        <v>1141</v>
      </c>
      <c r="D562" s="597"/>
      <c r="E562" s="598"/>
      <c r="F562" s="598"/>
      <c r="G562" s="598"/>
      <c r="H562" s="599"/>
      <c r="I562" s="598"/>
      <c r="J562" s="606"/>
      <c r="K562" s="600"/>
    </row>
    <row r="563" spans="1:11" x14ac:dyDescent="0.25">
      <c r="A563" s="596" t="s">
        <v>3496</v>
      </c>
      <c r="B563" s="449" t="s">
        <v>3497</v>
      </c>
      <c r="C563" s="627" t="s">
        <v>1141</v>
      </c>
      <c r="D563" s="597"/>
      <c r="E563" s="598"/>
      <c r="F563" s="598"/>
      <c r="G563" s="598"/>
      <c r="H563" s="599"/>
      <c r="I563" s="598"/>
      <c r="J563" s="606"/>
      <c r="K563" s="600"/>
    </row>
    <row r="564" spans="1:11" x14ac:dyDescent="0.25">
      <c r="A564" s="596" t="s">
        <v>3499</v>
      </c>
      <c r="B564" s="641"/>
      <c r="C564" s="627" t="s">
        <v>1141</v>
      </c>
      <c r="D564" s="597"/>
      <c r="E564" s="598"/>
      <c r="F564" s="598"/>
      <c r="G564" s="598"/>
      <c r="H564" s="599"/>
      <c r="I564" s="598"/>
      <c r="J564" s="606"/>
      <c r="K564" s="600"/>
    </row>
    <row r="565" spans="1:11" x14ac:dyDescent="0.25">
      <c r="A565" s="596" t="s">
        <v>3500</v>
      </c>
      <c r="B565" s="641"/>
      <c r="C565" s="627" t="s">
        <v>1139</v>
      </c>
      <c r="D565" s="597"/>
      <c r="E565" s="581" t="s">
        <v>3501</v>
      </c>
      <c r="F565" s="598"/>
      <c r="G565" s="598"/>
      <c r="H565" s="599"/>
      <c r="I565" s="598"/>
      <c r="J565" s="606"/>
      <c r="K565" s="600"/>
    </row>
    <row r="566" spans="1:11" x14ac:dyDescent="0.25">
      <c r="A566" s="587" t="s">
        <v>3502</v>
      </c>
      <c r="B566" s="601" t="s">
        <v>489</v>
      </c>
      <c r="C566" s="602" t="s">
        <v>1141</v>
      </c>
      <c r="D566" s="603"/>
      <c r="E566" s="588" t="s">
        <v>3503</v>
      </c>
      <c r="F566" s="588"/>
      <c r="G566" s="588"/>
      <c r="H566" s="589"/>
      <c r="I566" s="588"/>
      <c r="J566" s="590"/>
      <c r="K566" s="591"/>
    </row>
    <row r="567" spans="1:11" ht="30" x14ac:dyDescent="0.25">
      <c r="A567" s="596" t="s">
        <v>3504</v>
      </c>
      <c r="B567" s="641"/>
      <c r="C567" s="602" t="s">
        <v>1141</v>
      </c>
      <c r="D567" s="597"/>
      <c r="E567" s="581" t="s">
        <v>3505</v>
      </c>
      <c r="F567" s="598"/>
      <c r="G567" s="598"/>
      <c r="H567" s="599"/>
      <c r="I567" s="598"/>
      <c r="J567" s="606"/>
      <c r="K567" s="600"/>
    </row>
    <row r="568" spans="1:11" ht="30" x14ac:dyDescent="0.25">
      <c r="A568" s="448" t="s">
        <v>3506</v>
      </c>
      <c r="B568" s="641"/>
      <c r="C568" s="627" t="s">
        <v>1139</v>
      </c>
      <c r="D568" s="597"/>
      <c r="E568" s="581" t="s">
        <v>3524</v>
      </c>
      <c r="F568" s="598"/>
      <c r="G568" s="598"/>
      <c r="H568" s="599"/>
      <c r="I568" s="598"/>
      <c r="J568" s="606"/>
      <c r="K568" s="600"/>
    </row>
    <row r="569" spans="1:11" x14ac:dyDescent="0.25">
      <c r="A569" s="448" t="s">
        <v>3512</v>
      </c>
      <c r="B569" s="641"/>
      <c r="C569" s="627" t="s">
        <v>1141</v>
      </c>
      <c r="D569" s="597"/>
      <c r="E569" s="581" t="s">
        <v>3513</v>
      </c>
      <c r="F569" s="598"/>
      <c r="G569" s="598"/>
      <c r="H569" s="599"/>
      <c r="I569" s="598"/>
      <c r="J569" s="606"/>
      <c r="K569" s="600"/>
    </row>
    <row r="570" spans="1:11" x14ac:dyDescent="0.25">
      <c r="A570" s="448" t="s">
        <v>3515</v>
      </c>
      <c r="B570" s="641"/>
      <c r="C570" s="627" t="s">
        <v>1139</v>
      </c>
      <c r="D570" s="597"/>
      <c r="E570" s="581" t="s">
        <v>3516</v>
      </c>
      <c r="F570" s="598"/>
      <c r="G570" s="598"/>
      <c r="H570" s="599"/>
      <c r="I570" s="598"/>
      <c r="J570" s="606"/>
      <c r="K570" s="600"/>
    </row>
    <row r="571" spans="1:11" x14ac:dyDescent="0.25">
      <c r="A571" s="596" t="s">
        <v>3517</v>
      </c>
      <c r="B571" s="641"/>
      <c r="C571" s="627" t="s">
        <v>1141</v>
      </c>
      <c r="D571" s="597"/>
      <c r="E571" s="598"/>
      <c r="F571" s="598"/>
      <c r="G571" s="598"/>
      <c r="H571" s="599"/>
      <c r="I571" s="598"/>
      <c r="J571" s="606"/>
      <c r="K571" s="600"/>
    </row>
    <row r="572" spans="1:11" x14ac:dyDescent="0.25">
      <c r="A572" s="596" t="s">
        <v>3522</v>
      </c>
      <c r="B572" s="641"/>
      <c r="C572" s="627" t="s">
        <v>1141</v>
      </c>
      <c r="D572" s="597"/>
      <c r="E572" s="598"/>
      <c r="F572" s="598"/>
      <c r="G572" s="598"/>
      <c r="H572" s="599"/>
      <c r="I572" s="598"/>
      <c r="J572" s="606"/>
      <c r="K572" s="600"/>
    </row>
    <row r="573" spans="1:11" ht="30" x14ac:dyDescent="0.25">
      <c r="A573" s="448" t="s">
        <v>3529</v>
      </c>
      <c r="B573" s="641"/>
      <c r="C573" s="627" t="s">
        <v>1141</v>
      </c>
      <c r="D573" s="597"/>
      <c r="E573" s="581" t="s">
        <v>3528</v>
      </c>
      <c r="F573" s="598"/>
      <c r="G573" s="598"/>
      <c r="H573" s="599"/>
      <c r="I573" s="598"/>
      <c r="J573" s="606"/>
      <c r="K573" s="600"/>
    </row>
    <row r="574" spans="1:11" x14ac:dyDescent="0.25">
      <c r="A574" s="448" t="s">
        <v>3531</v>
      </c>
      <c r="B574" s="449" t="s">
        <v>2722</v>
      </c>
      <c r="C574" s="627" t="s">
        <v>1139</v>
      </c>
      <c r="D574" s="665" t="s">
        <v>91</v>
      </c>
      <c r="E574" s="598"/>
      <c r="F574" s="598"/>
      <c r="G574" s="598"/>
      <c r="H574" s="599"/>
      <c r="I574" s="598"/>
      <c r="J574" s="606"/>
      <c r="K574" s="600"/>
    </row>
    <row r="575" spans="1:11" x14ac:dyDescent="0.25">
      <c r="A575" s="698" t="s">
        <v>3534</v>
      </c>
      <c r="B575" s="449" t="s">
        <v>3535</v>
      </c>
      <c r="C575" s="627" t="s">
        <v>1139</v>
      </c>
      <c r="D575" s="701"/>
      <c r="E575" s="581" t="s">
        <v>3536</v>
      </c>
      <c r="F575" s="702"/>
      <c r="G575" s="702"/>
      <c r="H575" s="703"/>
      <c r="I575" s="702"/>
      <c r="J575" s="704"/>
      <c r="K575" s="705"/>
    </row>
    <row r="576" spans="1:11" x14ac:dyDescent="0.25">
      <c r="A576" s="448" t="s">
        <v>3539</v>
      </c>
      <c r="B576" s="449" t="s">
        <v>3537</v>
      </c>
      <c r="C576" s="700" t="s">
        <v>1141</v>
      </c>
      <c r="D576" s="701"/>
      <c r="E576" s="581" t="s">
        <v>3538</v>
      </c>
      <c r="F576" s="702"/>
      <c r="G576" s="702"/>
      <c r="H576" s="703"/>
      <c r="I576" s="702"/>
      <c r="J576" s="704"/>
      <c r="K576" s="705"/>
    </row>
    <row r="577" spans="1:11" x14ac:dyDescent="0.25">
      <c r="A577" s="698" t="s">
        <v>3540</v>
      </c>
      <c r="B577" s="699"/>
      <c r="C577" s="700" t="s">
        <v>1141</v>
      </c>
      <c r="D577" s="701"/>
      <c r="E577" s="702"/>
      <c r="F577" s="702"/>
      <c r="G577" s="702"/>
      <c r="H577" s="703"/>
      <c r="I577" s="702"/>
      <c r="J577" s="704"/>
      <c r="K577" s="705"/>
    </row>
    <row r="578" spans="1:11" x14ac:dyDescent="0.25">
      <c r="A578" s="709" t="s">
        <v>3544</v>
      </c>
      <c r="B578" s="710" t="s">
        <v>3545</v>
      </c>
      <c r="C578" s="711" t="s">
        <v>1139</v>
      </c>
      <c r="D578" s="712"/>
      <c r="E578" s="713"/>
      <c r="F578" s="713"/>
      <c r="G578" s="713"/>
      <c r="H578" s="714"/>
      <c r="I578" s="713"/>
      <c r="J578" s="715"/>
      <c r="K578" s="716"/>
    </row>
    <row r="579" spans="1:11" x14ac:dyDescent="0.25">
      <c r="A579" s="709" t="s">
        <v>3551</v>
      </c>
      <c r="B579" s="710"/>
      <c r="C579" s="711" t="s">
        <v>1141</v>
      </c>
      <c r="D579" s="712"/>
      <c r="E579" s="713"/>
      <c r="F579" s="713"/>
      <c r="G579" s="713"/>
      <c r="H579" s="714"/>
      <c r="I579" s="713"/>
      <c r="J579" s="715"/>
      <c r="K579" s="716"/>
    </row>
    <row r="580" spans="1:11" ht="30" x14ac:dyDescent="0.25">
      <c r="A580" s="448" t="s">
        <v>3553</v>
      </c>
      <c r="B580" s="449" t="s">
        <v>3554</v>
      </c>
      <c r="C580" s="711" t="s">
        <v>1139</v>
      </c>
      <c r="D580" s="712"/>
      <c r="E580" s="713"/>
      <c r="F580" s="713"/>
      <c r="G580" s="713"/>
      <c r="H580" s="714"/>
      <c r="I580" s="713"/>
      <c r="J580" s="715"/>
      <c r="K580" s="716"/>
    </row>
    <row r="581" spans="1:11" ht="30" x14ac:dyDescent="0.25">
      <c r="A581" s="448" t="s">
        <v>3556</v>
      </c>
      <c r="B581" s="449" t="s">
        <v>3555</v>
      </c>
      <c r="C581" s="711" t="s">
        <v>1141</v>
      </c>
      <c r="D581" s="722"/>
      <c r="E581" s="723"/>
      <c r="F581" s="723"/>
      <c r="G581" s="723"/>
      <c r="H581" s="724"/>
      <c r="I581" s="723"/>
      <c r="J581" s="725"/>
      <c r="K581" s="726"/>
    </row>
    <row r="582" spans="1:11" x14ac:dyDescent="0.25">
      <c r="A582" s="448" t="s">
        <v>3557</v>
      </c>
      <c r="B582" s="720"/>
      <c r="C582" s="721" t="s">
        <v>1139</v>
      </c>
      <c r="D582" s="722"/>
      <c r="E582" s="723"/>
      <c r="F582" s="723"/>
      <c r="G582" s="723"/>
      <c r="H582" s="604" t="s">
        <v>3682</v>
      </c>
      <c r="I582" s="723"/>
      <c r="J582" s="725"/>
      <c r="K582" s="726"/>
    </row>
    <row r="583" spans="1:11" x14ac:dyDescent="0.25">
      <c r="A583" s="448" t="s">
        <v>3560</v>
      </c>
      <c r="B583" s="449" t="s">
        <v>3561</v>
      </c>
      <c r="C583" s="711" t="s">
        <v>1141</v>
      </c>
      <c r="D583" s="722"/>
      <c r="E583" s="723"/>
      <c r="F583" s="723"/>
      <c r="G583" s="723"/>
      <c r="H583" s="724"/>
      <c r="I583" s="723"/>
      <c r="J583" s="725"/>
      <c r="K583" s="726"/>
    </row>
    <row r="584" spans="1:11" x14ac:dyDescent="0.25">
      <c r="A584" s="727" t="s">
        <v>3565</v>
      </c>
      <c r="B584" s="720"/>
      <c r="C584" s="721" t="s">
        <v>1139</v>
      </c>
      <c r="D584" s="722"/>
      <c r="E584" s="723"/>
      <c r="F584" s="723"/>
      <c r="G584" s="723"/>
      <c r="H584" s="724"/>
      <c r="I584" s="723"/>
      <c r="J584" s="725"/>
      <c r="K584" s="726"/>
    </row>
    <row r="585" spans="1:11" x14ac:dyDescent="0.25">
      <c r="A585" s="727" t="s">
        <v>3566</v>
      </c>
      <c r="B585" s="720"/>
      <c r="C585" s="721" t="s">
        <v>1139</v>
      </c>
      <c r="D585" s="722"/>
      <c r="E585" s="581" t="s">
        <v>3567</v>
      </c>
      <c r="F585" s="723"/>
      <c r="G585" s="723"/>
      <c r="H585" s="724"/>
      <c r="I585" s="723"/>
      <c r="J585" s="725"/>
      <c r="K585" s="726"/>
    </row>
    <row r="586" spans="1:11" x14ac:dyDescent="0.25">
      <c r="A586" s="727" t="s">
        <v>3568</v>
      </c>
      <c r="B586" s="720"/>
      <c r="C586" s="721" t="s">
        <v>1139</v>
      </c>
      <c r="D586" s="722"/>
      <c r="E586" s="581" t="s">
        <v>3569</v>
      </c>
      <c r="F586" s="723"/>
      <c r="G586" s="723"/>
      <c r="H586" s="724"/>
      <c r="I586" s="723"/>
      <c r="J586" s="725"/>
      <c r="K586" s="726"/>
    </row>
    <row r="587" spans="1:11" x14ac:dyDescent="0.25">
      <c r="A587" s="727" t="s">
        <v>3570</v>
      </c>
      <c r="B587" s="720"/>
      <c r="C587" s="721" t="s">
        <v>1139</v>
      </c>
      <c r="D587" s="722"/>
      <c r="E587" s="581" t="s">
        <v>3571</v>
      </c>
      <c r="F587" s="723"/>
      <c r="G587" s="723"/>
      <c r="H587" s="724"/>
      <c r="I587" s="723"/>
      <c r="J587" s="725"/>
      <c r="K587" s="726"/>
    </row>
    <row r="588" spans="1:11" x14ac:dyDescent="0.25">
      <c r="A588" s="727" t="s">
        <v>3572</v>
      </c>
      <c r="B588" s="720"/>
      <c r="C588" s="721" t="s">
        <v>1139</v>
      </c>
      <c r="D588" s="722"/>
      <c r="E588" s="723"/>
      <c r="F588" s="723"/>
      <c r="G588" s="723"/>
      <c r="H588" s="731" t="s">
        <v>3602</v>
      </c>
      <c r="I588" s="723"/>
      <c r="J588" s="725"/>
      <c r="K588" s="726"/>
    </row>
    <row r="589" spans="1:11" x14ac:dyDescent="0.25">
      <c r="A589" s="727" t="s">
        <v>3573</v>
      </c>
      <c r="B589" s="449" t="s">
        <v>41</v>
      </c>
      <c r="C589" s="721" t="s">
        <v>1141</v>
      </c>
      <c r="D589" s="722"/>
      <c r="E589" s="581" t="s">
        <v>3574</v>
      </c>
      <c r="F589" s="723"/>
      <c r="G589" s="723"/>
      <c r="H589" s="604" t="s">
        <v>3604</v>
      </c>
      <c r="I589" s="723"/>
      <c r="J589" s="725"/>
      <c r="K589" s="726"/>
    </row>
    <row r="590" spans="1:11" x14ac:dyDescent="0.25">
      <c r="A590" s="727" t="s">
        <v>3575</v>
      </c>
      <c r="B590" s="720"/>
      <c r="C590" s="721" t="s">
        <v>1139</v>
      </c>
      <c r="D590" s="722"/>
      <c r="E590" s="723"/>
      <c r="F590" s="723"/>
      <c r="G590" s="723"/>
      <c r="H590" s="724"/>
      <c r="I590" s="723"/>
      <c r="J590" s="725"/>
      <c r="K590" s="726"/>
    </row>
    <row r="591" spans="1:11" ht="75" x14ac:dyDescent="0.25">
      <c r="A591" s="727" t="s">
        <v>3584</v>
      </c>
      <c r="B591" s="720"/>
      <c r="C591" s="721" t="s">
        <v>1139</v>
      </c>
      <c r="D591" s="722"/>
      <c r="E591" s="581" t="s">
        <v>3585</v>
      </c>
      <c r="F591" s="723"/>
      <c r="G591" s="723"/>
      <c r="H591" s="724"/>
      <c r="I591" s="723"/>
      <c r="J591" s="725"/>
      <c r="K591" s="726"/>
    </row>
    <row r="592" spans="1:11" ht="30" x14ac:dyDescent="0.25">
      <c r="A592" s="727" t="s">
        <v>3586</v>
      </c>
      <c r="B592" s="449" t="s">
        <v>3587</v>
      </c>
      <c r="C592" s="721" t="s">
        <v>1139</v>
      </c>
      <c r="D592" s="722"/>
      <c r="E592" s="581" t="s">
        <v>3588</v>
      </c>
      <c r="F592" s="723"/>
      <c r="G592" s="723"/>
      <c r="H592" s="724"/>
      <c r="I592" s="723"/>
      <c r="J592" s="725"/>
      <c r="K592" s="726"/>
    </row>
    <row r="593" spans="1:11" x14ac:dyDescent="0.25">
      <c r="A593" s="727" t="s">
        <v>3594</v>
      </c>
      <c r="B593" s="720"/>
      <c r="C593" s="721" t="s">
        <v>1139</v>
      </c>
      <c r="D593" s="722"/>
      <c r="E593" s="723"/>
      <c r="F593" s="723"/>
      <c r="G593" s="723"/>
      <c r="H593" s="724"/>
      <c r="I593" s="723"/>
      <c r="J593" s="725"/>
      <c r="K593" s="726"/>
    </row>
    <row r="594" spans="1:11" x14ac:dyDescent="0.25">
      <c r="A594" s="727" t="s">
        <v>3595</v>
      </c>
      <c r="B594" s="720"/>
      <c r="C594" s="721" t="s">
        <v>1141</v>
      </c>
      <c r="D594" s="722"/>
      <c r="E594" s="723"/>
      <c r="F594" s="723"/>
      <c r="G594" s="723"/>
      <c r="H594" s="724"/>
      <c r="I594" s="723"/>
      <c r="J594" s="725"/>
      <c r="K594" s="726"/>
    </row>
    <row r="595" spans="1:11" x14ac:dyDescent="0.25">
      <c r="A595" s="587" t="s">
        <v>3596</v>
      </c>
      <c r="B595" s="601"/>
      <c r="C595" s="602" t="s">
        <v>1139</v>
      </c>
      <c r="D595" s="603"/>
      <c r="E595" s="588"/>
      <c r="F595" s="588"/>
      <c r="G595" s="588"/>
      <c r="H595" s="589"/>
      <c r="I595" s="588"/>
      <c r="J595" s="590"/>
      <c r="K595" s="591"/>
    </row>
    <row r="596" spans="1:11" x14ac:dyDescent="0.25">
      <c r="A596" s="727" t="s">
        <v>3597</v>
      </c>
      <c r="B596" s="720"/>
      <c r="C596" s="721" t="s">
        <v>1141</v>
      </c>
      <c r="D596" s="722"/>
      <c r="E596" s="581" t="s">
        <v>3598</v>
      </c>
      <c r="F596" s="723"/>
      <c r="G596" s="723"/>
      <c r="H596" s="724"/>
      <c r="I596" s="723"/>
      <c r="J596" s="725"/>
      <c r="K596" s="726"/>
    </row>
    <row r="597" spans="1:11" x14ac:dyDescent="0.25">
      <c r="A597" s="727" t="s">
        <v>3599</v>
      </c>
      <c r="B597" s="720"/>
      <c r="C597" s="721" t="s">
        <v>1141</v>
      </c>
      <c r="D597" s="722"/>
      <c r="E597" s="723"/>
      <c r="F597" s="723"/>
      <c r="G597" s="723"/>
      <c r="H597" s="724"/>
      <c r="I597" s="723"/>
      <c r="J597" s="725"/>
      <c r="K597" s="726"/>
    </row>
    <row r="598" spans="1:11" x14ac:dyDescent="0.25">
      <c r="A598" s="727" t="s">
        <v>3600</v>
      </c>
      <c r="B598" s="720"/>
      <c r="C598" s="721" t="s">
        <v>1141</v>
      </c>
      <c r="D598" s="722"/>
      <c r="E598" s="723"/>
      <c r="F598" s="723"/>
      <c r="G598" s="723"/>
      <c r="H598" s="724"/>
      <c r="I598" s="723"/>
      <c r="J598" s="725"/>
      <c r="K598" s="726"/>
    </row>
    <row r="599" spans="1:11" ht="30" x14ac:dyDescent="0.25">
      <c r="A599" s="727" t="s">
        <v>3607</v>
      </c>
      <c r="B599" s="720"/>
      <c r="C599" s="721" t="s">
        <v>1141</v>
      </c>
      <c r="D599" s="722"/>
      <c r="E599" s="723"/>
      <c r="F599" s="723"/>
      <c r="G599" s="723"/>
      <c r="H599" s="724"/>
      <c r="I599" s="723"/>
      <c r="J599" s="725"/>
      <c r="K599" s="726"/>
    </row>
    <row r="600" spans="1:11" x14ac:dyDescent="0.25">
      <c r="A600" s="727" t="s">
        <v>3608</v>
      </c>
      <c r="B600" s="720"/>
      <c r="C600" s="721" t="s">
        <v>1141</v>
      </c>
      <c r="D600" s="722"/>
      <c r="E600" s="723"/>
      <c r="F600" s="723"/>
      <c r="G600" s="723"/>
      <c r="H600" s="724"/>
      <c r="I600" s="723"/>
      <c r="J600" s="725"/>
      <c r="K600" s="726"/>
    </row>
    <row r="601" spans="1:11" x14ac:dyDescent="0.25">
      <c r="A601" s="727" t="s">
        <v>3609</v>
      </c>
      <c r="B601" s="720"/>
      <c r="C601" s="721" t="s">
        <v>1141</v>
      </c>
      <c r="D601" s="722"/>
      <c r="E601" s="723"/>
      <c r="F601" s="723"/>
      <c r="G601" s="723"/>
      <c r="H601" s="724"/>
      <c r="I601" s="723"/>
      <c r="J601" s="725"/>
      <c r="K601" s="726"/>
    </row>
    <row r="602" spans="1:11" x14ac:dyDescent="0.25">
      <c r="A602" s="727" t="s">
        <v>3610</v>
      </c>
      <c r="B602" s="720"/>
      <c r="C602" s="721" t="s">
        <v>1139</v>
      </c>
      <c r="D602" s="722"/>
      <c r="E602" s="723"/>
      <c r="F602" s="723"/>
      <c r="G602" s="723"/>
      <c r="H602" s="724"/>
      <c r="I602" s="723"/>
      <c r="J602" s="725"/>
      <c r="K602" s="726"/>
    </row>
    <row r="603" spans="1:11" x14ac:dyDescent="0.25">
      <c r="A603" s="727" t="s">
        <v>3611</v>
      </c>
      <c r="B603" s="720"/>
      <c r="C603" s="721" t="s">
        <v>1141</v>
      </c>
      <c r="D603" s="722"/>
      <c r="E603" s="723"/>
      <c r="F603" s="723"/>
      <c r="G603" s="723"/>
      <c r="H603" s="724"/>
      <c r="I603" s="723"/>
      <c r="J603" s="725"/>
      <c r="K603" s="726"/>
    </row>
    <row r="604" spans="1:11" x14ac:dyDescent="0.25">
      <c r="A604" s="727" t="s">
        <v>3612</v>
      </c>
      <c r="B604" s="720"/>
      <c r="C604" s="721" t="s">
        <v>1139</v>
      </c>
      <c r="D604" s="722"/>
      <c r="E604" s="723"/>
      <c r="F604" s="723"/>
      <c r="G604" s="723"/>
      <c r="H604" s="724"/>
      <c r="I604" s="723"/>
      <c r="J604" s="725"/>
      <c r="K604" s="726"/>
    </row>
    <row r="605" spans="1:11" x14ac:dyDescent="0.25">
      <c r="A605" s="727" t="s">
        <v>3616</v>
      </c>
      <c r="B605" s="720"/>
      <c r="C605" s="721" t="s">
        <v>1139</v>
      </c>
      <c r="D605" s="722"/>
      <c r="E605" s="723"/>
      <c r="F605" s="723"/>
      <c r="G605" s="723"/>
      <c r="H605" s="724"/>
      <c r="I605" s="723"/>
      <c r="J605" s="725"/>
      <c r="K605" s="726"/>
    </row>
    <row r="606" spans="1:11" ht="30" x14ac:dyDescent="0.25">
      <c r="A606" s="448" t="s">
        <v>3620</v>
      </c>
      <c r="B606" s="720"/>
      <c r="C606" s="721" t="s">
        <v>1141</v>
      </c>
      <c r="D606" s="722"/>
      <c r="E606" s="723"/>
      <c r="F606" s="723"/>
      <c r="G606" s="723"/>
      <c r="H606" s="724"/>
      <c r="I606" s="723"/>
      <c r="J606" s="725"/>
      <c r="K606" s="726"/>
    </row>
    <row r="607" spans="1:11" x14ac:dyDescent="0.25">
      <c r="A607" s="727" t="s">
        <v>3627</v>
      </c>
      <c r="B607" s="720"/>
      <c r="C607" s="721" t="s">
        <v>1139</v>
      </c>
      <c r="D607" s="722"/>
      <c r="E607" s="581" t="s">
        <v>3628</v>
      </c>
      <c r="F607" s="723"/>
      <c r="G607" s="723"/>
      <c r="H607" s="724"/>
      <c r="I607" s="723"/>
      <c r="J607" s="725"/>
      <c r="K607" s="726"/>
    </row>
    <row r="608" spans="1:11" x14ac:dyDescent="0.25">
      <c r="A608" s="727" t="s">
        <v>3629</v>
      </c>
      <c r="B608" s="720"/>
      <c r="C608" s="721" t="s">
        <v>1139</v>
      </c>
      <c r="D608" s="722"/>
      <c r="E608" s="723"/>
      <c r="F608" s="723"/>
      <c r="G608" s="723"/>
      <c r="H608" s="724"/>
      <c r="I608" s="723"/>
      <c r="J608" s="725"/>
      <c r="K608" s="726"/>
    </row>
    <row r="609" spans="1:11" x14ac:dyDescent="0.25">
      <c r="A609" s="727" t="s">
        <v>3643</v>
      </c>
      <c r="B609" s="720"/>
      <c r="C609" s="721" t="s">
        <v>1141</v>
      </c>
      <c r="D609" s="722"/>
      <c r="E609" s="723"/>
      <c r="F609" s="723"/>
      <c r="G609" s="723"/>
      <c r="H609" s="724"/>
      <c r="I609" s="723"/>
      <c r="J609" s="725"/>
      <c r="K609" s="726"/>
    </row>
    <row r="610" spans="1:11" x14ac:dyDescent="0.25">
      <c r="A610" s="448" t="s">
        <v>3644</v>
      </c>
      <c r="B610" s="720"/>
      <c r="C610" s="721" t="s">
        <v>1141</v>
      </c>
      <c r="D610" s="722"/>
      <c r="E610" s="723"/>
      <c r="F610" s="723"/>
      <c r="G610" s="723"/>
      <c r="H610" s="724"/>
      <c r="I610" s="723"/>
      <c r="J610" s="725"/>
      <c r="K610" s="726"/>
    </row>
    <row r="611" spans="1:11" x14ac:dyDescent="0.25">
      <c r="A611" s="727" t="s">
        <v>3645</v>
      </c>
      <c r="B611" s="720"/>
      <c r="C611" s="721" t="s">
        <v>1141</v>
      </c>
      <c r="D611" s="722"/>
      <c r="E611" s="723"/>
      <c r="F611" s="723"/>
      <c r="G611" s="723"/>
      <c r="H611" s="724"/>
      <c r="I611" s="723"/>
      <c r="J611" s="725"/>
      <c r="K611" s="726"/>
    </row>
    <row r="612" spans="1:11" x14ac:dyDescent="0.25">
      <c r="A612" s="727" t="s">
        <v>3646</v>
      </c>
      <c r="B612" s="720"/>
      <c r="C612" s="721" t="s">
        <v>1141</v>
      </c>
      <c r="D612" s="722"/>
      <c r="E612" s="723"/>
      <c r="F612" s="723"/>
      <c r="G612" s="723"/>
      <c r="H612" s="604" t="s">
        <v>3680</v>
      </c>
      <c r="I612" s="723"/>
      <c r="J612" s="725"/>
      <c r="K612" s="726"/>
    </row>
    <row r="613" spans="1:11" x14ac:dyDescent="0.25">
      <c r="A613" s="727" t="s">
        <v>3647</v>
      </c>
      <c r="B613" s="720"/>
      <c r="C613" s="721" t="s">
        <v>1141</v>
      </c>
      <c r="D613" s="722"/>
      <c r="E613" s="723"/>
      <c r="F613" s="723"/>
      <c r="G613" s="723"/>
      <c r="H613" s="724"/>
      <c r="I613" s="723"/>
      <c r="J613" s="725"/>
      <c r="K613" s="726"/>
    </row>
    <row r="614" spans="1:11" x14ac:dyDescent="0.25">
      <c r="A614" s="727" t="s">
        <v>3648</v>
      </c>
      <c r="B614" s="720"/>
      <c r="C614" s="721" t="s">
        <v>1141</v>
      </c>
      <c r="D614" s="722"/>
      <c r="E614" s="723"/>
      <c r="F614" s="723"/>
      <c r="G614" s="723"/>
      <c r="H614" s="724"/>
      <c r="I614" s="723"/>
      <c r="J614" s="725"/>
      <c r="K614" s="726"/>
    </row>
    <row r="615" spans="1:11" x14ac:dyDescent="0.25">
      <c r="A615" s="727" t="s">
        <v>3649</v>
      </c>
      <c r="B615" s="720"/>
      <c r="C615" s="721" t="s">
        <v>1141</v>
      </c>
      <c r="D615" s="722"/>
      <c r="E615" s="723"/>
      <c r="F615" s="723"/>
      <c r="G615" s="723"/>
      <c r="H615" s="724"/>
      <c r="I615" s="723"/>
      <c r="J615" s="725"/>
      <c r="K615" s="726"/>
    </row>
    <row r="616" spans="1:11" x14ac:dyDescent="0.25">
      <c r="A616" s="448" t="s">
        <v>3652</v>
      </c>
      <c r="B616" s="449" t="s">
        <v>3653</v>
      </c>
      <c r="C616" s="721" t="s">
        <v>1139</v>
      </c>
      <c r="D616" s="597" t="s">
        <v>91</v>
      </c>
      <c r="E616" s="723"/>
      <c r="F616" s="723"/>
      <c r="G616" s="723"/>
      <c r="H616" s="724"/>
      <c r="I616" s="723"/>
      <c r="J616" s="725"/>
      <c r="K616" s="726"/>
    </row>
    <row r="617" spans="1:11" x14ac:dyDescent="0.25">
      <c r="A617" s="587" t="s">
        <v>3654</v>
      </c>
      <c r="B617" s="601"/>
      <c r="C617" s="721" t="s">
        <v>1139</v>
      </c>
      <c r="D617" s="603"/>
      <c r="E617" s="588"/>
      <c r="F617" s="588"/>
      <c r="G617" s="588"/>
      <c r="H617" s="589"/>
      <c r="I617" s="588"/>
      <c r="J617" s="590"/>
      <c r="K617" s="591"/>
    </row>
    <row r="618" spans="1:11" x14ac:dyDescent="0.25">
      <c r="A618" s="727" t="s">
        <v>3655</v>
      </c>
      <c r="B618" s="720"/>
      <c r="C618" s="721" t="s">
        <v>1141</v>
      </c>
      <c r="D618" s="722"/>
      <c r="E618" s="723"/>
      <c r="F618" s="723"/>
      <c r="G618" s="723"/>
      <c r="H618" s="724"/>
      <c r="I618" s="723"/>
      <c r="J618" s="725"/>
      <c r="K618" s="726"/>
    </row>
    <row r="619" spans="1:11" x14ac:dyDescent="0.25">
      <c r="A619" s="727" t="s">
        <v>3656</v>
      </c>
      <c r="B619" s="720"/>
      <c r="C619" s="721" t="s">
        <v>1141</v>
      </c>
      <c r="D619" s="722"/>
      <c r="E619" s="723"/>
      <c r="F619" s="723"/>
      <c r="G619" s="723"/>
      <c r="H619" s="724"/>
      <c r="I619" s="723"/>
      <c r="J619" s="725"/>
      <c r="K619" s="726"/>
    </row>
    <row r="620" spans="1:11" x14ac:dyDescent="0.25">
      <c r="A620" s="727" t="s">
        <v>3657</v>
      </c>
      <c r="B620" s="720"/>
      <c r="C620" s="721" t="s">
        <v>1139</v>
      </c>
      <c r="D620" s="722"/>
      <c r="E620" s="723"/>
      <c r="F620" s="723"/>
      <c r="G620" s="723"/>
      <c r="H620" s="724"/>
      <c r="I620" s="723"/>
      <c r="J620" s="725"/>
      <c r="K620" s="726"/>
    </row>
    <row r="621" spans="1:11" x14ac:dyDescent="0.25">
      <c r="A621" s="727" t="s">
        <v>3658</v>
      </c>
      <c r="B621" s="720"/>
      <c r="C621" s="721" t="s">
        <v>1141</v>
      </c>
      <c r="D621" s="722"/>
      <c r="E621" s="723"/>
      <c r="F621" s="723"/>
      <c r="G621" s="723"/>
      <c r="H621" s="724"/>
      <c r="I621" s="723"/>
      <c r="J621" s="725"/>
      <c r="K621" s="726"/>
    </row>
    <row r="622" spans="1:11" x14ac:dyDescent="0.25">
      <c r="A622" s="727" t="s">
        <v>3668</v>
      </c>
      <c r="B622" s="720"/>
      <c r="C622" s="721" t="s">
        <v>1141</v>
      </c>
      <c r="D622" s="722"/>
      <c r="E622" s="723"/>
      <c r="F622" s="723"/>
      <c r="G622" s="723"/>
      <c r="H622" s="724"/>
      <c r="I622" s="723"/>
      <c r="J622" s="725"/>
      <c r="K622" s="726"/>
    </row>
    <row r="623" spans="1:11" x14ac:dyDescent="0.25">
      <c r="A623" s="727" t="s">
        <v>3669</v>
      </c>
      <c r="B623" s="720"/>
      <c r="C623" s="721" t="s">
        <v>1141</v>
      </c>
      <c r="D623" s="722"/>
      <c r="E623" s="723"/>
      <c r="F623" s="723"/>
      <c r="G623" s="723"/>
      <c r="H623" s="604" t="s">
        <v>3796</v>
      </c>
      <c r="I623" s="723"/>
      <c r="J623" s="725"/>
      <c r="K623" s="726"/>
    </row>
    <row r="624" spans="1:11" x14ac:dyDescent="0.25">
      <c r="A624" s="727" t="s">
        <v>3670</v>
      </c>
      <c r="B624" s="720"/>
      <c r="C624" s="721" t="s">
        <v>1141</v>
      </c>
      <c r="D624" s="722"/>
      <c r="E624" s="723"/>
      <c r="F624" s="723"/>
      <c r="G624" s="723"/>
      <c r="H624" s="724"/>
      <c r="I624" s="723"/>
      <c r="J624" s="725"/>
      <c r="K624" s="726"/>
    </row>
    <row r="625" spans="1:11" x14ac:dyDescent="0.25">
      <c r="A625" s="727" t="s">
        <v>3671</v>
      </c>
      <c r="B625" s="720"/>
      <c r="C625" s="721" t="s">
        <v>1141</v>
      </c>
      <c r="D625" s="722"/>
      <c r="E625" s="723"/>
      <c r="F625" s="723"/>
      <c r="G625" s="723"/>
      <c r="H625" s="604" t="s">
        <v>3803</v>
      </c>
      <c r="I625" s="723"/>
      <c r="J625" s="725"/>
      <c r="K625" s="726"/>
    </row>
    <row r="626" spans="1:11" x14ac:dyDescent="0.25">
      <c r="A626" s="587" t="s">
        <v>3675</v>
      </c>
      <c r="B626" s="601" t="s">
        <v>3676</v>
      </c>
      <c r="C626" s="602" t="s">
        <v>1139</v>
      </c>
      <c r="D626" s="597" t="s">
        <v>91</v>
      </c>
      <c r="E626" s="588"/>
      <c r="F626" s="588"/>
      <c r="G626" s="588"/>
      <c r="H626" s="589"/>
      <c r="I626" s="588"/>
      <c r="J626" s="590"/>
      <c r="K626" s="591"/>
    </row>
    <row r="627" spans="1:11" x14ac:dyDescent="0.25">
      <c r="A627" s="727" t="s">
        <v>3677</v>
      </c>
      <c r="B627" s="720"/>
      <c r="C627" s="721" t="s">
        <v>1141</v>
      </c>
      <c r="D627" s="722"/>
      <c r="E627" s="723"/>
      <c r="F627" s="723"/>
      <c r="G627" s="723"/>
      <c r="H627" s="724"/>
      <c r="I627" s="723"/>
      <c r="J627" s="725"/>
      <c r="K627" s="726"/>
    </row>
    <row r="628" spans="1:11" x14ac:dyDescent="0.25">
      <c r="A628" s="727" t="s">
        <v>3299</v>
      </c>
      <c r="B628" s="720"/>
      <c r="C628" s="721" t="s">
        <v>1141</v>
      </c>
      <c r="D628" s="722"/>
      <c r="E628" s="723"/>
      <c r="F628" s="723"/>
      <c r="G628" s="723"/>
      <c r="H628" s="724"/>
      <c r="I628" s="723"/>
      <c r="J628" s="725"/>
      <c r="K628" s="726"/>
    </row>
    <row r="629" spans="1:11" x14ac:dyDescent="0.25">
      <c r="A629" s="727" t="s">
        <v>3678</v>
      </c>
      <c r="B629" s="720"/>
      <c r="C629" s="721" t="s">
        <v>1139</v>
      </c>
      <c r="D629" s="722"/>
      <c r="E629" s="723"/>
      <c r="F629" s="723"/>
      <c r="G629" s="723"/>
      <c r="H629" s="724"/>
      <c r="I629" s="723"/>
      <c r="J629" s="725"/>
      <c r="K629" s="726"/>
    </row>
    <row r="630" spans="1:11" x14ac:dyDescent="0.25">
      <c r="A630" s="727" t="s">
        <v>3688</v>
      </c>
      <c r="B630" s="720"/>
      <c r="C630" s="721" t="s">
        <v>1139</v>
      </c>
      <c r="D630" s="722"/>
      <c r="E630" s="723"/>
      <c r="F630" s="723"/>
      <c r="G630" s="723"/>
      <c r="H630" s="724"/>
      <c r="I630" s="723"/>
      <c r="J630" s="725"/>
      <c r="K630" s="726"/>
    </row>
    <row r="631" spans="1:11" x14ac:dyDescent="0.25">
      <c r="A631" s="727" t="s">
        <v>3689</v>
      </c>
      <c r="B631" s="720"/>
      <c r="C631" s="721" t="s">
        <v>1139</v>
      </c>
      <c r="D631" s="722"/>
      <c r="E631" s="723"/>
      <c r="F631" s="723"/>
      <c r="G631" s="723"/>
      <c r="H631" s="724"/>
      <c r="I631" s="723"/>
      <c r="J631" s="725"/>
      <c r="K631" s="726"/>
    </row>
    <row r="632" spans="1:11" x14ac:dyDescent="0.25">
      <c r="A632" s="727" t="s">
        <v>3692</v>
      </c>
      <c r="B632" s="720"/>
      <c r="C632" s="721" t="s">
        <v>1139</v>
      </c>
      <c r="D632" s="722"/>
      <c r="E632" s="723"/>
      <c r="F632" s="723"/>
      <c r="G632" s="723"/>
      <c r="H632" s="724"/>
      <c r="I632" s="723"/>
      <c r="J632" s="725"/>
      <c r="K632" s="726"/>
    </row>
    <row r="633" spans="1:11" x14ac:dyDescent="0.25">
      <c r="A633" s="727" t="s">
        <v>3693</v>
      </c>
      <c r="B633" s="720"/>
      <c r="C633" s="721" t="s">
        <v>1139</v>
      </c>
      <c r="D633" s="722"/>
      <c r="E633" s="723"/>
      <c r="F633" s="723"/>
      <c r="G633" s="723"/>
      <c r="H633" s="724"/>
      <c r="I633" s="723"/>
      <c r="J633" s="725"/>
      <c r="K633" s="726"/>
    </row>
    <row r="634" spans="1:11" x14ac:dyDescent="0.25">
      <c r="A634" s="727" t="s">
        <v>3694</v>
      </c>
      <c r="B634" s="720"/>
      <c r="C634" s="721" t="s">
        <v>1139</v>
      </c>
      <c r="D634" s="597" t="s">
        <v>91</v>
      </c>
      <c r="E634" s="723"/>
      <c r="F634" s="723"/>
      <c r="G634" s="723"/>
      <c r="H634" s="724"/>
      <c r="I634" s="723"/>
      <c r="J634" s="725"/>
      <c r="K634" s="726"/>
    </row>
    <row r="635" spans="1:11" x14ac:dyDescent="0.25">
      <c r="A635" s="727" t="s">
        <v>3700</v>
      </c>
      <c r="B635" s="720"/>
      <c r="C635" s="721" t="s">
        <v>1141</v>
      </c>
      <c r="D635" s="722"/>
      <c r="E635" s="723"/>
      <c r="F635" s="723"/>
      <c r="G635" s="723"/>
      <c r="H635" s="724"/>
      <c r="I635" s="723"/>
      <c r="J635" s="725"/>
      <c r="K635" s="726"/>
    </row>
    <row r="636" spans="1:11" ht="45" x14ac:dyDescent="0.25">
      <c r="A636" s="448" t="s">
        <v>3703</v>
      </c>
      <c r="B636" s="449" t="s">
        <v>3702</v>
      </c>
      <c r="C636" s="721" t="s">
        <v>1141</v>
      </c>
      <c r="D636" s="665" t="s">
        <v>3704</v>
      </c>
      <c r="E636" s="581" t="s">
        <v>3701</v>
      </c>
      <c r="F636" s="723"/>
      <c r="G636" s="723"/>
      <c r="H636" s="724"/>
      <c r="I636" s="723"/>
      <c r="J636" s="725"/>
      <c r="K636" s="726"/>
    </row>
    <row r="637" spans="1:11" x14ac:dyDescent="0.25">
      <c r="A637" s="727" t="s">
        <v>3705</v>
      </c>
      <c r="B637" s="720"/>
      <c r="C637" s="721" t="s">
        <v>1141</v>
      </c>
      <c r="D637" s="722"/>
      <c r="E637" s="723"/>
      <c r="F637" s="723"/>
      <c r="G637" s="723"/>
      <c r="H637" s="724"/>
      <c r="I637" s="723"/>
      <c r="J637" s="725"/>
      <c r="K637" s="726"/>
    </row>
    <row r="638" spans="1:11" x14ac:dyDescent="0.25">
      <c r="A638" s="727" t="s">
        <v>3706</v>
      </c>
      <c r="B638" s="720"/>
      <c r="C638" s="721" t="s">
        <v>1141</v>
      </c>
      <c r="D638" s="722"/>
      <c r="E638" s="723"/>
      <c r="F638" s="723"/>
      <c r="G638" s="723"/>
      <c r="H638" s="724"/>
      <c r="I638" s="723"/>
      <c r="J638" s="725"/>
      <c r="K638" s="726"/>
    </row>
    <row r="639" spans="1:11" ht="30" x14ac:dyDescent="0.25">
      <c r="A639" s="727" t="s">
        <v>3707</v>
      </c>
      <c r="B639" s="720"/>
      <c r="C639" s="721" t="s">
        <v>1141</v>
      </c>
      <c r="D639" s="722"/>
      <c r="E639" s="723"/>
      <c r="F639" s="723"/>
      <c r="G639" s="723"/>
      <c r="H639" s="724"/>
      <c r="I639" s="723"/>
      <c r="J639" s="725"/>
      <c r="K639" s="726"/>
    </row>
    <row r="640" spans="1:11" x14ac:dyDescent="0.25">
      <c r="A640" s="448" t="s">
        <v>3712</v>
      </c>
      <c r="B640" s="720"/>
      <c r="C640" s="721" t="s">
        <v>1141</v>
      </c>
      <c r="D640" s="722"/>
      <c r="E640" s="723"/>
      <c r="F640" s="723"/>
      <c r="G640" s="723"/>
      <c r="H640" s="724"/>
      <c r="I640" s="723"/>
      <c r="J640" s="725"/>
      <c r="K640" s="726"/>
    </row>
    <row r="641" spans="1:11" x14ac:dyDescent="0.25">
      <c r="A641" s="727" t="s">
        <v>3718</v>
      </c>
      <c r="B641" s="601" t="s">
        <v>3794</v>
      </c>
      <c r="C641" s="721" t="s">
        <v>1141</v>
      </c>
      <c r="D641" s="722"/>
      <c r="E641" s="723"/>
      <c r="F641" s="723"/>
      <c r="G641" s="723"/>
      <c r="H641" s="604" t="s">
        <v>3795</v>
      </c>
      <c r="I641" s="723"/>
      <c r="J641" s="725"/>
      <c r="K641" s="726"/>
    </row>
    <row r="642" spans="1:11" x14ac:dyDescent="0.25">
      <c r="A642" s="727" t="s">
        <v>3719</v>
      </c>
      <c r="B642" s="720"/>
      <c r="C642" s="721" t="s">
        <v>1139</v>
      </c>
      <c r="D642" s="665" t="s">
        <v>3720</v>
      </c>
      <c r="E642" s="723"/>
      <c r="F642" s="723"/>
      <c r="G642" s="723"/>
      <c r="H642" s="724"/>
      <c r="I642" s="723"/>
      <c r="J642" s="725"/>
      <c r="K642" s="726"/>
    </row>
    <row r="643" spans="1:11" x14ac:dyDescent="0.25">
      <c r="A643" s="587" t="s">
        <v>3727</v>
      </c>
      <c r="B643" s="601"/>
      <c r="C643" s="602" t="s">
        <v>1141</v>
      </c>
      <c r="D643" s="603" t="s">
        <v>3728</v>
      </c>
      <c r="E643" s="588"/>
      <c r="F643" s="588"/>
      <c r="G643" s="588"/>
      <c r="H643" s="589"/>
      <c r="I643" s="588"/>
      <c r="J643" s="590"/>
      <c r="K643" s="591"/>
    </row>
    <row r="644" spans="1:11" x14ac:dyDescent="0.25">
      <c r="A644" s="587" t="s">
        <v>3729</v>
      </c>
      <c r="B644" s="601"/>
      <c r="C644" s="602" t="s">
        <v>1141</v>
      </c>
      <c r="D644" s="603"/>
      <c r="E644" s="588"/>
      <c r="F644" s="588"/>
      <c r="G644" s="588"/>
      <c r="H644" s="589"/>
      <c r="I644" s="588"/>
      <c r="J644" s="590"/>
      <c r="K644" s="591"/>
    </row>
    <row r="645" spans="1:11" x14ac:dyDescent="0.25">
      <c r="A645" s="727" t="s">
        <v>3731</v>
      </c>
      <c r="B645" s="720"/>
      <c r="C645" s="721" t="s">
        <v>1141</v>
      </c>
      <c r="D645" s="722"/>
      <c r="E645" s="723"/>
      <c r="F645" s="723"/>
      <c r="G645" s="723"/>
      <c r="H645" s="724"/>
      <c r="I645" s="723"/>
      <c r="J645" s="725"/>
      <c r="K645" s="726"/>
    </row>
    <row r="646" spans="1:11" ht="30" x14ac:dyDescent="0.25">
      <c r="A646" s="727" t="s">
        <v>3732</v>
      </c>
      <c r="B646" s="720"/>
      <c r="C646" s="721" t="s">
        <v>1141</v>
      </c>
      <c r="D646" s="722"/>
      <c r="E646" s="723"/>
      <c r="F646" s="723"/>
      <c r="G646" s="723"/>
      <c r="H646" s="724"/>
      <c r="I646" s="723"/>
      <c r="J646" s="725"/>
      <c r="K646" s="726"/>
    </row>
    <row r="647" spans="1:11" x14ac:dyDescent="0.25">
      <c r="A647" s="727" t="s">
        <v>3733</v>
      </c>
      <c r="B647" s="720"/>
      <c r="C647" s="721" t="s">
        <v>1141</v>
      </c>
      <c r="D647" s="722"/>
      <c r="E647" s="723"/>
      <c r="F647" s="723"/>
      <c r="G647" s="723"/>
      <c r="H647" s="724"/>
      <c r="I647" s="723"/>
      <c r="J647" s="725"/>
      <c r="K647" s="726"/>
    </row>
    <row r="648" spans="1:11" x14ac:dyDescent="0.25">
      <c r="A648" s="727" t="s">
        <v>3734</v>
      </c>
      <c r="B648" s="720"/>
      <c r="C648" s="721" t="s">
        <v>1141</v>
      </c>
      <c r="D648" s="722"/>
      <c r="E648" s="723"/>
      <c r="F648" s="723"/>
      <c r="G648" s="723"/>
      <c r="H648" s="724"/>
      <c r="I648" s="723"/>
      <c r="J648" s="725"/>
      <c r="K648" s="726"/>
    </row>
    <row r="649" spans="1:11" x14ac:dyDescent="0.25">
      <c r="A649" s="727" t="s">
        <v>3743</v>
      </c>
      <c r="B649" s="720"/>
      <c r="C649" s="721" t="s">
        <v>1141</v>
      </c>
      <c r="D649" s="722"/>
      <c r="E649" s="723"/>
      <c r="F649" s="723"/>
      <c r="G649" s="723"/>
      <c r="H649" s="724"/>
      <c r="I649" s="723"/>
      <c r="J649" s="725"/>
      <c r="K649" s="726"/>
    </row>
    <row r="650" spans="1:11" x14ac:dyDescent="0.25">
      <c r="A650" s="727" t="s">
        <v>3744</v>
      </c>
      <c r="B650" s="720"/>
      <c r="C650" s="721" t="s">
        <v>1141</v>
      </c>
      <c r="D650" s="722"/>
      <c r="E650" s="723"/>
      <c r="F650" s="723"/>
      <c r="G650" s="723"/>
      <c r="H650" s="724"/>
      <c r="I650" s="723"/>
      <c r="J650" s="725"/>
      <c r="K650" s="726"/>
    </row>
    <row r="651" spans="1:11" x14ac:dyDescent="0.25">
      <c r="A651" s="727" t="s">
        <v>3750</v>
      </c>
      <c r="B651" s="720"/>
      <c r="C651" s="721" t="s">
        <v>1139</v>
      </c>
      <c r="D651" s="597" t="s">
        <v>91</v>
      </c>
      <c r="E651" s="723"/>
      <c r="F651" s="723"/>
      <c r="G651" s="723"/>
      <c r="H651" s="724"/>
      <c r="I651" s="723"/>
      <c r="J651" s="725"/>
      <c r="K651" s="726"/>
    </row>
    <row r="652" spans="1:11" x14ac:dyDescent="0.25">
      <c r="A652" s="727" t="s">
        <v>3751</v>
      </c>
      <c r="B652" s="720"/>
      <c r="C652" s="721" t="s">
        <v>1139</v>
      </c>
      <c r="D652" s="597" t="s">
        <v>91</v>
      </c>
      <c r="E652" s="723"/>
      <c r="F652" s="723"/>
      <c r="G652" s="723"/>
      <c r="H652" s="724"/>
      <c r="I652" s="723"/>
      <c r="J652" s="725"/>
      <c r="K652" s="726"/>
    </row>
    <row r="653" spans="1:11" x14ac:dyDescent="0.25">
      <c r="A653" s="727" t="s">
        <v>3754</v>
      </c>
      <c r="B653" s="720"/>
      <c r="C653" s="721" t="s">
        <v>1141</v>
      </c>
      <c r="D653" s="722"/>
      <c r="E653" s="723"/>
      <c r="F653" s="723"/>
      <c r="G653" s="723"/>
      <c r="H653" s="724"/>
      <c r="I653" s="723"/>
      <c r="J653" s="725"/>
      <c r="K653" s="726"/>
    </row>
    <row r="654" spans="1:11" x14ac:dyDescent="0.25">
      <c r="A654" s="727" t="s">
        <v>3755</v>
      </c>
      <c r="B654" s="720"/>
      <c r="C654" s="721" t="s">
        <v>1139</v>
      </c>
      <c r="D654" s="722"/>
      <c r="E654" s="723"/>
      <c r="F654" s="723"/>
      <c r="G654" s="723"/>
      <c r="H654" s="724"/>
      <c r="I654" s="723"/>
      <c r="J654" s="725"/>
      <c r="K654" s="726"/>
    </row>
    <row r="655" spans="1:11" x14ac:dyDescent="0.25">
      <c r="A655" s="587" t="s">
        <v>3756</v>
      </c>
      <c r="B655" s="601"/>
      <c r="C655" s="602" t="s">
        <v>1141</v>
      </c>
      <c r="D655" s="603"/>
      <c r="E655" s="588"/>
      <c r="F655" s="588"/>
      <c r="G655" s="588"/>
      <c r="H655" s="589"/>
      <c r="I655" s="588"/>
      <c r="J655" s="590"/>
      <c r="K655" s="591"/>
    </row>
    <row r="656" spans="1:11" x14ac:dyDescent="0.25">
      <c r="A656" s="587" t="s">
        <v>3757</v>
      </c>
      <c r="B656" s="601"/>
      <c r="C656" s="602" t="s">
        <v>1141</v>
      </c>
      <c r="D656" s="603"/>
      <c r="E656" s="588"/>
      <c r="F656" s="588"/>
      <c r="G656" s="588"/>
      <c r="H656" s="604" t="s">
        <v>3798</v>
      </c>
      <c r="I656" s="588"/>
      <c r="J656" s="590"/>
      <c r="K656" s="591"/>
    </row>
    <row r="657" spans="1:11" x14ac:dyDescent="0.25">
      <c r="A657" s="587" t="s">
        <v>3758</v>
      </c>
      <c r="B657" s="601"/>
      <c r="C657" s="602" t="s">
        <v>1141</v>
      </c>
      <c r="D657" s="603"/>
      <c r="E657" s="588"/>
      <c r="F657" s="588"/>
      <c r="G657" s="588"/>
      <c r="H657" s="589"/>
      <c r="I657" s="588"/>
      <c r="J657" s="590"/>
      <c r="K657" s="591"/>
    </row>
    <row r="658" spans="1:11" x14ac:dyDescent="0.25">
      <c r="A658" s="587" t="s">
        <v>3759</v>
      </c>
      <c r="B658" s="601"/>
      <c r="C658" s="602" t="s">
        <v>1139</v>
      </c>
      <c r="D658" s="603"/>
      <c r="E658" s="588"/>
      <c r="F658" s="588"/>
      <c r="G658" s="588"/>
      <c r="H658" s="589"/>
      <c r="I658" s="588"/>
      <c r="J658" s="590"/>
      <c r="K658" s="591"/>
    </row>
    <row r="659" spans="1:11" x14ac:dyDescent="0.25">
      <c r="A659" s="587" t="s">
        <v>3759</v>
      </c>
      <c r="B659" s="601"/>
      <c r="C659" s="602" t="s">
        <v>1139</v>
      </c>
      <c r="D659" s="603"/>
      <c r="E659" s="588"/>
      <c r="F659" s="588"/>
      <c r="G659" s="588"/>
      <c r="H659" s="589"/>
      <c r="I659" s="588"/>
      <c r="J659" s="590"/>
      <c r="K659" s="591"/>
    </row>
    <row r="660" spans="1:11" x14ac:dyDescent="0.25">
      <c r="A660" s="587" t="s">
        <v>3760</v>
      </c>
      <c r="B660" s="601"/>
      <c r="C660" s="602" t="s">
        <v>1141</v>
      </c>
      <c r="D660" s="603"/>
      <c r="E660" s="588"/>
      <c r="F660" s="588"/>
      <c r="G660" s="588"/>
      <c r="H660" s="589"/>
      <c r="I660" s="588"/>
      <c r="J660" s="590"/>
      <c r="K660" s="591"/>
    </row>
    <row r="661" spans="1:11" x14ac:dyDescent="0.25">
      <c r="A661" s="587" t="s">
        <v>3761</v>
      </c>
      <c r="B661" s="601"/>
      <c r="C661" s="602" t="s">
        <v>1141</v>
      </c>
      <c r="D661" s="603"/>
      <c r="E661" s="588"/>
      <c r="F661" s="588"/>
      <c r="G661" s="588"/>
      <c r="H661" s="604" t="s">
        <v>3799</v>
      </c>
      <c r="I661" s="588"/>
      <c r="J661" s="590"/>
      <c r="K661" s="591"/>
    </row>
    <row r="662" spans="1:11" x14ac:dyDescent="0.25">
      <c r="A662" s="727" t="s">
        <v>3762</v>
      </c>
      <c r="B662" s="720"/>
      <c r="C662" s="721" t="s">
        <v>1141</v>
      </c>
      <c r="D662" s="722"/>
      <c r="E662" s="723"/>
      <c r="F662" s="723"/>
      <c r="G662" s="723"/>
      <c r="H662" s="724"/>
      <c r="I662" s="723"/>
      <c r="J662" s="725"/>
      <c r="K662" s="726"/>
    </row>
    <row r="663" spans="1:11" x14ac:dyDescent="0.25">
      <c r="A663" s="587" t="s">
        <v>3764</v>
      </c>
      <c r="B663" s="601"/>
      <c r="C663" s="602" t="s">
        <v>1141</v>
      </c>
      <c r="D663" s="603"/>
      <c r="E663" s="588"/>
      <c r="F663" s="588"/>
      <c r="G663" s="588"/>
      <c r="H663" s="589"/>
      <c r="I663" s="588"/>
      <c r="J663" s="590"/>
      <c r="K663" s="591"/>
    </row>
    <row r="664" spans="1:11" x14ac:dyDescent="0.25">
      <c r="A664" s="587" t="s">
        <v>3765</v>
      </c>
      <c r="B664" s="601"/>
      <c r="C664" s="602" t="s">
        <v>1141</v>
      </c>
      <c r="D664" s="603"/>
      <c r="E664" s="588"/>
      <c r="F664" s="588"/>
      <c r="G664" s="588"/>
      <c r="H664" s="589"/>
      <c r="I664" s="588"/>
      <c r="J664" s="590"/>
      <c r="K664" s="591"/>
    </row>
    <row r="665" spans="1:11" x14ac:dyDescent="0.25">
      <c r="A665" s="587" t="s">
        <v>3766</v>
      </c>
      <c r="B665" s="601"/>
      <c r="C665" s="602" t="s">
        <v>1141</v>
      </c>
      <c r="D665" s="603"/>
      <c r="E665" s="588"/>
      <c r="F665" s="588"/>
      <c r="G665" s="588"/>
      <c r="H665" s="589"/>
      <c r="I665" s="588"/>
      <c r="J665" s="590"/>
      <c r="K665" s="591"/>
    </row>
    <row r="666" spans="1:11" x14ac:dyDescent="0.25">
      <c r="A666" s="587" t="s">
        <v>3767</v>
      </c>
      <c r="B666" s="601"/>
      <c r="C666" s="602" t="s">
        <v>1141</v>
      </c>
      <c r="D666" s="603"/>
      <c r="E666" s="588"/>
      <c r="F666" s="588"/>
      <c r="G666" s="588"/>
      <c r="H666" s="589"/>
      <c r="I666" s="588"/>
      <c r="J666" s="590"/>
      <c r="K666" s="591"/>
    </row>
    <row r="667" spans="1:11" x14ac:dyDescent="0.25">
      <c r="A667" s="727" t="s">
        <v>3772</v>
      </c>
      <c r="B667" s="720"/>
      <c r="C667" s="721" t="s">
        <v>1141</v>
      </c>
      <c r="D667" s="722"/>
      <c r="E667" s="723"/>
      <c r="F667" s="723"/>
      <c r="G667" s="723"/>
      <c r="H667" s="724"/>
      <c r="I667" s="723"/>
      <c r="J667" s="725"/>
      <c r="K667" s="726"/>
    </row>
    <row r="668" spans="1:11" ht="30" x14ac:dyDescent="0.25">
      <c r="A668" s="448" t="s">
        <v>3773</v>
      </c>
      <c r="B668" s="720"/>
      <c r="C668" s="721" t="s">
        <v>1141</v>
      </c>
      <c r="D668" s="722"/>
      <c r="E668" s="723"/>
      <c r="F668" s="723"/>
      <c r="G668" s="723"/>
      <c r="H668" s="724"/>
      <c r="I668" s="723"/>
      <c r="J668" s="725"/>
      <c r="K668" s="726"/>
    </row>
    <row r="669" spans="1:11" ht="30" x14ac:dyDescent="0.25">
      <c r="A669" s="587" t="s">
        <v>3777</v>
      </c>
      <c r="B669" s="601"/>
      <c r="C669" s="602" t="s">
        <v>1139</v>
      </c>
      <c r="D669" s="603"/>
      <c r="E669" s="588"/>
      <c r="F669" s="588"/>
      <c r="G669" s="588"/>
      <c r="H669" s="589"/>
      <c r="I669" s="588"/>
      <c r="J669" s="590"/>
      <c r="K669" s="591"/>
    </row>
    <row r="670" spans="1:11" ht="30" x14ac:dyDescent="0.25">
      <c r="A670" s="587" t="s">
        <v>3778</v>
      </c>
      <c r="B670" s="601"/>
      <c r="C670" s="602" t="s">
        <v>1141</v>
      </c>
      <c r="D670" s="603"/>
      <c r="E670" s="588"/>
      <c r="F670" s="588"/>
      <c r="G670" s="588"/>
      <c r="H670" s="589"/>
      <c r="I670" s="588"/>
      <c r="J670" s="590"/>
      <c r="K670" s="591"/>
    </row>
    <row r="671" spans="1:11" x14ac:dyDescent="0.25">
      <c r="A671" s="587" t="s">
        <v>3779</v>
      </c>
      <c r="B671" s="601"/>
      <c r="C671" s="602" t="s">
        <v>1139</v>
      </c>
      <c r="D671" s="603"/>
      <c r="E671" s="588"/>
      <c r="F671" s="588"/>
      <c r="G671" s="588"/>
      <c r="H671" s="589"/>
      <c r="I671" s="588"/>
      <c r="J671" s="590"/>
      <c r="K671" s="591"/>
    </row>
    <row r="672" spans="1:11" x14ac:dyDescent="0.25">
      <c r="A672" s="587" t="s">
        <v>3788</v>
      </c>
      <c r="B672" s="601"/>
      <c r="C672" s="602" t="s">
        <v>1141</v>
      </c>
      <c r="D672" s="603"/>
      <c r="E672" s="588"/>
      <c r="F672" s="588"/>
      <c r="G672" s="588"/>
      <c r="H672" s="604" t="s">
        <v>3804</v>
      </c>
      <c r="I672" s="588"/>
      <c r="J672" s="590"/>
      <c r="K672" s="591"/>
    </row>
    <row r="673" spans="1:11" x14ac:dyDescent="0.25">
      <c r="A673" s="587" t="s">
        <v>3789</v>
      </c>
      <c r="B673" s="601"/>
      <c r="C673" s="602" t="s">
        <v>1141</v>
      </c>
      <c r="D673" s="603"/>
      <c r="E673" s="588"/>
      <c r="F673" s="588"/>
      <c r="G673" s="588"/>
      <c r="H673" s="604" t="s">
        <v>3797</v>
      </c>
      <c r="I673" s="588"/>
      <c r="J673" s="590"/>
      <c r="K673" s="591"/>
    </row>
    <row r="674" spans="1:11" x14ac:dyDescent="0.25">
      <c r="A674" s="587" t="s">
        <v>3790</v>
      </c>
      <c r="B674" s="601"/>
      <c r="C674" s="602" t="s">
        <v>1141</v>
      </c>
      <c r="D674" s="603"/>
      <c r="E674" s="588"/>
      <c r="F674" s="588"/>
      <c r="G674" s="588"/>
      <c r="H674" s="604" t="s">
        <v>3800</v>
      </c>
      <c r="I674" s="588"/>
      <c r="J674" s="590"/>
      <c r="K674" s="591"/>
    </row>
    <row r="675" spans="1:11" x14ac:dyDescent="0.25">
      <c r="A675" s="587" t="s">
        <v>3806</v>
      </c>
      <c r="B675" s="601"/>
      <c r="C675" s="602" t="s">
        <v>1141</v>
      </c>
      <c r="D675" s="603"/>
      <c r="E675" s="588"/>
      <c r="F675" s="588"/>
      <c r="G675" s="588"/>
      <c r="H675" s="589"/>
      <c r="I675" s="588"/>
      <c r="J675" s="590"/>
      <c r="K675" s="591"/>
    </row>
    <row r="676" spans="1:11" x14ac:dyDescent="0.25">
      <c r="A676" s="587" t="s">
        <v>3807</v>
      </c>
      <c r="B676" s="601"/>
      <c r="C676" s="602" t="s">
        <v>1141</v>
      </c>
      <c r="D676" s="603"/>
      <c r="E676" s="588"/>
      <c r="F676" s="588"/>
      <c r="G676" s="588"/>
      <c r="H676" s="589"/>
      <c r="I676" s="588"/>
      <c r="J676" s="590"/>
      <c r="K676" s="591"/>
    </row>
    <row r="677" spans="1:11" x14ac:dyDescent="0.25">
      <c r="A677" s="775" t="s">
        <v>3813</v>
      </c>
      <c r="B677" s="776"/>
      <c r="C677" s="777" t="s">
        <v>1139</v>
      </c>
      <c r="D677" s="778"/>
      <c r="E677" s="779"/>
      <c r="F677" s="779"/>
      <c r="G677" s="779"/>
      <c r="H677" s="780"/>
      <c r="I677" s="779"/>
      <c r="J677" s="781"/>
      <c r="K677" s="782"/>
    </row>
    <row r="678" spans="1:11" ht="30" x14ac:dyDescent="0.25">
      <c r="A678" s="775" t="s">
        <v>3814</v>
      </c>
      <c r="B678" s="776"/>
      <c r="C678" s="777" t="s">
        <v>1141</v>
      </c>
      <c r="D678" s="778"/>
      <c r="E678" s="779"/>
      <c r="F678" s="779"/>
      <c r="G678" s="779"/>
      <c r="H678" s="780"/>
      <c r="I678" s="779"/>
      <c r="J678" s="781"/>
      <c r="K678" s="782"/>
    </row>
    <row r="679" spans="1:11" x14ac:dyDescent="0.25">
      <c r="A679" s="775" t="s">
        <v>3817</v>
      </c>
      <c r="B679" s="449" t="s">
        <v>91</v>
      </c>
      <c r="C679" s="777" t="s">
        <v>1139</v>
      </c>
      <c r="D679" s="778"/>
      <c r="E679" s="779"/>
      <c r="F679" s="779"/>
      <c r="G679" s="779"/>
      <c r="H679" s="780"/>
      <c r="I679" s="779"/>
      <c r="J679" s="781"/>
      <c r="K679" s="782"/>
    </row>
    <row r="680" spans="1:11" x14ac:dyDescent="0.25">
      <c r="A680" s="775" t="s">
        <v>3818</v>
      </c>
      <c r="B680" s="776"/>
      <c r="C680" s="777" t="s">
        <v>1139</v>
      </c>
      <c r="D680" s="778"/>
      <c r="E680" s="779"/>
      <c r="F680" s="779"/>
      <c r="G680" s="779"/>
      <c r="H680" s="780"/>
      <c r="I680" s="779"/>
      <c r="J680" s="781"/>
      <c r="K680" s="782"/>
    </row>
    <row r="681" spans="1:11" x14ac:dyDescent="0.25">
      <c r="A681" s="775" t="s">
        <v>3819</v>
      </c>
      <c r="B681" s="776"/>
      <c r="C681" s="777" t="s">
        <v>1141</v>
      </c>
      <c r="D681" s="778"/>
      <c r="E681" s="779"/>
      <c r="F681" s="779"/>
      <c r="G681" s="779"/>
      <c r="H681" s="780"/>
      <c r="I681" s="779"/>
      <c r="J681" s="781"/>
      <c r="K681" s="782"/>
    </row>
    <row r="682" spans="1:11" x14ac:dyDescent="0.25">
      <c r="A682" s="775" t="s">
        <v>3820</v>
      </c>
      <c r="B682" s="776"/>
      <c r="C682" s="777" t="s">
        <v>1141</v>
      </c>
      <c r="D682" s="778"/>
      <c r="E682" s="779"/>
      <c r="F682" s="779"/>
      <c r="G682" s="779"/>
      <c r="H682" s="780"/>
      <c r="I682" s="779"/>
      <c r="J682" s="781"/>
      <c r="K682" s="782"/>
    </row>
    <row r="683" spans="1:11" x14ac:dyDescent="0.25">
      <c r="A683" s="587" t="s">
        <v>3822</v>
      </c>
      <c r="B683" s="601"/>
      <c r="C683" s="602" t="s">
        <v>1141</v>
      </c>
      <c r="D683" s="603"/>
      <c r="E683" s="588"/>
      <c r="F683" s="588"/>
      <c r="G683" s="588"/>
      <c r="H683" s="589"/>
      <c r="I683" s="588"/>
      <c r="J683" s="590"/>
      <c r="K683" s="591"/>
    </row>
    <row r="684" spans="1:11" x14ac:dyDescent="0.25">
      <c r="A684" s="775" t="s">
        <v>3823</v>
      </c>
      <c r="B684" s="776"/>
      <c r="C684" s="777" t="s">
        <v>1139</v>
      </c>
      <c r="D684" s="778"/>
      <c r="E684" s="779"/>
      <c r="F684" s="779"/>
      <c r="G684" s="779"/>
      <c r="H684" s="780"/>
      <c r="I684" s="779"/>
      <c r="J684" s="781"/>
      <c r="K684" s="782"/>
    </row>
    <row r="685" spans="1:11" x14ac:dyDescent="0.25">
      <c r="A685" s="775" t="s">
        <v>3824</v>
      </c>
      <c r="B685" s="776"/>
      <c r="C685" s="777" t="s">
        <v>1141</v>
      </c>
      <c r="D685" s="778"/>
      <c r="E685" s="779"/>
      <c r="F685" s="779"/>
      <c r="G685" s="779"/>
      <c r="H685" s="780"/>
      <c r="I685" s="779"/>
      <c r="J685" s="781"/>
      <c r="K685" s="782"/>
    </row>
    <row r="686" spans="1:11" x14ac:dyDescent="0.25">
      <c r="A686" s="448" t="s">
        <v>3825</v>
      </c>
      <c r="B686" s="776"/>
      <c r="C686" s="777" t="s">
        <v>1139</v>
      </c>
      <c r="D686" s="778"/>
      <c r="E686" s="779"/>
      <c r="F686" s="779"/>
      <c r="G686" s="779"/>
      <c r="H686" s="780"/>
      <c r="I686" s="779"/>
      <c r="J686" s="781"/>
      <c r="K686" s="782"/>
    </row>
    <row r="687" spans="1:11" x14ac:dyDescent="0.25">
      <c r="A687" s="775" t="s">
        <v>3828</v>
      </c>
      <c r="B687" s="776"/>
      <c r="C687" s="777" t="s">
        <v>1141</v>
      </c>
      <c r="D687" s="778"/>
      <c r="E687" s="779"/>
      <c r="F687" s="779"/>
      <c r="G687" s="779"/>
      <c r="H687" s="780"/>
      <c r="I687" s="779"/>
      <c r="J687" s="781"/>
      <c r="K687" s="782"/>
    </row>
    <row r="688" spans="1:11" x14ac:dyDescent="0.25">
      <c r="A688" s="448" t="s">
        <v>3829</v>
      </c>
      <c r="B688" s="776"/>
      <c r="C688" s="777" t="s">
        <v>1141</v>
      </c>
      <c r="D688" s="778"/>
      <c r="E688" s="779"/>
      <c r="F688" s="779"/>
      <c r="G688" s="779"/>
      <c r="H688" s="780"/>
      <c r="I688" s="779"/>
      <c r="J688" s="781"/>
      <c r="K688" s="782"/>
    </row>
    <row r="689" spans="1:11" x14ac:dyDescent="0.25">
      <c r="A689" s="775" t="s">
        <v>3830</v>
      </c>
      <c r="B689" s="776"/>
      <c r="C689" s="777" t="s">
        <v>1139</v>
      </c>
      <c r="D689" s="778"/>
      <c r="E689" s="779"/>
      <c r="F689" s="779"/>
      <c r="G689" s="779"/>
      <c r="H689" s="780"/>
      <c r="I689" s="779"/>
      <c r="J689" s="781"/>
      <c r="K689" s="782"/>
    </row>
    <row r="690" spans="1:11" x14ac:dyDescent="0.25">
      <c r="A690" s="775" t="s">
        <v>3832</v>
      </c>
      <c r="B690" s="776"/>
      <c r="C690" s="777" t="s">
        <v>1139</v>
      </c>
      <c r="D690" s="778"/>
      <c r="E690" s="779"/>
      <c r="F690" s="779"/>
      <c r="G690" s="779"/>
      <c r="H690" s="780"/>
      <c r="I690" s="779"/>
      <c r="J690" s="781"/>
      <c r="K690" s="782"/>
    </row>
    <row r="691" spans="1:11" x14ac:dyDescent="0.25">
      <c r="A691" s="448" t="s">
        <v>3838</v>
      </c>
      <c r="B691" s="776"/>
      <c r="C691" s="777" t="s">
        <v>1141</v>
      </c>
      <c r="D691" s="778"/>
      <c r="E691" s="779"/>
      <c r="F691" s="779"/>
      <c r="G691" s="779"/>
      <c r="H691" s="780"/>
      <c r="I691" s="779"/>
      <c r="J691" s="781"/>
      <c r="K691" s="782"/>
    </row>
    <row r="692" spans="1:11" x14ac:dyDescent="0.25">
      <c r="A692" s="448" t="s">
        <v>3833</v>
      </c>
      <c r="B692" s="776"/>
      <c r="C692" s="777" t="s">
        <v>1139</v>
      </c>
      <c r="D692" s="778"/>
      <c r="E692" s="779"/>
      <c r="F692" s="779"/>
      <c r="G692" s="779"/>
      <c r="H692" s="780"/>
      <c r="I692" s="779"/>
      <c r="J692" s="781"/>
      <c r="K692" s="782"/>
    </row>
    <row r="693" spans="1:11" x14ac:dyDescent="0.25">
      <c r="A693" s="775" t="s">
        <v>3834</v>
      </c>
      <c r="B693" s="776"/>
      <c r="C693" s="777" t="s">
        <v>1139</v>
      </c>
      <c r="D693" s="778"/>
      <c r="E693" s="779"/>
      <c r="F693" s="779"/>
      <c r="G693" s="779"/>
      <c r="H693" s="780"/>
      <c r="I693" s="779"/>
      <c r="J693" s="781"/>
      <c r="K693" s="782"/>
    </row>
    <row r="694" spans="1:11" x14ac:dyDescent="0.25">
      <c r="A694" s="448" t="s">
        <v>3835</v>
      </c>
      <c r="B694" s="776"/>
      <c r="C694" s="777" t="s">
        <v>1141</v>
      </c>
      <c r="D694" s="778"/>
      <c r="E694" s="779"/>
      <c r="F694" s="779"/>
      <c r="G694" s="779"/>
      <c r="H694" s="780"/>
      <c r="I694" s="779"/>
      <c r="J694" s="781"/>
      <c r="K694" s="782"/>
    </row>
    <row r="695" spans="1:11" x14ac:dyDescent="0.25">
      <c r="A695" s="448" t="s">
        <v>3836</v>
      </c>
      <c r="B695" s="776"/>
      <c r="C695" s="777" t="s">
        <v>1141</v>
      </c>
      <c r="D695" s="778"/>
      <c r="E695" s="779"/>
      <c r="F695" s="779"/>
      <c r="G695" s="779"/>
      <c r="H695" s="780"/>
      <c r="I695" s="779"/>
      <c r="J695" s="781"/>
      <c r="K695" s="782"/>
    </row>
    <row r="696" spans="1:11" x14ac:dyDescent="0.25">
      <c r="A696" s="448" t="s">
        <v>3837</v>
      </c>
      <c r="B696" s="776"/>
      <c r="C696" s="777" t="s">
        <v>1139</v>
      </c>
      <c r="D696" s="778"/>
      <c r="E696" s="779"/>
      <c r="F696" s="779"/>
      <c r="G696" s="779"/>
      <c r="H696" s="780"/>
      <c r="I696" s="779"/>
      <c r="J696" s="781"/>
      <c r="K696" s="782"/>
    </row>
    <row r="697" spans="1:11" x14ac:dyDescent="0.25">
      <c r="A697" s="448" t="s">
        <v>3839</v>
      </c>
      <c r="B697" s="776"/>
      <c r="C697" s="777" t="s">
        <v>1141</v>
      </c>
      <c r="D697" s="778"/>
      <c r="E697" s="779"/>
      <c r="F697" s="779"/>
      <c r="G697" s="779"/>
      <c r="H697" s="780"/>
      <c r="I697" s="779"/>
      <c r="J697" s="781"/>
      <c r="K697" s="782"/>
    </row>
    <row r="698" spans="1:11" x14ac:dyDescent="0.25">
      <c r="A698" s="448" t="s">
        <v>3852</v>
      </c>
      <c r="B698" s="776"/>
      <c r="C698" s="777" t="s">
        <v>1139</v>
      </c>
      <c r="D698" s="778"/>
      <c r="E698" s="779"/>
      <c r="F698" s="779"/>
      <c r="G698" s="779"/>
      <c r="H698" s="780"/>
      <c r="I698" s="779"/>
      <c r="J698" s="781"/>
      <c r="K698" s="782"/>
    </row>
    <row r="699" spans="1:11" x14ac:dyDescent="0.25">
      <c r="A699" s="448" t="s">
        <v>3853</v>
      </c>
      <c r="B699" s="776"/>
      <c r="C699" s="777" t="s">
        <v>1139</v>
      </c>
      <c r="D699" s="778"/>
      <c r="E699" s="779"/>
      <c r="F699" s="779"/>
      <c r="G699" s="779"/>
      <c r="H699" s="780"/>
      <c r="I699" s="779"/>
      <c r="J699" s="781"/>
      <c r="K699" s="782"/>
    </row>
    <row r="700" spans="1:11" ht="30" x14ac:dyDescent="0.25">
      <c r="A700" s="448" t="s">
        <v>3854</v>
      </c>
      <c r="B700" s="776"/>
      <c r="C700" s="777" t="s">
        <v>1141</v>
      </c>
      <c r="D700" s="778"/>
      <c r="E700" s="779"/>
      <c r="F700" s="779"/>
      <c r="G700" s="779"/>
      <c r="H700" s="780"/>
      <c r="I700" s="779"/>
      <c r="J700" s="781"/>
      <c r="K700" s="782"/>
    </row>
    <row r="701" spans="1:11" x14ac:dyDescent="0.25">
      <c r="A701" s="448" t="s">
        <v>3861</v>
      </c>
      <c r="B701" s="776"/>
      <c r="C701" s="777" t="s">
        <v>1141</v>
      </c>
      <c r="D701" s="778"/>
      <c r="E701" s="779"/>
      <c r="F701" s="779"/>
      <c r="G701" s="779"/>
      <c r="H701" s="780"/>
      <c r="I701" s="779"/>
      <c r="J701" s="781"/>
      <c r="K701" s="782"/>
    </row>
    <row r="702" spans="1:11" x14ac:dyDescent="0.25">
      <c r="A702" s="448" t="s">
        <v>3873</v>
      </c>
      <c r="B702" s="776"/>
      <c r="C702" s="777" t="s">
        <v>1139</v>
      </c>
      <c r="D702" s="778"/>
      <c r="E702" s="779"/>
      <c r="F702" s="779"/>
      <c r="G702" s="779"/>
      <c r="H702" s="780"/>
      <c r="I702" s="779"/>
      <c r="J702" s="781"/>
      <c r="K702" s="782"/>
    </row>
    <row r="703" spans="1:11" x14ac:dyDescent="0.25">
      <c r="A703" s="448" t="s">
        <v>3862</v>
      </c>
      <c r="B703" s="776"/>
      <c r="C703" s="777" t="s">
        <v>1139</v>
      </c>
      <c r="D703" s="778"/>
      <c r="E703" s="779"/>
      <c r="F703" s="779"/>
      <c r="G703" s="779"/>
      <c r="H703" s="780"/>
      <c r="I703" s="779"/>
      <c r="J703" s="781"/>
      <c r="K703" s="782"/>
    </row>
    <row r="704" spans="1:11" x14ac:dyDescent="0.25">
      <c r="A704" s="448" t="s">
        <v>3863</v>
      </c>
      <c r="B704" s="776"/>
      <c r="C704" s="777" t="s">
        <v>1139</v>
      </c>
      <c r="D704" s="778"/>
      <c r="E704" s="779"/>
      <c r="F704" s="779"/>
      <c r="G704" s="779"/>
      <c r="H704" s="780"/>
      <c r="I704" s="779"/>
      <c r="J704" s="781"/>
      <c r="K704" s="782"/>
    </row>
    <row r="705" spans="1:11" x14ac:dyDescent="0.25">
      <c r="A705" s="587" t="s">
        <v>3868</v>
      </c>
      <c r="B705" s="601"/>
      <c r="C705" s="602" t="s">
        <v>1139</v>
      </c>
      <c r="D705" s="603"/>
      <c r="E705" s="588"/>
      <c r="F705" s="588"/>
      <c r="G705" s="588"/>
      <c r="H705" s="589"/>
      <c r="I705" s="588"/>
      <c r="J705" s="590"/>
      <c r="K705" s="591"/>
    </row>
    <row r="706" spans="1:11" x14ac:dyDescent="0.25">
      <c r="A706" s="448" t="s">
        <v>3869</v>
      </c>
      <c r="B706" s="776"/>
      <c r="C706" s="777" t="s">
        <v>1139</v>
      </c>
      <c r="D706" s="778"/>
      <c r="E706" s="779"/>
      <c r="F706" s="779"/>
      <c r="G706" s="779"/>
      <c r="H706" s="780"/>
      <c r="I706" s="779"/>
      <c r="J706" s="781"/>
      <c r="K706" s="782"/>
    </row>
    <row r="707" spans="1:11" x14ac:dyDescent="0.25">
      <c r="A707" s="448" t="s">
        <v>3870</v>
      </c>
      <c r="B707" s="776"/>
      <c r="C707" s="777" t="s">
        <v>1141</v>
      </c>
      <c r="D707" s="778"/>
      <c r="E707" s="779"/>
      <c r="F707" s="779"/>
      <c r="G707" s="779"/>
      <c r="H707" s="780"/>
      <c r="I707" s="779"/>
      <c r="J707" s="781"/>
      <c r="K707" s="782"/>
    </row>
    <row r="708" spans="1:11" x14ac:dyDescent="0.25">
      <c r="A708" s="448" t="s">
        <v>3871</v>
      </c>
      <c r="B708" s="776"/>
      <c r="C708" s="777" t="s">
        <v>1141</v>
      </c>
      <c r="D708" s="778"/>
      <c r="E708" s="779"/>
      <c r="F708" s="779"/>
      <c r="G708" s="779"/>
      <c r="H708" s="780"/>
      <c r="I708" s="802"/>
      <c r="J708" s="781"/>
      <c r="K708" s="782"/>
    </row>
    <row r="709" spans="1:11" x14ac:dyDescent="0.25">
      <c r="A709" s="448" t="s">
        <v>3872</v>
      </c>
      <c r="B709" s="776"/>
      <c r="C709" s="777" t="s">
        <v>1141</v>
      </c>
      <c r="D709" s="778"/>
      <c r="E709" s="779"/>
      <c r="F709" s="779"/>
      <c r="G709" s="779"/>
      <c r="H709" s="780"/>
      <c r="I709" s="779"/>
      <c r="J709" s="781"/>
      <c r="K709" s="782"/>
    </row>
    <row r="710" spans="1:11" x14ac:dyDescent="0.25">
      <c r="A710" s="448" t="s">
        <v>3874</v>
      </c>
      <c r="B710" s="776"/>
      <c r="C710" s="777" t="s">
        <v>1141</v>
      </c>
      <c r="D710" s="778"/>
      <c r="E710" s="779"/>
      <c r="F710" s="779"/>
      <c r="G710" s="779"/>
      <c r="H710" s="780"/>
      <c r="I710" s="779"/>
      <c r="J710" s="781"/>
      <c r="K710" s="782"/>
    </row>
    <row r="711" spans="1:11" x14ac:dyDescent="0.25">
      <c r="A711" s="775" t="s">
        <v>3891</v>
      </c>
      <c r="B711" s="776"/>
      <c r="C711" s="777" t="s">
        <v>1139</v>
      </c>
      <c r="D711" s="778"/>
      <c r="E711" s="779"/>
      <c r="F711" s="779"/>
      <c r="G711" s="779"/>
      <c r="H711" s="780"/>
      <c r="I711" s="779"/>
      <c r="J711" s="781"/>
      <c r="K711" s="782"/>
    </row>
    <row r="712" spans="1:11" x14ac:dyDescent="0.25">
      <c r="A712" s="775" t="s">
        <v>3892</v>
      </c>
      <c r="B712" s="776"/>
      <c r="C712" s="777" t="s">
        <v>1141</v>
      </c>
      <c r="D712" s="778"/>
      <c r="E712" s="779"/>
      <c r="F712" s="779"/>
      <c r="G712" s="779"/>
      <c r="H712" s="780"/>
      <c r="I712" s="779"/>
      <c r="J712" s="781"/>
      <c r="K712" s="782"/>
    </row>
    <row r="713" spans="1:11" x14ac:dyDescent="0.25">
      <c r="A713" s="775" t="s">
        <v>3893</v>
      </c>
      <c r="B713" s="776"/>
      <c r="C713" s="777" t="s">
        <v>1141</v>
      </c>
      <c r="D713" s="778"/>
      <c r="E713" s="779"/>
      <c r="F713" s="779"/>
      <c r="G713" s="779"/>
      <c r="H713" s="780"/>
      <c r="I713" s="779"/>
      <c r="J713" s="781"/>
      <c r="K713" s="782"/>
    </row>
    <row r="714" spans="1:11" x14ac:dyDescent="0.25">
      <c r="A714" s="775" t="s">
        <v>3894</v>
      </c>
      <c r="B714" s="776"/>
      <c r="C714" s="777" t="s">
        <v>1141</v>
      </c>
      <c r="D714" s="778"/>
      <c r="E714" s="779"/>
      <c r="F714" s="779"/>
      <c r="G714" s="779"/>
      <c r="H714" s="780"/>
      <c r="I714" s="779"/>
      <c r="J714" s="781"/>
      <c r="K714" s="782"/>
    </row>
    <row r="715" spans="1:11" x14ac:dyDescent="0.25">
      <c r="A715" s="775" t="s">
        <v>3895</v>
      </c>
      <c r="B715" s="776"/>
      <c r="C715" s="777" t="s">
        <v>1139</v>
      </c>
      <c r="D715" s="778"/>
      <c r="E715" s="779"/>
      <c r="F715" s="779"/>
      <c r="G715" s="779"/>
      <c r="H715" s="780"/>
      <c r="I715" s="779"/>
      <c r="J715" s="781"/>
      <c r="K715" s="782"/>
    </row>
    <row r="716" spans="1:11" ht="30" x14ac:dyDescent="0.25">
      <c r="A716" s="775" t="s">
        <v>3896</v>
      </c>
      <c r="B716" s="776"/>
      <c r="C716" s="777" t="s">
        <v>1141</v>
      </c>
      <c r="D716" s="778"/>
      <c r="E716" s="779"/>
      <c r="F716" s="779"/>
      <c r="G716" s="779"/>
      <c r="H716" s="780"/>
      <c r="I716" s="779"/>
      <c r="J716" s="781"/>
      <c r="K716" s="782"/>
    </row>
    <row r="717" spans="1:11" x14ac:dyDescent="0.25">
      <c r="A717" s="775" t="s">
        <v>3897</v>
      </c>
      <c r="B717" s="776"/>
      <c r="C717" s="777" t="s">
        <v>1141</v>
      </c>
      <c r="D717" s="778"/>
      <c r="E717" s="779"/>
      <c r="F717" s="779"/>
      <c r="G717" s="779"/>
      <c r="H717" s="780"/>
      <c r="I717" s="779"/>
      <c r="J717" s="781"/>
      <c r="K717" s="782"/>
    </row>
    <row r="718" spans="1:11" x14ac:dyDescent="0.25">
      <c r="A718" s="775" t="s">
        <v>3898</v>
      </c>
      <c r="B718" s="776"/>
      <c r="C718" s="777" t="s">
        <v>1141</v>
      </c>
      <c r="D718" s="778"/>
      <c r="E718" s="779"/>
      <c r="F718" s="779"/>
      <c r="G718" s="779"/>
      <c r="H718" s="780"/>
      <c r="I718" s="779"/>
      <c r="J718" s="781"/>
      <c r="K718" s="782"/>
    </row>
    <row r="719" spans="1:11" x14ac:dyDescent="0.25">
      <c r="A719" s="775" t="s">
        <v>3899</v>
      </c>
      <c r="B719" s="776"/>
      <c r="C719" s="777" t="s">
        <v>1139</v>
      </c>
      <c r="D719" s="778"/>
      <c r="E719" s="779"/>
      <c r="F719" s="779"/>
      <c r="G719" s="779"/>
      <c r="H719" s="780"/>
      <c r="I719" s="779"/>
      <c r="J719" s="781"/>
      <c r="K719" s="782"/>
    </row>
    <row r="720" spans="1:11" x14ac:dyDescent="0.25">
      <c r="A720" s="775" t="s">
        <v>3900</v>
      </c>
      <c r="B720" s="776"/>
      <c r="C720" s="777" t="s">
        <v>1141</v>
      </c>
      <c r="D720" s="778"/>
      <c r="E720" s="779"/>
      <c r="F720" s="779"/>
      <c r="G720" s="779"/>
      <c r="H720" s="780"/>
      <c r="I720" s="779"/>
      <c r="J720" s="781"/>
      <c r="K720" s="782"/>
    </row>
    <row r="721" spans="1:11" x14ac:dyDescent="0.25">
      <c r="A721" s="775" t="s">
        <v>3901</v>
      </c>
      <c r="B721" s="776"/>
      <c r="C721" s="777" t="s">
        <v>1139</v>
      </c>
      <c r="D721" s="778"/>
      <c r="E721" s="779"/>
      <c r="F721" s="779"/>
      <c r="G721" s="779"/>
      <c r="H721" s="780"/>
      <c r="I721" s="779"/>
      <c r="J721" s="781"/>
      <c r="K721" s="782"/>
    </row>
    <row r="722" spans="1:11" x14ac:dyDescent="0.25">
      <c r="A722" s="775" t="s">
        <v>3902</v>
      </c>
      <c r="B722" s="776"/>
      <c r="C722" s="777" t="s">
        <v>1139</v>
      </c>
      <c r="D722" s="778"/>
      <c r="E722" s="779"/>
      <c r="F722" s="779"/>
      <c r="G722" s="779"/>
      <c r="H722" s="780"/>
      <c r="I722" s="779"/>
      <c r="J722" s="781"/>
      <c r="K722" s="782"/>
    </row>
    <row r="723" spans="1:11" x14ac:dyDescent="0.25">
      <c r="A723" s="587" t="s">
        <v>3903</v>
      </c>
      <c r="B723" s="601"/>
      <c r="C723" s="777" t="s">
        <v>1139</v>
      </c>
      <c r="D723" s="603"/>
      <c r="E723" s="588"/>
      <c r="F723" s="588"/>
      <c r="G723" s="588"/>
      <c r="H723" s="589"/>
      <c r="I723" s="588"/>
      <c r="J723" s="590"/>
      <c r="K723" s="591"/>
    </row>
    <row r="724" spans="1:11" x14ac:dyDescent="0.25">
      <c r="A724" s="775" t="s">
        <v>3905</v>
      </c>
      <c r="B724" s="776"/>
      <c r="C724" s="777" t="s">
        <v>1141</v>
      </c>
      <c r="D724" s="778"/>
      <c r="E724" s="779"/>
      <c r="F724" s="779"/>
      <c r="G724" s="779"/>
      <c r="H724" s="780"/>
      <c r="I724" s="779"/>
      <c r="J724" s="781"/>
      <c r="K724" s="782"/>
    </row>
    <row r="725" spans="1:11" x14ac:dyDescent="0.25">
      <c r="A725" s="775" t="s">
        <v>3906</v>
      </c>
      <c r="B725" s="776"/>
      <c r="C725" s="777" t="s">
        <v>1141</v>
      </c>
      <c r="D725" s="778"/>
      <c r="E725" s="779"/>
      <c r="F725" s="779"/>
      <c r="G725" s="779"/>
      <c r="H725" s="780"/>
      <c r="I725" s="779"/>
      <c r="J725" s="781"/>
      <c r="K725" s="782"/>
    </row>
    <row r="726" spans="1:11" x14ac:dyDescent="0.25">
      <c r="A726" s="775" t="s">
        <v>3907</v>
      </c>
      <c r="B726" s="776"/>
      <c r="C726" s="777" t="s">
        <v>1141</v>
      </c>
      <c r="D726" s="778"/>
      <c r="E726" s="779"/>
      <c r="F726" s="779"/>
      <c r="G726" s="779"/>
      <c r="H726" s="780"/>
      <c r="I726" s="779"/>
      <c r="J726" s="781"/>
      <c r="K726" s="782"/>
    </row>
    <row r="727" spans="1:11" x14ac:dyDescent="0.25">
      <c r="A727" s="775" t="s">
        <v>3908</v>
      </c>
      <c r="B727" s="776"/>
      <c r="C727" s="777" t="s">
        <v>1141</v>
      </c>
      <c r="D727" s="778"/>
      <c r="E727" s="779"/>
      <c r="F727" s="779"/>
      <c r="G727" s="779"/>
      <c r="H727" s="780"/>
      <c r="I727" s="779"/>
      <c r="J727" s="781"/>
      <c r="K727" s="782"/>
    </row>
    <row r="728" spans="1:11" x14ac:dyDescent="0.25">
      <c r="A728" s="448" t="s">
        <v>3910</v>
      </c>
      <c r="B728" s="776"/>
      <c r="C728" s="777" t="s">
        <v>1139</v>
      </c>
      <c r="D728" s="665" t="s">
        <v>91</v>
      </c>
      <c r="E728" s="779"/>
      <c r="F728" s="779"/>
      <c r="G728" s="779"/>
      <c r="H728" s="780"/>
      <c r="I728" s="779"/>
      <c r="J728" s="781"/>
      <c r="K728" s="782"/>
    </row>
    <row r="729" spans="1:11" x14ac:dyDescent="0.25">
      <c r="A729" s="775" t="s">
        <v>3911</v>
      </c>
      <c r="B729" s="776"/>
      <c r="C729" s="777" t="s">
        <v>1139</v>
      </c>
      <c r="D729" s="778"/>
      <c r="E729" s="779"/>
      <c r="F729" s="779"/>
      <c r="G729" s="779"/>
      <c r="H729" s="780"/>
      <c r="I729" s="779"/>
      <c r="J729" s="781"/>
      <c r="K729" s="782"/>
    </row>
    <row r="730" spans="1:11" x14ac:dyDescent="0.25">
      <c r="A730" s="775" t="s">
        <v>3912</v>
      </c>
      <c r="B730" s="776"/>
      <c r="C730" s="777" t="s">
        <v>1141</v>
      </c>
      <c r="D730" s="778"/>
      <c r="E730" s="779"/>
      <c r="F730" s="779"/>
      <c r="G730" s="779"/>
      <c r="H730" s="780"/>
      <c r="I730" s="779"/>
      <c r="J730" s="781"/>
      <c r="K730" s="782"/>
    </row>
    <row r="731" spans="1:11" x14ac:dyDescent="0.25">
      <c r="A731" s="803" t="s">
        <v>3913</v>
      </c>
      <c r="B731" s="805"/>
      <c r="C731" s="804" t="s">
        <v>1141</v>
      </c>
      <c r="D731" s="778"/>
      <c r="E731" s="779"/>
      <c r="F731" s="779"/>
      <c r="G731" s="779"/>
      <c r="H731" s="780"/>
      <c r="I731" s="779"/>
      <c r="J731" s="781"/>
      <c r="K731" s="782"/>
    </row>
    <row r="732" spans="1:11" x14ac:dyDescent="0.25">
      <c r="A732" s="775" t="s">
        <v>3914</v>
      </c>
      <c r="B732" s="776"/>
      <c r="C732" s="777" t="s">
        <v>1139</v>
      </c>
      <c r="D732" s="778"/>
      <c r="E732" s="779"/>
      <c r="F732" s="779"/>
      <c r="G732" s="779"/>
      <c r="H732" s="780"/>
      <c r="I732" s="779"/>
      <c r="J732" s="781"/>
      <c r="K732" s="782"/>
    </row>
    <row r="733" spans="1:11" x14ac:dyDescent="0.25">
      <c r="A733" s="775" t="s">
        <v>3915</v>
      </c>
      <c r="B733" s="776"/>
      <c r="C733" s="777" t="s">
        <v>1141</v>
      </c>
      <c r="D733" s="778"/>
      <c r="E733" s="779"/>
      <c r="F733" s="779"/>
      <c r="G733" s="779"/>
      <c r="H733" s="780"/>
      <c r="I733" s="779"/>
      <c r="J733" s="781"/>
      <c r="K733" s="782"/>
    </row>
    <row r="734" spans="1:11" x14ac:dyDescent="0.25">
      <c r="A734" s="775" t="s">
        <v>3919</v>
      </c>
      <c r="B734" s="776"/>
      <c r="C734" s="777" t="s">
        <v>1141</v>
      </c>
      <c r="D734" s="778"/>
      <c r="E734" s="779"/>
      <c r="F734" s="779"/>
      <c r="G734" s="779"/>
      <c r="H734" s="780"/>
      <c r="I734" s="779"/>
      <c r="J734" s="781"/>
      <c r="K734" s="782"/>
    </row>
    <row r="735" spans="1:11" x14ac:dyDescent="0.25">
      <c r="A735" s="775" t="s">
        <v>3920</v>
      </c>
      <c r="B735" s="776"/>
      <c r="C735" s="777" t="s">
        <v>1141</v>
      </c>
      <c r="D735" s="778"/>
      <c r="E735" s="779"/>
      <c r="F735" s="779"/>
      <c r="G735" s="779"/>
      <c r="H735" s="780"/>
      <c r="I735" s="779"/>
      <c r="J735" s="781"/>
      <c r="K735" s="782"/>
    </row>
    <row r="736" spans="1:11" x14ac:dyDescent="0.25">
      <c r="A736" s="775" t="s">
        <v>3921</v>
      </c>
      <c r="B736" s="776"/>
      <c r="C736" s="777" t="s">
        <v>1141</v>
      </c>
      <c r="D736" s="778"/>
      <c r="E736" s="779"/>
      <c r="F736" s="779"/>
      <c r="G736" s="779"/>
      <c r="H736" s="780"/>
      <c r="I736" s="779"/>
      <c r="J736" s="781"/>
      <c r="K736" s="782"/>
    </row>
    <row r="737" spans="1:11" x14ac:dyDescent="0.25">
      <c r="A737" s="587" t="s">
        <v>3922</v>
      </c>
      <c r="B737" s="601"/>
      <c r="C737" s="602" t="s">
        <v>1141</v>
      </c>
      <c r="D737" s="603"/>
      <c r="E737" s="588"/>
      <c r="F737" s="588"/>
      <c r="G737" s="588"/>
      <c r="H737" s="589"/>
      <c r="I737" s="588"/>
      <c r="J737" s="590"/>
      <c r="K737" s="591"/>
    </row>
    <row r="738" spans="1:11" ht="30" x14ac:dyDescent="0.25">
      <c r="A738" s="587" t="s">
        <v>3923</v>
      </c>
      <c r="B738" s="601"/>
      <c r="C738" s="602" t="s">
        <v>1141</v>
      </c>
      <c r="D738" s="603"/>
      <c r="E738" s="588"/>
      <c r="F738" s="588"/>
      <c r="G738" s="588"/>
      <c r="H738" s="589"/>
      <c r="I738" s="588"/>
      <c r="J738" s="590"/>
      <c r="K738" s="591"/>
    </row>
    <row r="739" spans="1:11" x14ac:dyDescent="0.25">
      <c r="A739" s="587" t="s">
        <v>3924</v>
      </c>
      <c r="B739" s="601"/>
      <c r="C739" s="602" t="s">
        <v>1141</v>
      </c>
      <c r="D739" s="603"/>
      <c r="E739" s="588"/>
      <c r="F739" s="588"/>
      <c r="G739" s="588"/>
      <c r="H739" s="589"/>
      <c r="I739" s="588"/>
      <c r="J739" s="590"/>
      <c r="K739" s="591"/>
    </row>
    <row r="740" spans="1:11" x14ac:dyDescent="0.25">
      <c r="A740" s="448" t="s">
        <v>1362</v>
      </c>
      <c r="B740" s="776"/>
      <c r="C740" s="777" t="s">
        <v>1139</v>
      </c>
      <c r="D740" s="778"/>
      <c r="E740" s="779"/>
      <c r="F740" s="779"/>
      <c r="G740" s="779"/>
      <c r="H740" s="780"/>
      <c r="I740" s="779"/>
      <c r="J740" s="781"/>
      <c r="K740" s="782"/>
    </row>
    <row r="741" spans="1:11" x14ac:dyDescent="0.25">
      <c r="A741" s="448" t="s">
        <v>3931</v>
      </c>
      <c r="B741" s="776"/>
      <c r="C741" s="777" t="s">
        <v>1141</v>
      </c>
      <c r="D741" s="778"/>
      <c r="E741" s="779"/>
      <c r="F741" s="779"/>
      <c r="G741" s="779"/>
      <c r="H741" s="780"/>
      <c r="I741" s="779"/>
      <c r="J741" s="781"/>
      <c r="K741" s="782"/>
    </row>
    <row r="742" spans="1:11" x14ac:dyDescent="0.25">
      <c r="A742" s="775" t="s">
        <v>3932</v>
      </c>
      <c r="B742" s="776"/>
      <c r="C742" s="777" t="s">
        <v>1139</v>
      </c>
      <c r="D742" s="778"/>
      <c r="E742" s="779"/>
      <c r="F742" s="779"/>
      <c r="G742" s="779"/>
      <c r="H742" s="780"/>
      <c r="I742" s="779"/>
      <c r="J742" s="781"/>
      <c r="K742" s="782"/>
    </row>
    <row r="743" spans="1:11" ht="30" x14ac:dyDescent="0.25">
      <c r="A743" s="775" t="s">
        <v>3933</v>
      </c>
      <c r="B743" s="776"/>
      <c r="C743" s="777" t="s">
        <v>1139</v>
      </c>
      <c r="D743" s="778"/>
      <c r="E743" s="779"/>
      <c r="F743" s="779"/>
      <c r="G743" s="779"/>
      <c r="H743" s="780"/>
      <c r="I743" s="779"/>
      <c r="J743" s="781"/>
      <c r="K743" s="782"/>
    </row>
    <row r="744" spans="1:11" x14ac:dyDescent="0.25">
      <c r="A744" s="775" t="s">
        <v>3744</v>
      </c>
      <c r="B744" s="776" t="s">
        <v>59</v>
      </c>
      <c r="C744" s="777" t="s">
        <v>1141</v>
      </c>
      <c r="D744" s="778"/>
      <c r="E744" s="779"/>
      <c r="F744" s="779"/>
      <c r="G744" s="779"/>
      <c r="H744" s="780"/>
      <c r="I744" s="779"/>
      <c r="J744" s="781"/>
      <c r="K744" s="782"/>
    </row>
    <row r="745" spans="1:11" x14ac:dyDescent="0.25">
      <c r="A745" s="807" t="s">
        <v>3939</v>
      </c>
      <c r="B745" s="808"/>
      <c r="C745" s="809" t="s">
        <v>1141</v>
      </c>
      <c r="D745" s="810"/>
      <c r="E745" s="811"/>
      <c r="F745" s="811"/>
      <c r="G745" s="811"/>
      <c r="H745" s="812"/>
      <c r="I745" s="811"/>
      <c r="J745" s="813"/>
      <c r="K745" s="814"/>
    </row>
    <row r="746" spans="1:11" x14ac:dyDescent="0.25">
      <c r="A746" s="807" t="s">
        <v>3940</v>
      </c>
      <c r="B746" s="808"/>
      <c r="C746" s="809" t="s">
        <v>1141</v>
      </c>
      <c r="D746" s="810"/>
      <c r="E746" s="811"/>
      <c r="F746" s="811"/>
      <c r="G746" s="811"/>
      <c r="H746" s="812"/>
      <c r="I746" s="811"/>
      <c r="J746" s="813"/>
      <c r="K746" s="814"/>
    </row>
    <row r="747" spans="1:11" x14ac:dyDescent="0.25">
      <c r="A747" s="807" t="s">
        <v>3947</v>
      </c>
      <c r="B747" s="808"/>
      <c r="C747" s="809" t="s">
        <v>1141</v>
      </c>
      <c r="D747" s="810"/>
      <c r="E747" s="811"/>
      <c r="F747" s="811"/>
      <c r="G747" s="811"/>
      <c r="H747" s="812"/>
      <c r="I747" s="811"/>
      <c r="J747" s="813"/>
      <c r="K747" s="814"/>
    </row>
    <row r="748" spans="1:11" x14ac:dyDescent="0.25">
      <c r="A748" s="807" t="s">
        <v>3948</v>
      </c>
      <c r="B748" s="808"/>
      <c r="C748" s="809" t="s">
        <v>1141</v>
      </c>
      <c r="D748" s="810"/>
      <c r="E748" s="811"/>
      <c r="F748" s="811"/>
      <c r="G748" s="811"/>
      <c r="H748" s="812"/>
      <c r="I748" s="811"/>
      <c r="J748" s="813"/>
      <c r="K748" s="814"/>
    </row>
  </sheetData>
  <dataValidations count="2">
    <dataValidation type="list" allowBlank="1" showInputMessage="1" showErrorMessage="1" sqref="A247 A418:B418 A485" xr:uid="{00000000-0002-0000-0900-000001000000}">
      <formula1>INDIRECT("'[Library.xlsx]Сontractors'!Contractors[Company name]")</formula1>
    </dataValidation>
    <dataValidation type="list" allowBlank="1" showInputMessage="1" showErrorMessage="1" sqref="C2:C743" xr:uid="{00000000-0002-0000-0900-000002000000}">
      <formula1>INDIRECT("VAT_Types[VAT Types]")</formula1>
    </dataValidation>
  </dataValidations>
  <hyperlinks>
    <hyperlink ref="I205" r:id="rId1" xr:uid="{00000000-0004-0000-0900-000001000000}"/>
    <hyperlink ref="I281" r:id="rId2" xr:uid="{00000000-0004-0000-0900-000002000000}"/>
    <hyperlink ref="I336" r:id="rId3" xr:uid="{00000000-0004-0000-0900-000004000000}"/>
    <hyperlink ref="I400" r:id="rId4" xr:uid="{00000000-0004-0000-0900-000006000000}"/>
    <hyperlink ref="I282" r:id="rId5" xr:uid="{00000000-0004-0000-0900-000008000000}"/>
    <hyperlink ref="I16" r:id="rId6" xr:uid="{00000000-0004-0000-0900-00000A000000}"/>
    <hyperlink ref="I311" r:id="rId7" xr:uid="{00000000-0004-0000-0900-00000C000000}"/>
    <hyperlink ref="I369" r:id="rId8" xr:uid="{00000000-0004-0000-0900-00000D000000}"/>
    <hyperlink ref="I70" r:id="rId9" xr:uid="{00000000-0004-0000-0900-00000E000000}"/>
    <hyperlink ref="I246" r:id="rId10" xr:uid="{00000000-0004-0000-0900-00000F000000}"/>
    <hyperlink ref="I146" r:id="rId11" xr:uid="{00000000-0004-0000-0900-000012000000}"/>
    <hyperlink ref="I180" r:id="rId12" xr:uid="{00000000-0004-0000-0900-000013000000}"/>
    <hyperlink ref="I284" r:id="rId13" xr:uid="{00000000-0004-0000-0900-000015000000}"/>
    <hyperlink ref="I206" r:id="rId14" xr:uid="{00000000-0004-0000-0900-000017000000}"/>
    <hyperlink ref="I186" r:id="rId15" xr:uid="{00000000-0004-0000-0900-000019000000}"/>
    <hyperlink ref="I221" r:id="rId16" xr:uid="{00000000-0004-0000-0900-00001D000000}"/>
    <hyperlink ref="I122" r:id="rId17" xr:uid="{00000000-0004-0000-0900-00001E000000}"/>
    <hyperlink ref="I226" r:id="rId18" xr:uid="{00000000-0004-0000-0900-000021000000}"/>
    <hyperlink ref="I350" r:id="rId19" xr:uid="{00000000-0004-0000-0900-000023000000}"/>
    <hyperlink ref="I395" r:id="rId20" xr:uid="{00000000-0004-0000-0900-000025000000}"/>
    <hyperlink ref="I353" r:id="rId21" xr:uid="{00000000-0004-0000-0900-000028000000}"/>
    <hyperlink ref="I54" r:id="rId22" xr:uid="{00000000-0004-0000-0900-000029000000}"/>
    <hyperlink ref="I185" r:id="rId23" xr:uid="{00000000-0004-0000-0900-00002C000000}"/>
    <hyperlink ref="I195" r:id="rId24" xr:uid="{00000000-0004-0000-0900-00002D000000}"/>
    <hyperlink ref="I203" r:id="rId25" xr:uid="{00000000-0004-0000-0900-00002F000000}"/>
    <hyperlink ref="I250" r:id="rId26" xr:uid="{00000000-0004-0000-0900-000030000000}"/>
    <hyperlink ref="I340" r:id="rId27" xr:uid="{00000000-0004-0000-0900-000032000000}"/>
    <hyperlink ref="I339" r:id="rId28" xr:uid="{00000000-0004-0000-0900-000033000000}"/>
    <hyperlink ref="I294" r:id="rId29" xr:uid="{00000000-0004-0000-0900-000035000000}"/>
    <hyperlink ref="I371" r:id="rId30" xr:uid="{00000000-0004-0000-0900-000038000000}"/>
    <hyperlink ref="I345" r:id="rId31" xr:uid="{00000000-0004-0000-0900-000039000000}"/>
    <hyperlink ref="I20" r:id="rId32" xr:uid="{00000000-0004-0000-0900-00003C000000}"/>
    <hyperlink ref="I245" r:id="rId33" xr:uid="{00000000-0004-0000-0900-00003F000000}"/>
    <hyperlink ref="I67" r:id="rId34" xr:uid="{00000000-0004-0000-0900-000043000000}"/>
    <hyperlink ref="I230" r:id="rId35" xr:uid="{00000000-0004-0000-0900-000046000000}"/>
    <hyperlink ref="I108" r:id="rId36" xr:uid="{00000000-0004-0000-0900-000049000000}"/>
    <hyperlink ref="I192" r:id="rId37" xr:uid="{00000000-0004-0000-0900-00004A000000}"/>
    <hyperlink ref="I244" r:id="rId38" xr:uid="{00000000-0004-0000-0900-00004D000000}"/>
    <hyperlink ref="I326" r:id="rId39" xr:uid="{00000000-0004-0000-0900-00004E000000}"/>
    <hyperlink ref="I260" r:id="rId40" xr:uid="{00000000-0004-0000-0900-000050000000}"/>
    <hyperlink ref="I392" r:id="rId41" xr:uid="{00000000-0004-0000-0900-000053000000}"/>
    <hyperlink ref="I66" r:id="rId42" xr:uid="{00000000-0004-0000-0900-000054000000}"/>
    <hyperlink ref="I36" r:id="rId43" xr:uid="{00000000-0004-0000-0900-000055000000}"/>
    <hyperlink ref="I291" r:id="rId44" xr:uid="{00000000-0004-0000-0900-000058000000}"/>
    <hyperlink ref="I187" r:id="rId45" xr:uid="{00000000-0004-0000-0900-000059000000}"/>
    <hyperlink ref="I19" r:id="rId46" xr:uid="{00000000-0004-0000-0900-00005A000000}"/>
    <hyperlink ref="I278" r:id="rId47" xr:uid="{00000000-0004-0000-0900-00005D000000}"/>
    <hyperlink ref="I271" r:id="rId48" xr:uid="{00000000-0004-0000-0900-00005E000000}"/>
    <hyperlink ref="I106" r:id="rId49" xr:uid="{00000000-0004-0000-0900-00005F000000}"/>
    <hyperlink ref="I328" r:id="rId50" xr:uid="{00000000-0004-0000-0900-000062000000}"/>
    <hyperlink ref="I243" r:id="rId51" xr:uid="{00000000-0004-0000-0900-000064000000}"/>
    <hyperlink ref="I402" r:id="rId52" xr:uid="{00000000-0004-0000-0900-00006A000000}"/>
    <hyperlink ref="I79" r:id="rId53" xr:uid="{00000000-0004-0000-0900-00006C000000}"/>
    <hyperlink ref="I207" r:id="rId54" xr:uid="{00000000-0004-0000-0900-00006E000000}"/>
    <hyperlink ref="I323" r:id="rId55" xr:uid="{00000000-0004-0000-0900-00006F000000}"/>
    <hyperlink ref="I373" r:id="rId56" display="http://www.standarte.ru/" xr:uid="{00000000-0004-0000-0900-000075000000}"/>
    <hyperlink ref="I355" r:id="rId57" xr:uid="{00000000-0004-0000-0900-000076000000}"/>
    <hyperlink ref="I305" r:id="rId58" xr:uid="{00000000-0004-0000-0900-00007B000000}"/>
    <hyperlink ref="I313" r:id="rId59" xr:uid="{00000000-0004-0000-0900-00007E000000}"/>
    <hyperlink ref="J313" r:id="rId60" display="tel:+74953747991" xr:uid="{00000000-0004-0000-0900-000080000000}"/>
    <hyperlink ref="I124" r:id="rId61" xr:uid="{00000000-0004-0000-0900-000081000000}"/>
    <hyperlink ref="I196" r:id="rId62" xr:uid="{00000000-0004-0000-0900-000082000000}"/>
    <hyperlink ref="I235" r:id="rId63" display="https://mblmebel.com/" xr:uid="{00000000-0004-0000-0900-000083000000}"/>
    <hyperlink ref="I254" r:id="rId64" xr:uid="{00000000-0004-0000-0900-000084000000}"/>
    <hyperlink ref="I267" r:id="rId65" display="https://ecovanna.ru/" xr:uid="{00000000-0004-0000-0900-000085000000}"/>
    <hyperlink ref="I272" r:id="rId66" xr:uid="{00000000-0004-0000-0900-000086000000}"/>
    <hyperlink ref="I184" r:id="rId67" xr:uid="{00000000-0004-0000-0900-00008C000000}"/>
    <hyperlink ref="I50" r:id="rId68" xr:uid="{00000000-0004-0000-0900-00008F000000}"/>
    <hyperlink ref="I111" r:id="rId69" xr:uid="{00000000-0004-0000-0900-000091000000}"/>
    <hyperlink ref="I176" r:id="rId70" xr:uid="{00000000-0004-0000-0900-000093000000}"/>
    <hyperlink ref="I220" r:id="rId71" xr:uid="{00000000-0004-0000-0900-000094000000}"/>
    <hyperlink ref="K33" r:id="rId72" xr:uid="{00000000-0004-0000-0900-000098000000}"/>
    <hyperlink ref="I199" r:id="rId73" xr:uid="{1AECA14E-9948-47EB-9C0B-2FA2E5D3127A}"/>
    <hyperlink ref="I158" r:id="rId74" xr:uid="{D74AC76A-1B98-406B-9FE8-9B6142AE9224}"/>
    <hyperlink ref="E18" r:id="rId75" xr:uid="{D9E05F2E-6922-4C72-B9DB-9973DFCAAE65}"/>
    <hyperlink ref="I387" r:id="rId76" xr:uid="{CEBD43D9-C53E-413E-B381-AA29B2A4BC94}"/>
    <hyperlink ref="I214" r:id="rId77" xr:uid="{00000000-0004-0000-0100-0000A3000000}"/>
    <hyperlink ref="I265" r:id="rId78" xr:uid="{00000000-0004-0000-0100-000099000000}"/>
    <hyperlink ref="I264" r:id="rId79" xr:uid="{00000000-0004-0000-0100-0000A6000000}"/>
    <hyperlink ref="I393" r:id="rId80" xr:uid="{9D40BD13-AAC8-4304-8E64-FC1371F8671B}"/>
    <hyperlink ref="I76" r:id="rId81" xr:uid="{80138517-B84C-4E7D-A8C7-3CCC73223F8F}"/>
    <hyperlink ref="I49" r:id="rId82" xr:uid="{E36332E1-9553-4D74-BEEA-0C83D57E5761}"/>
    <hyperlink ref="I118" r:id="rId83" xr:uid="{7E2536A8-F1FC-4B59-88CB-160C81488B3B}"/>
    <hyperlink ref="I101" r:id="rId84" xr:uid="{29A73020-25F8-4FAB-BC46-52920BB4CE6E}"/>
    <hyperlink ref="I56" r:id="rId85" xr:uid="{B5735584-F790-4AEB-9615-80A1518794AD}"/>
    <hyperlink ref="I90" r:id="rId86" xr:uid="{AE7657E0-88A9-439D-8318-C1239C41E60B}"/>
    <hyperlink ref="I153" r:id="rId87" display="http://www.aquairy.ru/" xr:uid="{C488E755-45C7-4415-893A-549AD7996566}"/>
    <hyperlink ref="I163" r:id="rId88" xr:uid="{667A55DD-B161-47FF-BCA0-54BB74C1E462}"/>
    <hyperlink ref="I351" r:id="rId89" xr:uid="{416E51F1-1ECE-4297-A33A-F44B163F7A10}"/>
    <hyperlink ref="I397" r:id="rId90" xr:uid="{DFE47D23-B402-4940-8B7A-3D3C64102E6D}"/>
    <hyperlink ref="I388" r:id="rId91" xr:uid="{B6F16EBB-8485-4D5E-8D68-69F8E5F7821D}"/>
    <hyperlink ref="I35" r:id="rId92" xr:uid="{66824C52-B0FC-4D84-9C3D-7B868C81071D}"/>
    <hyperlink ref="I113" r:id="rId93" xr:uid="{460B2FE7-1B32-44AC-A3EB-E1C9A083E052}"/>
    <hyperlink ref="I204" r:id="rId94" xr:uid="{5B57313D-CFE3-455A-8066-9302AA79A753}"/>
    <hyperlink ref="I164" r:id="rId95" xr:uid="{684FD769-E5FF-4FEB-9441-F43E1C615F81}"/>
    <hyperlink ref="I247" r:id="rId96" xr:uid="{834C1C0C-DC6A-476F-B27B-F9379F6A3542}"/>
    <hyperlink ref="I198" r:id="rId97" xr:uid="{10360DA5-30E4-4DF8-B113-B2B4F897AD8F}"/>
    <hyperlink ref="I331" r:id="rId98" xr:uid="{FA80D2A1-E8F6-4AF9-9A84-6F12C73E0082}"/>
    <hyperlink ref="I266" r:id="rId99" xr:uid="{EC93818D-9507-46AF-9172-B9AA06F54A24}"/>
    <hyperlink ref="I140" r:id="rId100" xr:uid="{624E76EC-E87C-49D6-BDAB-6375922DA78F}"/>
    <hyperlink ref="I58" r:id="rId101" xr:uid="{3842A30D-8F3F-48D2-9BA5-6584FAAC3B3A}"/>
    <hyperlink ref="I438" r:id="rId102" xr:uid="{862A2C4E-9EBC-4C03-B754-D86CE0CA033A}"/>
    <hyperlink ref="I440" r:id="rId103" xr:uid="{61E4778A-6276-4AA4-B359-D420BF94FCB3}"/>
    <hyperlink ref="J441" r:id="rId104" display="https://www.bornemann-gewindetechnik.de/ru/%d0%ba%d0%be%d0%bd%d1%82%d0%b0%d0%ba%d1%82%d1%8b/+49 5187-9422-26" xr:uid="{8AE063B5-AE5F-4FDB-A6C6-F252C15232A3}"/>
    <hyperlink ref="I442" r:id="rId105" xr:uid="{1BF793F8-40E2-491D-B7B4-3DB993E6FB2A}"/>
    <hyperlink ref="I462" r:id="rId106" display="http://www.statust.ru/" xr:uid="{F20967B1-CC0D-48C1-98FB-7877C0B2EB55}"/>
    <hyperlink ref="I469" r:id="rId107" xr:uid="{AA8076F4-EF28-4AAF-98EB-8CDA761BE615}"/>
    <hyperlink ref="I472" r:id="rId108" xr:uid="{371BFE44-A1DF-44FC-B330-855D1C38F58A}"/>
    <hyperlink ref="I167" r:id="rId109" xr:uid="{A39685F5-C4D3-458E-B56D-44D8CD9C9AAB}"/>
    <hyperlink ref="I481" r:id="rId110" xr:uid="{514DCC6D-EC55-4720-B65F-43BDBEC45494}"/>
    <hyperlink ref="K490" r:id="rId111" xr:uid="{4F7AE625-3072-4284-946B-6F60534560A3}"/>
    <hyperlink ref="K491" r:id="rId112" xr:uid="{F8F5D07F-E87B-45E5-BF29-7D5C89BD7C22}"/>
    <hyperlink ref="K493" r:id="rId113" xr:uid="{46E5AF62-5436-4CC9-804E-1F908E706198}"/>
    <hyperlink ref="K494" r:id="rId114" xr:uid="{08C6CF3E-1070-42FD-98B3-6ADE5FA00731}"/>
    <hyperlink ref="K495" r:id="rId115" xr:uid="{55699DBE-8C2D-4253-B550-966100B511FB}"/>
    <hyperlink ref="K497" r:id="rId116" xr:uid="{463DF3D1-929F-414B-BC5F-0AF3DA2C801D}"/>
    <hyperlink ref="K496" r:id="rId117" xr:uid="{D44BB25D-6C45-4B5A-98DE-D80E92AB2F87}"/>
    <hyperlink ref="K504" r:id="rId118" xr:uid="{C43CC93E-27FC-49FD-8246-DD64B5465C73}"/>
    <hyperlink ref="K506" r:id="rId119" xr:uid="{1D7E560C-99A6-4605-976A-174BAB1C6B7D}"/>
    <hyperlink ref="K508" r:id="rId120" xr:uid="{0F5DF43B-7A25-4966-9E37-774F168F4F1D}"/>
    <hyperlink ref="K509" r:id="rId121" xr:uid="{E2F2BA7E-49BB-4350-BAD3-4F97EBACEE4B}"/>
    <hyperlink ref="I501" r:id="rId122" xr:uid="{ACAEF21A-53C8-4D19-A5D0-E470F7622F53}"/>
    <hyperlink ref="I508" r:id="rId123" xr:uid="{8EE2E9BC-BE88-41FE-8294-95FA1400AB48}"/>
    <hyperlink ref="I491" r:id="rId124" xr:uid="{D976D191-0D3B-46CE-AE25-33AC320E0197}"/>
    <hyperlink ref="I236" r:id="rId125" xr:uid="{83EC6D0A-6739-4887-9C93-6139F5CB9D3C}"/>
    <hyperlink ref="I240" r:id="rId126" xr:uid="{B3476686-F601-4BCF-A6BE-E6095A05CA80}"/>
    <hyperlink ref="I239" r:id="rId127" xr:uid="{B561C717-146A-49A9-85BD-A221FDFE555A}"/>
    <hyperlink ref="I276" r:id="rId128" xr:uid="{A73D4B1B-809A-4A92-8D65-A87AD0AFCF70}"/>
    <hyperlink ref="I516" r:id="rId129" xr:uid="{D8B76D83-11F9-4B6A-A632-2AA7F1D7A67B}"/>
    <hyperlink ref="I517" r:id="rId130" xr:uid="{3F40A0B5-7B81-49CD-881F-12AC9FCBEEFD}"/>
    <hyperlink ref="I521" r:id="rId131" xr:uid="{626AE5D2-DDAB-4D82-BBA4-6249023FA60E}"/>
    <hyperlink ref="I523" r:id="rId132" xr:uid="{17015933-961E-457B-8023-52B4F671CD37}"/>
    <hyperlink ref="I524" r:id="rId133" xr:uid="{3F3576AE-126E-44C9-BD54-4BDC43CFF4AA}"/>
    <hyperlink ref="I528" r:id="rId134" xr:uid="{CC5870C9-AB1D-48A1-9C38-D4832536EEAE}"/>
    <hyperlink ref="I530" r:id="rId135" xr:uid="{B100A97F-CA43-4B94-806C-3AF231393711}"/>
    <hyperlink ref="I531" r:id="rId136" xr:uid="{EB13CB5C-E637-42FD-8397-5301637884B9}"/>
    <hyperlink ref="I534" r:id="rId137" xr:uid="{F9B3AA71-AC7A-4439-BFFE-0B7875D6A551}"/>
    <hyperlink ref="I535" r:id="rId138" xr:uid="{93072DC0-E386-4EA1-B5DD-D62E9A831AE1}"/>
    <hyperlink ref="I536" r:id="rId139" xr:uid="{11C2D022-32E0-4189-8F8C-49F2D4DFD8DC}"/>
    <hyperlink ref="I537" r:id="rId140" xr:uid="{4085B55D-DD03-4E7C-AAEA-D3AB93D75003}"/>
    <hyperlink ref="K540" r:id="rId141" xr:uid="{ECEB4CA2-8451-40BE-8BC0-CA567EB22C6A}"/>
    <hyperlink ref="I545" r:id="rId142" xr:uid="{371B458F-BB04-496F-9994-07DF26F8070F}"/>
    <hyperlink ref="F491" r:id="rId143" xr:uid="{0380EA42-C4B9-49F3-B9C5-B846A34E7598}"/>
    <hyperlink ref="I261" r:id="rId144" xr:uid="{CA18D832-2D24-4A4E-8F8B-AEC8C35A3316}"/>
    <hyperlink ref="I546" r:id="rId145" xr:uid="{890F6EA6-B87F-48E2-B04F-BDCC30FC9F7E}"/>
    <hyperlink ref="I547" r:id="rId146" xr:uid="{178C3D44-DF15-492F-A81F-DD168ECC0846}"/>
    <hyperlink ref="I548" r:id="rId147" xr:uid="{FB429D79-A3D3-4EF6-AE05-F49DDBAE9C69}"/>
    <hyperlink ref="I337" r:id="rId148" xr:uid="{1B2F5A48-BF3C-4038-B543-1DC1C69059EC}"/>
  </hyperlinks>
  <pageMargins left="0.7" right="0.7" top="0.75" bottom="0.75" header="0.3" footer="0.3"/>
  <pageSetup paperSize="9" orientation="portrait" r:id="rId149"/>
  <tableParts count="1">
    <tablePart r:id="rId15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9" tint="0.39997558519241921"/>
  </sheetPr>
  <dimension ref="A1:Y151"/>
  <sheetViews>
    <sheetView topLeftCell="A110" zoomScaleNormal="100" workbookViewId="0">
      <selection activeCell="L142" sqref="L142"/>
    </sheetView>
  </sheetViews>
  <sheetFormatPr defaultRowHeight="15" x14ac:dyDescent="0.25"/>
  <cols>
    <col min="1" max="1" width="5.5703125" bestFit="1" customWidth="1"/>
    <col min="2" max="2" width="10.7109375" bestFit="1" customWidth="1"/>
    <col min="3" max="3" width="17" bestFit="1" customWidth="1"/>
    <col min="4" max="4" width="8.7109375" bestFit="1" customWidth="1"/>
    <col min="5" max="5" width="26.140625" bestFit="1" customWidth="1"/>
    <col min="6" max="6" width="13.42578125" customWidth="1"/>
    <col min="7" max="7" width="22.5703125" customWidth="1"/>
    <col min="8" max="8" width="7.5703125" customWidth="1"/>
    <col min="9" max="9" width="25.28515625" customWidth="1"/>
    <col min="10" max="10" width="14.7109375" customWidth="1"/>
    <col min="11" max="11" width="15" customWidth="1"/>
    <col min="12" max="12" width="19.7109375" customWidth="1"/>
    <col min="13" max="13" width="18.5703125" bestFit="1" customWidth="1"/>
    <col min="14" max="15" width="13.42578125" bestFit="1" customWidth="1"/>
    <col min="16" max="16" width="12.28515625" customWidth="1"/>
    <col min="17" max="18" width="12.28515625" bestFit="1" customWidth="1"/>
    <col min="19" max="19" width="15.7109375" bestFit="1" customWidth="1"/>
    <col min="20" max="20" width="13.42578125" bestFit="1" customWidth="1"/>
    <col min="21" max="21" width="12.140625" bestFit="1" customWidth="1"/>
    <col min="22" max="22" width="24.28515625" customWidth="1"/>
    <col min="23" max="23" width="21.5703125" customWidth="1"/>
    <col min="24" max="24" width="20" customWidth="1"/>
    <col min="25" max="25" width="15.7109375" bestFit="1" customWidth="1"/>
  </cols>
  <sheetData>
    <row r="1" spans="1:22" ht="30" x14ac:dyDescent="0.25">
      <c r="A1" t="s">
        <v>101</v>
      </c>
      <c r="B1" t="s">
        <v>82</v>
      </c>
      <c r="C1" t="s">
        <v>96</v>
      </c>
      <c r="D1" t="s">
        <v>424</v>
      </c>
      <c r="E1" t="s">
        <v>71</v>
      </c>
      <c r="F1" t="s">
        <v>83</v>
      </c>
      <c r="G1" s="1" t="s">
        <v>93</v>
      </c>
      <c r="H1" t="s">
        <v>697</v>
      </c>
      <c r="I1" s="1" t="s">
        <v>677</v>
      </c>
      <c r="J1" s="1" t="s">
        <v>718</v>
      </c>
      <c r="K1" t="s">
        <v>200</v>
      </c>
      <c r="L1" t="s">
        <v>1643</v>
      </c>
      <c r="M1" t="s">
        <v>1650</v>
      </c>
      <c r="N1" s="1" t="s">
        <v>1628</v>
      </c>
      <c r="O1" s="1" t="s">
        <v>1629</v>
      </c>
      <c r="P1" s="1" t="s">
        <v>1630</v>
      </c>
      <c r="Q1" s="1" t="s">
        <v>1631</v>
      </c>
      <c r="R1" s="1" t="s">
        <v>1632</v>
      </c>
      <c r="S1" s="1" t="s">
        <v>1633</v>
      </c>
      <c r="T1" s="1" t="s">
        <v>1634</v>
      </c>
      <c r="U1" s="1" t="s">
        <v>1635</v>
      </c>
      <c r="V1" s="1" t="s">
        <v>1636</v>
      </c>
    </row>
    <row r="2" spans="1:22" x14ac:dyDescent="0.25">
      <c r="A2">
        <v>1</v>
      </c>
      <c r="B2" s="91">
        <v>42005</v>
      </c>
      <c r="C2" s="2" t="s">
        <v>419</v>
      </c>
      <c r="D2">
        <f>SUMIF(Positions[Positions],Salary[[#This Row],[Position]],Positions[Grade])</f>
        <v>100</v>
      </c>
      <c r="E2" t="s">
        <v>475</v>
      </c>
      <c r="F2" s="6">
        <v>0</v>
      </c>
      <c r="G2" s="7">
        <f>ROUND(Salary[[#This Row],[Salary]]/160,0)</f>
        <v>0</v>
      </c>
      <c r="H2">
        <v>0</v>
      </c>
      <c r="I2" s="6">
        <f>Salary[[#This Row],[FTE]]*Salary[[#This Row],[Salary]]</f>
        <v>0</v>
      </c>
      <c r="J2" s="6">
        <f>INDEX(GradesAndSalaries[],MATCH(Salary[[#This Row],[Grade]],GradesAndSalaries[Grade],0),MATCH(Employee[[#Headers],[Base Budgeting COST]],GradesAndSalaries[#Headers],0))</f>
        <v>0</v>
      </c>
      <c r="L2" s="6" t="e">
        <f>Salary[[#This Row],[Salary]]/(1-INDEX(Tax[НДФЛ],MATCH(Salary[[#This Row],[PaymentMethod]],Tax[PaymentMethod])))</f>
        <v>#N/A</v>
      </c>
      <c r="N2" s="6" t="e">
        <f>Salary[[#This Row],[НДФЛ]]+Salary[[#This Row],[Фонды]]+Salary[[#This Row],[Налог на прибыль]]+Salary[[#This Row],[НДС]]</f>
        <v>#N/A</v>
      </c>
      <c r="O2" s="6" t="e">
        <f>Salary[[#This Row],[Salary]]+Salary[[#This Row],[Полный Налог]]</f>
        <v>#N/A</v>
      </c>
      <c r="P2" s="6" t="e">
        <f>Salary[[#This Row],[Полный Налог]]/Salary[[#This Row],[Salary]]</f>
        <v>#N/A</v>
      </c>
      <c r="Q2" s="6" t="e">
        <f>Salary[[#This Row],[SalaryOfficial]]*INDEX(Tax[НДФЛ],MATCH(Salary[[#This Row],[PaymentMethod]],Tax[PaymentMethod], 0))</f>
        <v>#N/A</v>
      </c>
      <c r="R2" s="6" t="e">
        <f>Salary[[#This Row],[SalaryOfficial]]*INDEX(Tax[Взносы],MATCH(Salary[[#This Row],[PaymentMethod]],Tax[PaymentMethod],0))</f>
        <v>#N/A</v>
      </c>
      <c r="S2" s="6" t="e">
        <f>Salary[[#This Row],[Salary]]+Salary[[#This Row],[НДФЛ]]+Salary[[#This Row],[Фонды]]</f>
        <v>#N/A</v>
      </c>
      <c r="T2" s="6" t="e">
        <f>Salary[[#This Row],[ЗП+НДФЛ+Фонды]]/(1-INDEX(Tax[УСН или Прибыль],MATCH(Salary[[#This Row],[PaymentMethod]],Tax[PaymentMethod],0)))</f>
        <v>#N/A</v>
      </c>
      <c r="U2" s="6" t="e">
        <f>Salary[[#This Row],[Прибыль]]*INDEX(Tax[УСН или Прибыль],MATCH(Salary[[#This Row],[PaymentMethod]],Tax[PaymentMethod],0))</f>
        <v>#N/A</v>
      </c>
      <c r="V2" s="6" t="e">
        <f>Salary[[#This Row],[Прибыль]]*INDEX(Tax[НДС],MATCH(Salary[[#This Row],[PaymentMethod]],Tax[PaymentMethod],0))</f>
        <v>#N/A</v>
      </c>
    </row>
    <row r="3" spans="1:22" x14ac:dyDescent="0.25">
      <c r="A3">
        <v>2</v>
      </c>
      <c r="B3" s="91">
        <v>42005</v>
      </c>
      <c r="C3" s="2" t="s">
        <v>419</v>
      </c>
      <c r="D3">
        <f>SUMIF(Positions[Positions],Salary[[#This Row],[Position]],Positions[Grade])</f>
        <v>100</v>
      </c>
      <c r="E3" t="s">
        <v>476</v>
      </c>
      <c r="F3" s="6">
        <v>0</v>
      </c>
      <c r="G3" s="7">
        <f>ROUND(Salary[[#This Row],[Salary]]/160,0)</f>
        <v>0</v>
      </c>
      <c r="H3">
        <v>0</v>
      </c>
      <c r="I3" s="6">
        <f>Salary[[#This Row],[FTE]]*Salary[[#This Row],[Salary]]</f>
        <v>0</v>
      </c>
      <c r="J3" s="6">
        <f>INDEX(GradesAndSalaries[],MATCH(Salary[[#This Row],[Grade]],GradesAndSalaries[Grade],0),MATCH(Employee[[#Headers],[Base Budgeting COST]],GradesAndSalaries[#Headers],0))</f>
        <v>0</v>
      </c>
      <c r="L3" s="6" t="e">
        <f>Salary[[#This Row],[Salary]]/(1-INDEX(Tax[НДФЛ],MATCH(Salary[[#This Row],[PaymentMethod]],Tax[PaymentMethod])))</f>
        <v>#N/A</v>
      </c>
      <c r="N3" s="6" t="e">
        <f>Salary[[#This Row],[НДФЛ]]+Salary[[#This Row],[Фонды]]+Salary[[#This Row],[Налог на прибыль]]+Salary[[#This Row],[НДС]]</f>
        <v>#N/A</v>
      </c>
      <c r="O3" s="6" t="e">
        <f>Salary[[#This Row],[Salary]]+Salary[[#This Row],[Полный Налог]]</f>
        <v>#N/A</v>
      </c>
      <c r="P3" s="6" t="e">
        <f>Salary[[#This Row],[Полный Налог]]/Salary[[#This Row],[Salary]]</f>
        <v>#N/A</v>
      </c>
      <c r="Q3" s="6" t="e">
        <f>Salary[[#This Row],[SalaryOfficial]]*INDEX(Tax[НДФЛ],MATCH(Salary[[#This Row],[PaymentMethod]],Tax[PaymentMethod], 0))</f>
        <v>#N/A</v>
      </c>
      <c r="R3" s="6" t="e">
        <f>Salary[[#This Row],[SalaryOfficial]]*INDEX(Tax[Взносы],MATCH(Salary[[#This Row],[PaymentMethod]],Tax[PaymentMethod],0))</f>
        <v>#N/A</v>
      </c>
      <c r="S3" s="6" t="e">
        <f>Salary[[#This Row],[Salary]]+Salary[[#This Row],[НДФЛ]]+Salary[[#This Row],[Фонды]]</f>
        <v>#N/A</v>
      </c>
      <c r="T3" s="6" t="e">
        <f>Salary[[#This Row],[ЗП+НДФЛ+Фонды]]/(1-INDEX(Tax[УСН или Прибыль],MATCH(Salary[[#This Row],[PaymentMethod]],Tax[PaymentMethod],0)))</f>
        <v>#N/A</v>
      </c>
      <c r="U3" s="6" t="e">
        <f>Salary[[#This Row],[Прибыль]]*INDEX(Tax[УСН или Прибыль],MATCH(Salary[[#This Row],[PaymentMethod]],Tax[PaymentMethod],0))</f>
        <v>#N/A</v>
      </c>
      <c r="V3" s="6" t="e">
        <f>Salary[[#This Row],[Прибыль]]*INDEX(Tax[НДС],MATCH(Salary[[#This Row],[PaymentMethod]],Tax[PaymentMethod],0))</f>
        <v>#N/A</v>
      </c>
    </row>
    <row r="4" spans="1:22" x14ac:dyDescent="0.25">
      <c r="A4">
        <v>3</v>
      </c>
      <c r="B4" s="91">
        <v>42005</v>
      </c>
      <c r="C4" s="2" t="s">
        <v>419</v>
      </c>
      <c r="D4">
        <f>SUMIF(Positions[Positions],Salary[[#This Row],[Position]],Positions[Grade])</f>
        <v>100</v>
      </c>
      <c r="E4" t="s">
        <v>477</v>
      </c>
      <c r="F4" s="6">
        <v>0</v>
      </c>
      <c r="G4" s="7">
        <f>ROUND(Salary[[#This Row],[Salary]]/160,0)</f>
        <v>0</v>
      </c>
      <c r="H4">
        <v>0</v>
      </c>
      <c r="I4" s="6">
        <f>Salary[[#This Row],[FTE]]*Salary[[#This Row],[Salary]]</f>
        <v>0</v>
      </c>
      <c r="J4" s="6">
        <f>INDEX(GradesAndSalaries[],MATCH(Salary[[#This Row],[Grade]],GradesAndSalaries[Grade],0),MATCH(Employee[[#Headers],[Base Budgeting COST]],GradesAndSalaries[#Headers],0))</f>
        <v>0</v>
      </c>
      <c r="L4" s="6" t="e">
        <f>Salary[[#This Row],[Salary]]/(1-INDEX(Tax[НДФЛ],MATCH(Salary[[#This Row],[PaymentMethod]],Tax[PaymentMethod])))</f>
        <v>#N/A</v>
      </c>
      <c r="N4" s="6" t="e">
        <f>Salary[[#This Row],[НДФЛ]]+Salary[[#This Row],[Фонды]]+Salary[[#This Row],[Налог на прибыль]]+Salary[[#This Row],[НДС]]</f>
        <v>#N/A</v>
      </c>
      <c r="O4" s="6" t="e">
        <f>Salary[[#This Row],[Salary]]+Salary[[#This Row],[Полный Налог]]</f>
        <v>#N/A</v>
      </c>
      <c r="P4" s="6" t="e">
        <f>Salary[[#This Row],[Полный Налог]]/Salary[[#This Row],[Salary]]</f>
        <v>#N/A</v>
      </c>
      <c r="Q4" s="6" t="e">
        <f>Salary[[#This Row],[SalaryOfficial]]*INDEX(Tax[НДФЛ],MATCH(Salary[[#This Row],[PaymentMethod]],Tax[PaymentMethod], 0))</f>
        <v>#N/A</v>
      </c>
      <c r="R4" s="6" t="e">
        <f>Salary[[#This Row],[SalaryOfficial]]*INDEX(Tax[Взносы],MATCH(Salary[[#This Row],[PaymentMethod]],Tax[PaymentMethod],0))</f>
        <v>#N/A</v>
      </c>
      <c r="S4" s="6" t="e">
        <f>Salary[[#This Row],[Salary]]+Salary[[#This Row],[НДФЛ]]+Salary[[#This Row],[Фонды]]</f>
        <v>#N/A</v>
      </c>
      <c r="T4" s="6" t="e">
        <f>Salary[[#This Row],[ЗП+НДФЛ+Фонды]]/(1-INDEX(Tax[УСН или Прибыль],MATCH(Salary[[#This Row],[PaymentMethod]],Tax[PaymentMethod],0)))</f>
        <v>#N/A</v>
      </c>
      <c r="U4" s="6" t="e">
        <f>Salary[[#This Row],[Прибыль]]*INDEX(Tax[УСН или Прибыль],MATCH(Salary[[#This Row],[PaymentMethod]],Tax[PaymentMethod],0))</f>
        <v>#N/A</v>
      </c>
      <c r="V4" s="6" t="e">
        <f>Salary[[#This Row],[Прибыль]]*INDEX(Tax[НДС],MATCH(Salary[[#This Row],[PaymentMethod]],Tax[PaymentMethod],0))</f>
        <v>#N/A</v>
      </c>
    </row>
    <row r="5" spans="1:22" x14ac:dyDescent="0.25">
      <c r="A5">
        <v>4</v>
      </c>
      <c r="B5" s="91">
        <v>42005</v>
      </c>
      <c r="C5" s="2" t="s">
        <v>419</v>
      </c>
      <c r="D5">
        <f>SUMIF(Positions[Positions],Salary[[#This Row],[Position]],Positions[Grade])</f>
        <v>100</v>
      </c>
      <c r="E5" t="s">
        <v>478</v>
      </c>
      <c r="F5" s="6">
        <v>0</v>
      </c>
      <c r="G5" s="7">
        <f>ROUND(Salary[[#This Row],[Salary]]/160,0)</f>
        <v>0</v>
      </c>
      <c r="H5">
        <v>0</v>
      </c>
      <c r="I5" s="6">
        <f>Salary[[#This Row],[FTE]]*Salary[[#This Row],[Salary]]</f>
        <v>0</v>
      </c>
      <c r="J5" s="6">
        <f>INDEX(GradesAndSalaries[],MATCH(Salary[[#This Row],[Grade]],GradesAndSalaries[Grade],0),MATCH(Employee[[#Headers],[Base Budgeting COST]],GradesAndSalaries[#Headers],0))</f>
        <v>0</v>
      </c>
      <c r="L5" s="6" t="e">
        <f>Salary[[#This Row],[Salary]]/(1-INDEX(Tax[НДФЛ],MATCH(Salary[[#This Row],[PaymentMethod]],Tax[PaymentMethod])))</f>
        <v>#N/A</v>
      </c>
      <c r="N5" s="6" t="e">
        <f>Salary[[#This Row],[НДФЛ]]+Salary[[#This Row],[Фонды]]+Salary[[#This Row],[Налог на прибыль]]+Salary[[#This Row],[НДС]]</f>
        <v>#N/A</v>
      </c>
      <c r="O5" s="6" t="e">
        <f>Salary[[#This Row],[Salary]]+Salary[[#This Row],[Полный Налог]]</f>
        <v>#N/A</v>
      </c>
      <c r="P5" s="6" t="e">
        <f>Salary[[#This Row],[Полный Налог]]/Salary[[#This Row],[Salary]]</f>
        <v>#N/A</v>
      </c>
      <c r="Q5" s="6" t="e">
        <f>Salary[[#This Row],[SalaryOfficial]]*INDEX(Tax[НДФЛ],MATCH(Salary[[#This Row],[PaymentMethod]],Tax[PaymentMethod], 0))</f>
        <v>#N/A</v>
      </c>
      <c r="R5" s="6" t="e">
        <f>Salary[[#This Row],[SalaryOfficial]]*INDEX(Tax[Взносы],MATCH(Salary[[#This Row],[PaymentMethod]],Tax[PaymentMethod],0))</f>
        <v>#N/A</v>
      </c>
      <c r="S5" s="6" t="e">
        <f>Salary[[#This Row],[Salary]]+Salary[[#This Row],[НДФЛ]]+Salary[[#This Row],[Фонды]]</f>
        <v>#N/A</v>
      </c>
      <c r="T5" s="6" t="e">
        <f>Salary[[#This Row],[ЗП+НДФЛ+Фонды]]/(1-INDEX(Tax[УСН или Прибыль],MATCH(Salary[[#This Row],[PaymentMethod]],Tax[PaymentMethod],0)))</f>
        <v>#N/A</v>
      </c>
      <c r="U5" s="6" t="e">
        <f>Salary[[#This Row],[Прибыль]]*INDEX(Tax[УСН или Прибыль],MATCH(Salary[[#This Row],[PaymentMethod]],Tax[PaymentMethod],0))</f>
        <v>#N/A</v>
      </c>
      <c r="V5" s="6" t="e">
        <f>Salary[[#This Row],[Прибыль]]*INDEX(Tax[НДС],MATCH(Salary[[#This Row],[PaymentMethod]],Tax[PaymentMethod],0))</f>
        <v>#N/A</v>
      </c>
    </row>
    <row r="6" spans="1:22" x14ac:dyDescent="0.25">
      <c r="A6">
        <v>5</v>
      </c>
      <c r="B6" s="91">
        <v>42005</v>
      </c>
      <c r="C6" s="2" t="s">
        <v>419</v>
      </c>
      <c r="D6">
        <f>SUMIF(Positions[Positions],Salary[[#This Row],[Position]],Positions[Grade])</f>
        <v>100</v>
      </c>
      <c r="E6" t="s">
        <v>73</v>
      </c>
      <c r="F6" s="6">
        <v>0</v>
      </c>
      <c r="G6" s="3">
        <f>ROUND(Salary[[#This Row],[Salary]]/160,0)</f>
        <v>0</v>
      </c>
      <c r="H6">
        <v>0</v>
      </c>
      <c r="I6" s="6">
        <f>Salary[[#This Row],[FTE]]*Salary[[#This Row],[Salary]]</f>
        <v>0</v>
      </c>
      <c r="J6" s="6">
        <f>INDEX(GradesAndSalaries[],MATCH(Salary[[#This Row],[Grade]],GradesAndSalaries[Grade],0),MATCH(Employee[[#Headers],[Base Budgeting COST]],GradesAndSalaries[#Headers],0))</f>
        <v>0</v>
      </c>
      <c r="L6" s="6" t="e">
        <f>Salary[[#This Row],[Salary]]/(1-INDEX(Tax[НДФЛ],MATCH(Salary[[#This Row],[PaymentMethod]],Tax[PaymentMethod])))</f>
        <v>#N/A</v>
      </c>
      <c r="N6" s="6" t="e">
        <f>Salary[[#This Row],[НДФЛ]]+Salary[[#This Row],[Фонды]]+Salary[[#This Row],[Налог на прибыль]]+Salary[[#This Row],[НДС]]</f>
        <v>#N/A</v>
      </c>
      <c r="O6" s="6" t="e">
        <f>Salary[[#This Row],[Salary]]+Salary[[#This Row],[Полный Налог]]</f>
        <v>#N/A</v>
      </c>
      <c r="P6" s="6" t="e">
        <f>Salary[[#This Row],[Полный Налог]]/Salary[[#This Row],[Salary]]</f>
        <v>#N/A</v>
      </c>
      <c r="Q6" s="6" t="e">
        <f>Salary[[#This Row],[SalaryOfficial]]*INDEX(Tax[НДФЛ],MATCH(Salary[[#This Row],[PaymentMethod]],Tax[PaymentMethod], 0))</f>
        <v>#N/A</v>
      </c>
      <c r="R6" s="6" t="e">
        <f>Salary[[#This Row],[SalaryOfficial]]*INDEX(Tax[Взносы],MATCH(Salary[[#This Row],[PaymentMethod]],Tax[PaymentMethod],0))</f>
        <v>#N/A</v>
      </c>
      <c r="S6" s="6" t="e">
        <f>Salary[[#This Row],[Salary]]+Salary[[#This Row],[НДФЛ]]+Salary[[#This Row],[Фонды]]</f>
        <v>#N/A</v>
      </c>
      <c r="T6" s="6" t="e">
        <f>Salary[[#This Row],[ЗП+НДФЛ+Фонды]]/(1-INDEX(Tax[УСН или Прибыль],MATCH(Salary[[#This Row],[PaymentMethod]],Tax[PaymentMethod],0)))</f>
        <v>#N/A</v>
      </c>
      <c r="U6" s="6" t="e">
        <f>Salary[[#This Row],[Прибыль]]*INDEX(Tax[УСН или Прибыль],MATCH(Salary[[#This Row],[PaymentMethod]],Tax[PaymentMethod],0))</f>
        <v>#N/A</v>
      </c>
      <c r="V6" s="6" t="e">
        <f>Salary[[#This Row],[Прибыль]]*INDEX(Tax[НДС],MATCH(Salary[[#This Row],[PaymentMethod]],Tax[PaymentMethod],0))</f>
        <v>#N/A</v>
      </c>
    </row>
    <row r="7" spans="1:22" x14ac:dyDescent="0.25">
      <c r="A7">
        <v>6</v>
      </c>
      <c r="B7" s="91">
        <v>42005</v>
      </c>
      <c r="C7" s="2" t="s">
        <v>419</v>
      </c>
      <c r="D7">
        <f>SUMIF(Positions[Positions],Salary[[#This Row],[Position]],Positions[Grade])</f>
        <v>100</v>
      </c>
      <c r="E7" t="s">
        <v>74</v>
      </c>
      <c r="F7" s="6">
        <v>0</v>
      </c>
      <c r="G7" s="3">
        <f>ROUND(Salary[[#This Row],[Salary]]/160,0)</f>
        <v>0</v>
      </c>
      <c r="H7">
        <v>0</v>
      </c>
      <c r="I7" s="6">
        <f>Salary[[#This Row],[FTE]]*Salary[[#This Row],[Salary]]</f>
        <v>0</v>
      </c>
      <c r="J7" s="6">
        <f>INDEX(GradesAndSalaries[],MATCH(Salary[[#This Row],[Grade]],GradesAndSalaries[Grade],0),MATCH(Employee[[#Headers],[Base Budgeting COST]],GradesAndSalaries[#Headers],0))</f>
        <v>0</v>
      </c>
      <c r="L7" s="6" t="e">
        <f>Salary[[#This Row],[Salary]]/(1-INDEX(Tax[НДФЛ],MATCH(Salary[[#This Row],[PaymentMethod]],Tax[PaymentMethod])))</f>
        <v>#N/A</v>
      </c>
      <c r="N7" s="6" t="e">
        <f>Salary[[#This Row],[НДФЛ]]+Salary[[#This Row],[Фонды]]+Salary[[#This Row],[Налог на прибыль]]+Salary[[#This Row],[НДС]]</f>
        <v>#N/A</v>
      </c>
      <c r="O7" s="6" t="e">
        <f>Salary[[#This Row],[Salary]]+Salary[[#This Row],[Полный Налог]]</f>
        <v>#N/A</v>
      </c>
      <c r="P7" s="6" t="e">
        <f>Salary[[#This Row],[Полный Налог]]/Salary[[#This Row],[Salary]]</f>
        <v>#N/A</v>
      </c>
      <c r="Q7" s="6" t="e">
        <f>Salary[[#This Row],[SalaryOfficial]]*INDEX(Tax[НДФЛ],MATCH(Salary[[#This Row],[PaymentMethod]],Tax[PaymentMethod], 0))</f>
        <v>#N/A</v>
      </c>
      <c r="R7" s="6" t="e">
        <f>Salary[[#This Row],[SalaryOfficial]]*INDEX(Tax[Взносы],MATCH(Salary[[#This Row],[PaymentMethod]],Tax[PaymentMethod],0))</f>
        <v>#N/A</v>
      </c>
      <c r="S7" s="6" t="e">
        <f>Salary[[#This Row],[Salary]]+Salary[[#This Row],[НДФЛ]]+Salary[[#This Row],[Фонды]]</f>
        <v>#N/A</v>
      </c>
      <c r="T7" s="6" t="e">
        <f>Salary[[#This Row],[ЗП+НДФЛ+Фонды]]/(1-INDEX(Tax[УСН или Прибыль],MATCH(Salary[[#This Row],[PaymentMethod]],Tax[PaymentMethod],0)))</f>
        <v>#N/A</v>
      </c>
      <c r="U7" s="6" t="e">
        <f>Salary[[#This Row],[Прибыль]]*INDEX(Tax[УСН или Прибыль],MATCH(Salary[[#This Row],[PaymentMethod]],Tax[PaymentMethod],0))</f>
        <v>#N/A</v>
      </c>
      <c r="V7" s="6" t="e">
        <f>Salary[[#This Row],[Прибыль]]*INDEX(Tax[НДС],MATCH(Salary[[#This Row],[PaymentMethod]],Tax[PaymentMethod],0))</f>
        <v>#N/A</v>
      </c>
    </row>
    <row r="8" spans="1:22" x14ac:dyDescent="0.25">
      <c r="A8">
        <v>7</v>
      </c>
      <c r="B8" s="91">
        <v>42005</v>
      </c>
      <c r="C8" s="2" t="s">
        <v>419</v>
      </c>
      <c r="D8">
        <f>SUMIF(Positions[Positions],Salary[[#This Row],[Position]],Positions[Grade])</f>
        <v>100</v>
      </c>
      <c r="E8" t="s">
        <v>262</v>
      </c>
      <c r="F8" s="6">
        <v>0</v>
      </c>
      <c r="G8" s="3">
        <f>ROUND(Salary[[#This Row],[Salary]]/160,0)</f>
        <v>0</v>
      </c>
      <c r="H8">
        <v>0</v>
      </c>
      <c r="I8" s="6">
        <f>Salary[[#This Row],[FTE]]*Salary[[#This Row],[Salary]]</f>
        <v>0</v>
      </c>
      <c r="J8" s="6">
        <f>INDEX(GradesAndSalaries[],MATCH(Salary[[#This Row],[Grade]],GradesAndSalaries[Grade],0),MATCH(Employee[[#Headers],[Base Budgeting COST]],GradesAndSalaries[#Headers],0))</f>
        <v>0</v>
      </c>
      <c r="L8" s="6" t="e">
        <f>Salary[[#This Row],[Salary]]/(1-INDEX(Tax[НДФЛ],MATCH(Salary[[#This Row],[PaymentMethod]],Tax[PaymentMethod])))</f>
        <v>#N/A</v>
      </c>
      <c r="N8" s="6" t="e">
        <f>Salary[[#This Row],[НДФЛ]]+Salary[[#This Row],[Фонды]]+Salary[[#This Row],[Налог на прибыль]]+Salary[[#This Row],[НДС]]</f>
        <v>#N/A</v>
      </c>
      <c r="O8" s="6" t="e">
        <f>Salary[[#This Row],[Salary]]+Salary[[#This Row],[Полный Налог]]</f>
        <v>#N/A</v>
      </c>
      <c r="P8" s="6" t="e">
        <f>Salary[[#This Row],[Полный Налог]]/Salary[[#This Row],[Salary]]</f>
        <v>#N/A</v>
      </c>
      <c r="Q8" s="6" t="e">
        <f>Salary[[#This Row],[SalaryOfficial]]*INDEX(Tax[НДФЛ],MATCH(Salary[[#This Row],[PaymentMethod]],Tax[PaymentMethod], 0))</f>
        <v>#N/A</v>
      </c>
      <c r="R8" s="6" t="e">
        <f>Salary[[#This Row],[SalaryOfficial]]*INDEX(Tax[Взносы],MATCH(Salary[[#This Row],[PaymentMethod]],Tax[PaymentMethod],0))</f>
        <v>#N/A</v>
      </c>
      <c r="S8" s="6" t="e">
        <f>Salary[[#This Row],[Salary]]+Salary[[#This Row],[НДФЛ]]+Salary[[#This Row],[Фонды]]</f>
        <v>#N/A</v>
      </c>
      <c r="T8" s="6" t="e">
        <f>Salary[[#This Row],[ЗП+НДФЛ+Фонды]]/(1-INDEX(Tax[УСН или Прибыль],MATCH(Salary[[#This Row],[PaymentMethod]],Tax[PaymentMethod],0)))</f>
        <v>#N/A</v>
      </c>
      <c r="U8" s="6" t="e">
        <f>Salary[[#This Row],[Прибыль]]*INDEX(Tax[УСН или Прибыль],MATCH(Salary[[#This Row],[PaymentMethod]],Tax[PaymentMethod],0))</f>
        <v>#N/A</v>
      </c>
      <c r="V8" s="6" t="e">
        <f>Salary[[#This Row],[Прибыль]]*INDEX(Tax[НДС],MATCH(Salary[[#This Row],[PaymentMethod]],Tax[PaymentMethod],0))</f>
        <v>#N/A</v>
      </c>
    </row>
    <row r="9" spans="1:22" x14ac:dyDescent="0.25">
      <c r="A9">
        <v>8</v>
      </c>
      <c r="B9" s="91">
        <v>42005</v>
      </c>
      <c r="C9" s="2" t="s">
        <v>419</v>
      </c>
      <c r="D9">
        <f>SUMIF(Positions[Positions],Salary[[#This Row],[Position]],Positions[Grade])</f>
        <v>100</v>
      </c>
      <c r="E9" t="s">
        <v>2622</v>
      </c>
      <c r="F9" s="6">
        <v>0</v>
      </c>
      <c r="G9" s="3">
        <f>ROUND(Salary[[#This Row],[Salary]]/160,0)</f>
        <v>0</v>
      </c>
      <c r="H9">
        <v>0</v>
      </c>
      <c r="I9" s="6">
        <f>Salary[[#This Row],[FTE]]*Salary[[#This Row],[Salary]]</f>
        <v>0</v>
      </c>
      <c r="J9" s="6">
        <f>INDEX(GradesAndSalaries[],MATCH(Salary[[#This Row],[Grade]],GradesAndSalaries[Grade],0),MATCH(Employee[[#Headers],[Base Budgeting COST]],GradesAndSalaries[#Headers],0))</f>
        <v>0</v>
      </c>
      <c r="L9" s="6" t="e">
        <f>Salary[[#This Row],[Salary]]/(1-INDEX(Tax[НДФЛ],MATCH(Salary[[#This Row],[PaymentMethod]],Tax[PaymentMethod])))</f>
        <v>#N/A</v>
      </c>
      <c r="N9" s="6" t="e">
        <f>Salary[[#This Row],[НДФЛ]]+Salary[[#This Row],[Фонды]]+Salary[[#This Row],[Налог на прибыль]]+Salary[[#This Row],[НДС]]</f>
        <v>#N/A</v>
      </c>
      <c r="O9" s="6" t="e">
        <f>Salary[[#This Row],[Salary]]+Salary[[#This Row],[Полный Налог]]</f>
        <v>#N/A</v>
      </c>
      <c r="P9" s="6" t="e">
        <f>Salary[[#This Row],[Полный Налог]]/Salary[[#This Row],[Salary]]</f>
        <v>#N/A</v>
      </c>
      <c r="Q9" s="6" t="e">
        <f>Salary[[#This Row],[SalaryOfficial]]*INDEX(Tax[НДФЛ],MATCH(Salary[[#This Row],[PaymentMethod]],Tax[PaymentMethod], 0))</f>
        <v>#N/A</v>
      </c>
      <c r="R9" s="6" t="e">
        <f>Salary[[#This Row],[SalaryOfficial]]*INDEX(Tax[Взносы],MATCH(Salary[[#This Row],[PaymentMethod]],Tax[PaymentMethod],0))</f>
        <v>#N/A</v>
      </c>
      <c r="S9" s="6" t="e">
        <f>Salary[[#This Row],[Salary]]+Salary[[#This Row],[НДФЛ]]+Salary[[#This Row],[Фонды]]</f>
        <v>#N/A</v>
      </c>
      <c r="T9" s="6" t="e">
        <f>Salary[[#This Row],[ЗП+НДФЛ+Фонды]]/(1-INDEX(Tax[УСН или Прибыль],MATCH(Salary[[#This Row],[PaymentMethod]],Tax[PaymentMethod],0)))</f>
        <v>#N/A</v>
      </c>
      <c r="U9" s="6" t="e">
        <f>Salary[[#This Row],[Прибыль]]*INDEX(Tax[УСН или Прибыль],MATCH(Salary[[#This Row],[PaymentMethod]],Tax[PaymentMethod],0))</f>
        <v>#N/A</v>
      </c>
      <c r="V9" s="6" t="e">
        <f>Salary[[#This Row],[Прибыль]]*INDEX(Tax[НДС],MATCH(Salary[[#This Row],[PaymentMethod]],Tax[PaymentMethod],0))</f>
        <v>#N/A</v>
      </c>
    </row>
    <row r="10" spans="1:22" x14ac:dyDescent="0.25">
      <c r="A10">
        <v>9</v>
      </c>
      <c r="B10" s="91">
        <v>42005</v>
      </c>
      <c r="C10" s="2" t="s">
        <v>419</v>
      </c>
      <c r="D10">
        <f>SUMIF(Positions[Positions],Salary[[#This Row],[Position]],Positions[Grade])</f>
        <v>100</v>
      </c>
      <c r="E10" t="s">
        <v>72</v>
      </c>
      <c r="F10" s="6">
        <v>0</v>
      </c>
      <c r="G10" s="3">
        <f>ROUND(Salary[[#This Row],[Salary]]/160,0)</f>
        <v>0</v>
      </c>
      <c r="H10">
        <v>0</v>
      </c>
      <c r="I10" s="6">
        <f>Salary[[#This Row],[FTE]]*Salary[[#This Row],[Salary]]</f>
        <v>0</v>
      </c>
      <c r="J10" s="6">
        <f>INDEX(GradesAndSalaries[],MATCH(Salary[[#This Row],[Grade]],GradesAndSalaries[Grade],0),MATCH(Employee[[#Headers],[Base Budgeting COST]],GradesAndSalaries[#Headers],0))</f>
        <v>0</v>
      </c>
      <c r="L10" s="6" t="e">
        <f>Salary[[#This Row],[Salary]]/(1-INDEX(Tax[НДФЛ],MATCH(Salary[[#This Row],[PaymentMethod]],Tax[PaymentMethod])))</f>
        <v>#N/A</v>
      </c>
      <c r="N10" s="6" t="e">
        <f>Salary[[#This Row],[НДФЛ]]+Salary[[#This Row],[Фонды]]+Salary[[#This Row],[Налог на прибыль]]+Salary[[#This Row],[НДС]]</f>
        <v>#N/A</v>
      </c>
      <c r="O10" s="6" t="e">
        <f>Salary[[#This Row],[Salary]]+Salary[[#This Row],[Полный Налог]]</f>
        <v>#N/A</v>
      </c>
      <c r="P10" s="6" t="e">
        <f>Salary[[#This Row],[Полный Налог]]/Salary[[#This Row],[Salary]]</f>
        <v>#N/A</v>
      </c>
      <c r="Q10" s="6" t="e">
        <f>Salary[[#This Row],[SalaryOfficial]]*INDEX(Tax[НДФЛ],MATCH(Salary[[#This Row],[PaymentMethod]],Tax[PaymentMethod], 0))</f>
        <v>#N/A</v>
      </c>
      <c r="R10" s="6" t="e">
        <f>Salary[[#This Row],[SalaryOfficial]]*INDEX(Tax[Взносы],MATCH(Salary[[#This Row],[PaymentMethod]],Tax[PaymentMethod],0))</f>
        <v>#N/A</v>
      </c>
      <c r="S10" s="6" t="e">
        <f>Salary[[#This Row],[Salary]]+Salary[[#This Row],[НДФЛ]]+Salary[[#This Row],[Фонды]]</f>
        <v>#N/A</v>
      </c>
      <c r="T10" s="6" t="e">
        <f>Salary[[#This Row],[ЗП+НДФЛ+Фонды]]/(1-INDEX(Tax[УСН или Прибыль],MATCH(Salary[[#This Row],[PaymentMethod]],Tax[PaymentMethod],0)))</f>
        <v>#N/A</v>
      </c>
      <c r="U10" s="6" t="e">
        <f>Salary[[#This Row],[Прибыль]]*INDEX(Tax[УСН или Прибыль],MATCH(Salary[[#This Row],[PaymentMethod]],Tax[PaymentMethod],0))</f>
        <v>#N/A</v>
      </c>
      <c r="V10" s="6" t="e">
        <f>Salary[[#This Row],[Прибыль]]*INDEX(Tax[НДС],MATCH(Salary[[#This Row],[PaymentMethod]],Tax[PaymentMethod],0))</f>
        <v>#N/A</v>
      </c>
    </row>
    <row r="11" spans="1:22" x14ac:dyDescent="0.25">
      <c r="A11">
        <v>10</v>
      </c>
      <c r="B11" s="91">
        <v>42005</v>
      </c>
      <c r="C11" s="2" t="s">
        <v>419</v>
      </c>
      <c r="D11">
        <f>SUMIF(Positions[Positions],Salary[[#This Row],[Position]],Positions[Grade])</f>
        <v>100</v>
      </c>
      <c r="E11" s="1" t="s">
        <v>1563</v>
      </c>
      <c r="F11" s="6">
        <v>0</v>
      </c>
      <c r="G11" s="3">
        <f>ROUND(Salary[[#This Row],[Salary]]/160,0)</f>
        <v>0</v>
      </c>
      <c r="H11">
        <v>0</v>
      </c>
      <c r="I11" s="6">
        <f>Salary[[#This Row],[FTE]]*Salary[[#This Row],[Salary]]</f>
        <v>0</v>
      </c>
      <c r="J11" s="6">
        <f>INDEX(GradesAndSalaries[],MATCH(Salary[[#This Row],[Grade]],GradesAndSalaries[Grade],0),MATCH(Employee[[#Headers],[Base Budgeting COST]],GradesAndSalaries[#Headers],0))</f>
        <v>0</v>
      </c>
      <c r="L11" s="6" t="e">
        <f>Salary[[#This Row],[Salary]]/(1-INDEX(Tax[НДФЛ],MATCH(Salary[[#This Row],[PaymentMethod]],Tax[PaymentMethod])))</f>
        <v>#N/A</v>
      </c>
      <c r="N11" s="6" t="e">
        <f>Salary[[#This Row],[НДФЛ]]+Salary[[#This Row],[Фонды]]+Salary[[#This Row],[Налог на прибыль]]+Salary[[#This Row],[НДС]]</f>
        <v>#N/A</v>
      </c>
      <c r="O11" s="6" t="e">
        <f>Salary[[#This Row],[Salary]]+Salary[[#This Row],[Полный Налог]]</f>
        <v>#N/A</v>
      </c>
      <c r="P11" s="6" t="e">
        <f>Salary[[#This Row],[Полный Налог]]/Salary[[#This Row],[Salary]]</f>
        <v>#N/A</v>
      </c>
      <c r="Q11" s="6" t="e">
        <f>Salary[[#This Row],[SalaryOfficial]]*INDEX(Tax[НДФЛ],MATCH(Salary[[#This Row],[PaymentMethod]],Tax[PaymentMethod], 0))</f>
        <v>#N/A</v>
      </c>
      <c r="R11" s="6" t="e">
        <f>Salary[[#This Row],[SalaryOfficial]]*INDEX(Tax[Взносы],MATCH(Salary[[#This Row],[PaymentMethod]],Tax[PaymentMethod],0))</f>
        <v>#N/A</v>
      </c>
      <c r="S11" s="6" t="e">
        <f>Salary[[#This Row],[Salary]]+Salary[[#This Row],[НДФЛ]]+Salary[[#This Row],[Фонды]]</f>
        <v>#N/A</v>
      </c>
      <c r="T11" s="6" t="e">
        <f>Salary[[#This Row],[ЗП+НДФЛ+Фонды]]/(1-INDEX(Tax[УСН или Прибыль],MATCH(Salary[[#This Row],[PaymentMethod]],Tax[PaymentMethod],0)))</f>
        <v>#N/A</v>
      </c>
      <c r="U11" s="6" t="e">
        <f>Salary[[#This Row],[Прибыль]]*INDEX(Tax[УСН или Прибыль],MATCH(Salary[[#This Row],[PaymentMethod]],Tax[PaymentMethod],0))</f>
        <v>#N/A</v>
      </c>
      <c r="V11" s="6" t="e">
        <f>Salary[[#This Row],[Прибыль]]*INDEX(Tax[НДС],MATCH(Salary[[#This Row],[PaymentMethod]],Tax[PaymentMethod],0))</f>
        <v>#N/A</v>
      </c>
    </row>
    <row r="12" spans="1:22" x14ac:dyDescent="0.25">
      <c r="A12">
        <v>11</v>
      </c>
      <c r="B12" s="91">
        <v>42005</v>
      </c>
      <c r="C12" s="2" t="s">
        <v>419</v>
      </c>
      <c r="D12">
        <f>SUMIF(Positions[Positions],Salary[[#This Row],[Position]],Positions[Grade])</f>
        <v>100</v>
      </c>
      <c r="E12">
        <v>6181</v>
      </c>
      <c r="F12" s="6">
        <v>0</v>
      </c>
      <c r="G12" s="3">
        <f>ROUND(Salary[[#This Row],[Salary]]/160,0)</f>
        <v>0</v>
      </c>
      <c r="H12">
        <v>0</v>
      </c>
      <c r="I12" s="6">
        <f>Salary[[#This Row],[FTE]]*Salary[[#This Row],[Salary]]</f>
        <v>0</v>
      </c>
      <c r="J12" s="6">
        <f>INDEX(GradesAndSalaries[],MATCH(Salary[[#This Row],[Grade]],GradesAndSalaries[Grade],0),MATCH(Employee[[#Headers],[Base Budgeting COST]],GradesAndSalaries[#Headers],0))</f>
        <v>0</v>
      </c>
      <c r="L12" s="6" t="e">
        <f>Salary[[#This Row],[Salary]]/(1-INDEX(Tax[НДФЛ],MATCH(Salary[[#This Row],[PaymentMethod]],Tax[PaymentMethod])))</f>
        <v>#N/A</v>
      </c>
      <c r="N12" s="6" t="e">
        <f>Salary[[#This Row],[НДФЛ]]+Salary[[#This Row],[Фонды]]+Salary[[#This Row],[Налог на прибыль]]+Salary[[#This Row],[НДС]]</f>
        <v>#N/A</v>
      </c>
      <c r="O12" s="6" t="e">
        <f>Salary[[#This Row],[Salary]]+Salary[[#This Row],[Полный Налог]]</f>
        <v>#N/A</v>
      </c>
      <c r="P12" s="6" t="e">
        <f>Salary[[#This Row],[Полный Налог]]/Salary[[#This Row],[Salary]]</f>
        <v>#N/A</v>
      </c>
      <c r="Q12" s="6" t="e">
        <f>Salary[[#This Row],[SalaryOfficial]]*INDEX(Tax[НДФЛ],MATCH(Salary[[#This Row],[PaymentMethod]],Tax[PaymentMethod], 0))</f>
        <v>#N/A</v>
      </c>
      <c r="R12" s="6" t="e">
        <f>Salary[[#This Row],[SalaryOfficial]]*INDEX(Tax[Взносы],MATCH(Salary[[#This Row],[PaymentMethod]],Tax[PaymentMethod],0))</f>
        <v>#N/A</v>
      </c>
      <c r="S12" s="6" t="e">
        <f>Salary[[#This Row],[Salary]]+Salary[[#This Row],[НДФЛ]]+Salary[[#This Row],[Фонды]]</f>
        <v>#N/A</v>
      </c>
      <c r="T12" s="6" t="e">
        <f>Salary[[#This Row],[ЗП+НДФЛ+Фонды]]/(1-INDEX(Tax[УСН или Прибыль],MATCH(Salary[[#This Row],[PaymentMethod]],Tax[PaymentMethod],0)))</f>
        <v>#N/A</v>
      </c>
      <c r="U12" s="6" t="e">
        <f>Salary[[#This Row],[Прибыль]]*INDEX(Tax[УСН или Прибыль],MATCH(Salary[[#This Row],[PaymentMethod]],Tax[PaymentMethod],0))</f>
        <v>#N/A</v>
      </c>
      <c r="V12" s="6" t="e">
        <f>Salary[[#This Row],[Прибыль]]*INDEX(Tax[НДС],MATCH(Salary[[#This Row],[PaymentMethod]],Tax[PaymentMethod],0))</f>
        <v>#N/A</v>
      </c>
    </row>
    <row r="13" spans="1:22" x14ac:dyDescent="0.25">
      <c r="A13">
        <v>12</v>
      </c>
      <c r="B13" s="91">
        <v>42005</v>
      </c>
      <c r="C13" s="2" t="s">
        <v>419</v>
      </c>
      <c r="D13">
        <f>SUMIF(Positions[Positions],Salary[[#This Row],[Position]],Positions[Grade])</f>
        <v>100</v>
      </c>
      <c r="E13">
        <v>2803</v>
      </c>
      <c r="F13" s="6">
        <v>0</v>
      </c>
      <c r="G13" s="3">
        <f>ROUND(Salary[[#This Row],[Salary]]/160,0)</f>
        <v>0</v>
      </c>
      <c r="H13">
        <v>0</v>
      </c>
      <c r="I13" s="6">
        <f>Salary[[#This Row],[FTE]]*Salary[[#This Row],[Salary]]</f>
        <v>0</v>
      </c>
      <c r="J13" s="6">
        <f>INDEX(GradesAndSalaries[],MATCH(Salary[[#This Row],[Grade]],GradesAndSalaries[Grade],0),MATCH(Employee[[#Headers],[Base Budgeting COST]],GradesAndSalaries[#Headers],0))</f>
        <v>0</v>
      </c>
      <c r="L13" s="6" t="e">
        <f>Salary[[#This Row],[Salary]]/(1-INDEX(Tax[НДФЛ],MATCH(Salary[[#This Row],[PaymentMethod]],Tax[PaymentMethod])))</f>
        <v>#N/A</v>
      </c>
      <c r="N13" s="6" t="e">
        <f>Salary[[#This Row],[НДФЛ]]+Salary[[#This Row],[Фонды]]+Salary[[#This Row],[Налог на прибыль]]+Salary[[#This Row],[НДС]]</f>
        <v>#N/A</v>
      </c>
      <c r="O13" s="6" t="e">
        <f>Salary[[#This Row],[Salary]]+Salary[[#This Row],[Полный Налог]]</f>
        <v>#N/A</v>
      </c>
      <c r="P13" s="6" t="e">
        <f>Salary[[#This Row],[Полный Налог]]/Salary[[#This Row],[Salary]]</f>
        <v>#N/A</v>
      </c>
      <c r="Q13" s="6" t="e">
        <f>Salary[[#This Row],[SalaryOfficial]]*INDEX(Tax[НДФЛ],MATCH(Salary[[#This Row],[PaymentMethod]],Tax[PaymentMethod], 0))</f>
        <v>#N/A</v>
      </c>
      <c r="R13" s="6" t="e">
        <f>Salary[[#This Row],[SalaryOfficial]]*INDEX(Tax[Взносы],MATCH(Salary[[#This Row],[PaymentMethod]],Tax[PaymentMethod],0))</f>
        <v>#N/A</v>
      </c>
      <c r="S13" s="6" t="e">
        <f>Salary[[#This Row],[Salary]]+Salary[[#This Row],[НДФЛ]]+Salary[[#This Row],[Фонды]]</f>
        <v>#N/A</v>
      </c>
      <c r="T13" s="6" t="e">
        <f>Salary[[#This Row],[ЗП+НДФЛ+Фонды]]/(1-INDEX(Tax[УСН или Прибыль],MATCH(Salary[[#This Row],[PaymentMethod]],Tax[PaymentMethod],0)))</f>
        <v>#N/A</v>
      </c>
      <c r="U13" s="6" t="e">
        <f>Salary[[#This Row],[Прибыль]]*INDEX(Tax[УСН или Прибыль],MATCH(Salary[[#This Row],[PaymentMethod]],Tax[PaymentMethod],0))</f>
        <v>#N/A</v>
      </c>
      <c r="V13" s="6" t="e">
        <f>Salary[[#This Row],[Прибыль]]*INDEX(Tax[НДС],MATCH(Salary[[#This Row],[PaymentMethod]],Tax[PaymentMethod],0))</f>
        <v>#N/A</v>
      </c>
    </row>
    <row r="14" spans="1:22" x14ac:dyDescent="0.25">
      <c r="A14">
        <v>13</v>
      </c>
      <c r="B14" s="91">
        <v>42005</v>
      </c>
      <c r="C14" s="2" t="s">
        <v>419</v>
      </c>
      <c r="D14">
        <f>SUMIF(Positions[Positions],Salary[[#This Row],[Position]],Positions[Grade])</f>
        <v>100</v>
      </c>
      <c r="E14" t="s">
        <v>75</v>
      </c>
      <c r="F14" s="6">
        <v>0</v>
      </c>
      <c r="G14" s="3">
        <f>ROUND(Salary[[#This Row],[Salary]]/160,0)</f>
        <v>0</v>
      </c>
      <c r="H14">
        <v>0</v>
      </c>
      <c r="I14" s="6">
        <f>Salary[[#This Row],[FTE]]*Salary[[#This Row],[Salary]]</f>
        <v>0</v>
      </c>
      <c r="J14" s="6">
        <f>INDEX(GradesAndSalaries[],MATCH(Salary[[#This Row],[Grade]],GradesAndSalaries[Grade],0),MATCH(Employee[[#Headers],[Base Budgeting COST]],GradesAndSalaries[#Headers],0))</f>
        <v>0</v>
      </c>
      <c r="L14" s="6" t="e">
        <f>Salary[[#This Row],[Salary]]/(1-INDEX(Tax[НДФЛ],MATCH(Salary[[#This Row],[PaymentMethod]],Tax[PaymentMethod])))</f>
        <v>#N/A</v>
      </c>
      <c r="N14" s="6" t="e">
        <f>Salary[[#This Row],[НДФЛ]]+Salary[[#This Row],[Фонды]]+Salary[[#This Row],[Налог на прибыль]]+Salary[[#This Row],[НДС]]</f>
        <v>#N/A</v>
      </c>
      <c r="O14" s="6" t="e">
        <f>Salary[[#This Row],[Salary]]+Salary[[#This Row],[Полный Налог]]</f>
        <v>#N/A</v>
      </c>
      <c r="P14" s="6" t="e">
        <f>Salary[[#This Row],[Полный Налог]]/Salary[[#This Row],[Salary]]</f>
        <v>#N/A</v>
      </c>
      <c r="Q14" s="6" t="e">
        <f>Salary[[#This Row],[SalaryOfficial]]*INDEX(Tax[НДФЛ],MATCH(Salary[[#This Row],[PaymentMethod]],Tax[PaymentMethod], 0))</f>
        <v>#N/A</v>
      </c>
      <c r="R14" s="6" t="e">
        <f>Salary[[#This Row],[SalaryOfficial]]*INDEX(Tax[Взносы],MATCH(Salary[[#This Row],[PaymentMethod]],Tax[PaymentMethod],0))</f>
        <v>#N/A</v>
      </c>
      <c r="S14" s="6" t="e">
        <f>Salary[[#This Row],[Salary]]+Salary[[#This Row],[НДФЛ]]+Salary[[#This Row],[Фонды]]</f>
        <v>#N/A</v>
      </c>
      <c r="T14" s="6" t="e">
        <f>Salary[[#This Row],[ЗП+НДФЛ+Фонды]]/(1-INDEX(Tax[УСН или Прибыль],MATCH(Salary[[#This Row],[PaymentMethod]],Tax[PaymentMethod],0)))</f>
        <v>#N/A</v>
      </c>
      <c r="U14" s="6" t="e">
        <f>Salary[[#This Row],[Прибыль]]*INDEX(Tax[УСН или Прибыль],MATCH(Salary[[#This Row],[PaymentMethod]],Tax[PaymentMethod],0))</f>
        <v>#N/A</v>
      </c>
      <c r="V14" s="6" t="e">
        <f>Salary[[#This Row],[Прибыль]]*INDEX(Tax[НДС],MATCH(Salary[[#This Row],[PaymentMethod]],Tax[PaymentMethod],0))</f>
        <v>#N/A</v>
      </c>
    </row>
    <row r="15" spans="1:22" x14ac:dyDescent="0.25">
      <c r="A15">
        <v>14</v>
      </c>
      <c r="B15" s="91">
        <v>42005</v>
      </c>
      <c r="C15" s="2" t="s">
        <v>419</v>
      </c>
      <c r="D15">
        <f>SUMIF(Positions[Positions],Salary[[#This Row],[Position]],Positions[Grade])</f>
        <v>100</v>
      </c>
      <c r="E15">
        <v>5788</v>
      </c>
      <c r="F15" s="6">
        <v>0</v>
      </c>
      <c r="G15" s="3">
        <f>ROUND(Salary[[#This Row],[Salary]]/160,0)</f>
        <v>0</v>
      </c>
      <c r="H15">
        <v>0</v>
      </c>
      <c r="I15" s="6">
        <f>Salary[[#This Row],[FTE]]*Salary[[#This Row],[Salary]]</f>
        <v>0</v>
      </c>
      <c r="J15" s="6">
        <f>INDEX(GradesAndSalaries[],MATCH(Salary[[#This Row],[Grade]],GradesAndSalaries[Grade],0),MATCH(Employee[[#Headers],[Base Budgeting COST]],GradesAndSalaries[#Headers],0))</f>
        <v>0</v>
      </c>
      <c r="L15" s="6" t="e">
        <f>Salary[[#This Row],[Salary]]/(1-INDEX(Tax[НДФЛ],MATCH(Salary[[#This Row],[PaymentMethod]],Tax[PaymentMethod])))</f>
        <v>#N/A</v>
      </c>
      <c r="N15" s="6" t="e">
        <f>Salary[[#This Row],[НДФЛ]]+Salary[[#This Row],[Фонды]]+Salary[[#This Row],[Налог на прибыль]]+Salary[[#This Row],[НДС]]</f>
        <v>#N/A</v>
      </c>
      <c r="O15" s="6" t="e">
        <f>Salary[[#This Row],[Salary]]+Salary[[#This Row],[Полный Налог]]</f>
        <v>#N/A</v>
      </c>
      <c r="P15" s="6" t="e">
        <f>Salary[[#This Row],[Полный Налог]]/Salary[[#This Row],[Salary]]</f>
        <v>#N/A</v>
      </c>
      <c r="Q15" s="6" t="e">
        <f>Salary[[#This Row],[SalaryOfficial]]*INDEX(Tax[НДФЛ],MATCH(Salary[[#This Row],[PaymentMethod]],Tax[PaymentMethod], 0))</f>
        <v>#N/A</v>
      </c>
      <c r="R15" s="6" t="e">
        <f>Salary[[#This Row],[SalaryOfficial]]*INDEX(Tax[Взносы],MATCH(Salary[[#This Row],[PaymentMethod]],Tax[PaymentMethod],0))</f>
        <v>#N/A</v>
      </c>
      <c r="S15" s="6" t="e">
        <f>Salary[[#This Row],[Salary]]+Salary[[#This Row],[НДФЛ]]+Salary[[#This Row],[Фонды]]</f>
        <v>#N/A</v>
      </c>
      <c r="T15" s="6" t="e">
        <f>Salary[[#This Row],[ЗП+НДФЛ+Фонды]]/(1-INDEX(Tax[УСН или Прибыль],MATCH(Salary[[#This Row],[PaymentMethod]],Tax[PaymentMethod],0)))</f>
        <v>#N/A</v>
      </c>
      <c r="U15" s="6" t="e">
        <f>Salary[[#This Row],[Прибыль]]*INDEX(Tax[УСН или Прибыль],MATCH(Salary[[#This Row],[PaymentMethod]],Tax[PaymentMethod],0))</f>
        <v>#N/A</v>
      </c>
      <c r="V15" s="6" t="e">
        <f>Salary[[#This Row],[Прибыль]]*INDEX(Tax[НДС],MATCH(Salary[[#This Row],[PaymentMethod]],Tax[PaymentMethod],0))</f>
        <v>#N/A</v>
      </c>
    </row>
    <row r="16" spans="1:22" x14ac:dyDescent="0.25">
      <c r="A16">
        <v>15</v>
      </c>
      <c r="B16" s="91">
        <v>42005</v>
      </c>
      <c r="C16" s="2" t="s">
        <v>419</v>
      </c>
      <c r="D16">
        <f>SUMIF(Positions[Positions],Salary[[#This Row],[Position]],Positions[Grade])</f>
        <v>100</v>
      </c>
      <c r="E16" t="s">
        <v>324</v>
      </c>
      <c r="F16" s="6">
        <v>0</v>
      </c>
      <c r="G16" s="3">
        <f>ROUND(Salary[[#This Row],[Salary]]/160,0)</f>
        <v>0</v>
      </c>
      <c r="H16">
        <v>0</v>
      </c>
      <c r="I16" s="6">
        <f>Salary[[#This Row],[FTE]]*Salary[[#This Row],[Salary]]</f>
        <v>0</v>
      </c>
      <c r="J16" s="6">
        <f>INDEX(GradesAndSalaries[],MATCH(Salary[[#This Row],[Grade]],GradesAndSalaries[Grade],0),MATCH(Employee[[#Headers],[Base Budgeting COST]],GradesAndSalaries[#Headers],0))</f>
        <v>0</v>
      </c>
      <c r="L16" s="6" t="e">
        <f>Salary[[#This Row],[Salary]]/(1-INDEX(Tax[НДФЛ],MATCH(Salary[[#This Row],[PaymentMethod]],Tax[PaymentMethod])))</f>
        <v>#N/A</v>
      </c>
      <c r="N16" s="6" t="e">
        <f>Salary[[#This Row],[НДФЛ]]+Salary[[#This Row],[Фонды]]+Salary[[#This Row],[Налог на прибыль]]+Salary[[#This Row],[НДС]]</f>
        <v>#N/A</v>
      </c>
      <c r="O16" s="6" t="e">
        <f>Salary[[#This Row],[Salary]]+Salary[[#This Row],[Полный Налог]]</f>
        <v>#N/A</v>
      </c>
      <c r="P16" s="6" t="e">
        <f>Salary[[#This Row],[Полный Налог]]/Salary[[#This Row],[Salary]]</f>
        <v>#N/A</v>
      </c>
      <c r="Q16" s="6" t="e">
        <f>Salary[[#This Row],[SalaryOfficial]]*INDEX(Tax[НДФЛ],MATCH(Salary[[#This Row],[PaymentMethod]],Tax[PaymentMethod], 0))</f>
        <v>#N/A</v>
      </c>
      <c r="R16" s="6" t="e">
        <f>Salary[[#This Row],[SalaryOfficial]]*INDEX(Tax[Взносы],MATCH(Salary[[#This Row],[PaymentMethod]],Tax[PaymentMethod],0))</f>
        <v>#N/A</v>
      </c>
      <c r="S16" s="6" t="e">
        <f>Salary[[#This Row],[Salary]]+Salary[[#This Row],[НДФЛ]]+Salary[[#This Row],[Фонды]]</f>
        <v>#N/A</v>
      </c>
      <c r="T16" s="6" t="e">
        <f>Salary[[#This Row],[ЗП+НДФЛ+Фонды]]/(1-INDEX(Tax[УСН или Прибыль],MATCH(Salary[[#This Row],[PaymentMethod]],Tax[PaymentMethod],0)))</f>
        <v>#N/A</v>
      </c>
      <c r="U16" s="6" t="e">
        <f>Salary[[#This Row],[Прибыль]]*INDEX(Tax[УСН или Прибыль],MATCH(Salary[[#This Row],[PaymentMethod]],Tax[PaymentMethod],0))</f>
        <v>#N/A</v>
      </c>
      <c r="V16" s="6" t="e">
        <f>Salary[[#This Row],[Прибыль]]*INDEX(Tax[НДС],MATCH(Salary[[#This Row],[PaymentMethod]],Tax[PaymentMethod],0))</f>
        <v>#N/A</v>
      </c>
    </row>
    <row r="17" spans="1:22" x14ac:dyDescent="0.25">
      <c r="A17">
        <v>16</v>
      </c>
      <c r="B17" s="91">
        <v>42005</v>
      </c>
      <c r="C17" s="2" t="s">
        <v>419</v>
      </c>
      <c r="D17">
        <f>SUMIF(Positions[Positions],Salary[[#This Row],[Position]],Positions[Grade])</f>
        <v>100</v>
      </c>
      <c r="E17" t="s">
        <v>377</v>
      </c>
      <c r="F17" s="6">
        <v>0</v>
      </c>
      <c r="G17" s="3">
        <f>ROUND(Salary[[#This Row],[Salary]]/160,0)</f>
        <v>0</v>
      </c>
      <c r="H17">
        <v>0</v>
      </c>
      <c r="I17" s="6">
        <f>Salary[[#This Row],[FTE]]*Salary[[#This Row],[Salary]]</f>
        <v>0</v>
      </c>
      <c r="J17" s="6">
        <f>INDEX(GradesAndSalaries[],MATCH(Salary[[#This Row],[Grade]],GradesAndSalaries[Grade],0),MATCH(Employee[[#Headers],[Base Budgeting COST]],GradesAndSalaries[#Headers],0))</f>
        <v>0</v>
      </c>
      <c r="L17" s="6" t="e">
        <f>Salary[[#This Row],[Salary]]/(1-INDEX(Tax[НДФЛ],MATCH(Salary[[#This Row],[PaymentMethod]],Tax[PaymentMethod])))</f>
        <v>#N/A</v>
      </c>
      <c r="N17" s="6" t="e">
        <f>Salary[[#This Row],[НДФЛ]]+Salary[[#This Row],[Фонды]]+Salary[[#This Row],[Налог на прибыль]]+Salary[[#This Row],[НДС]]</f>
        <v>#N/A</v>
      </c>
      <c r="O17" s="6" t="e">
        <f>Salary[[#This Row],[Salary]]+Salary[[#This Row],[Полный Налог]]</f>
        <v>#N/A</v>
      </c>
      <c r="P17" s="6" t="e">
        <f>Salary[[#This Row],[Полный Налог]]/Salary[[#This Row],[Salary]]</f>
        <v>#N/A</v>
      </c>
      <c r="Q17" s="6" t="e">
        <f>Salary[[#This Row],[SalaryOfficial]]*INDEX(Tax[НДФЛ],MATCH(Salary[[#This Row],[PaymentMethod]],Tax[PaymentMethod], 0))</f>
        <v>#N/A</v>
      </c>
      <c r="R17" s="6" t="e">
        <f>Salary[[#This Row],[SalaryOfficial]]*INDEX(Tax[Взносы],MATCH(Salary[[#This Row],[PaymentMethod]],Tax[PaymentMethod],0))</f>
        <v>#N/A</v>
      </c>
      <c r="S17" s="6" t="e">
        <f>Salary[[#This Row],[Salary]]+Salary[[#This Row],[НДФЛ]]+Salary[[#This Row],[Фонды]]</f>
        <v>#N/A</v>
      </c>
      <c r="T17" s="6" t="e">
        <f>Salary[[#This Row],[ЗП+НДФЛ+Фонды]]/(1-INDEX(Tax[УСН или Прибыль],MATCH(Salary[[#This Row],[PaymentMethod]],Tax[PaymentMethod],0)))</f>
        <v>#N/A</v>
      </c>
      <c r="U17" s="6" t="e">
        <f>Salary[[#This Row],[Прибыль]]*INDEX(Tax[УСН или Прибыль],MATCH(Salary[[#This Row],[PaymentMethod]],Tax[PaymentMethod],0))</f>
        <v>#N/A</v>
      </c>
      <c r="V17" s="6" t="e">
        <f>Salary[[#This Row],[Прибыль]]*INDEX(Tax[НДС],MATCH(Salary[[#This Row],[PaymentMethod]],Tax[PaymentMethod],0))</f>
        <v>#N/A</v>
      </c>
    </row>
    <row r="18" spans="1:22" x14ac:dyDescent="0.25">
      <c r="A18">
        <v>17</v>
      </c>
      <c r="B18" s="91">
        <v>42005</v>
      </c>
      <c r="C18" s="2" t="s">
        <v>419</v>
      </c>
      <c r="D18">
        <f>SUMIF(Positions[Positions],Salary[[#This Row],[Position]],Positions[Grade])</f>
        <v>100</v>
      </c>
      <c r="E18" t="s">
        <v>865</v>
      </c>
      <c r="F18" s="6">
        <v>0</v>
      </c>
      <c r="G18" s="3">
        <f>ROUND(Salary[[#This Row],[Salary]]/160,0)</f>
        <v>0</v>
      </c>
      <c r="H18">
        <v>0</v>
      </c>
      <c r="I18" s="6">
        <f>Salary[[#This Row],[FTE]]*Salary[[#This Row],[Salary]]</f>
        <v>0</v>
      </c>
      <c r="J18" s="6">
        <f>INDEX(GradesAndSalaries[],MATCH(Salary[[#This Row],[Grade]],GradesAndSalaries[Grade],0),MATCH(Employee[[#Headers],[Base Budgeting COST]],GradesAndSalaries[#Headers],0))</f>
        <v>0</v>
      </c>
      <c r="L18" s="6" t="e">
        <f>Salary[[#This Row],[Salary]]/(1-INDEX(Tax[НДФЛ],MATCH(Salary[[#This Row],[PaymentMethod]],Tax[PaymentMethod])))</f>
        <v>#N/A</v>
      </c>
      <c r="N18" s="6" t="e">
        <f>Salary[[#This Row],[НДФЛ]]+Salary[[#This Row],[Фонды]]+Salary[[#This Row],[Налог на прибыль]]+Salary[[#This Row],[НДС]]</f>
        <v>#N/A</v>
      </c>
      <c r="O18" s="6" t="e">
        <f>Salary[[#This Row],[Salary]]+Salary[[#This Row],[Полный Налог]]</f>
        <v>#N/A</v>
      </c>
      <c r="P18" s="6" t="e">
        <f>Salary[[#This Row],[Полный Налог]]/Salary[[#This Row],[Salary]]</f>
        <v>#N/A</v>
      </c>
      <c r="Q18" s="6" t="e">
        <f>Salary[[#This Row],[SalaryOfficial]]*INDEX(Tax[НДФЛ],MATCH(Salary[[#This Row],[PaymentMethod]],Tax[PaymentMethod], 0))</f>
        <v>#N/A</v>
      </c>
      <c r="R18" s="6" t="e">
        <f>Salary[[#This Row],[SalaryOfficial]]*INDEX(Tax[Взносы],MATCH(Salary[[#This Row],[PaymentMethod]],Tax[PaymentMethod],0))</f>
        <v>#N/A</v>
      </c>
      <c r="S18" s="6" t="e">
        <f>Salary[[#This Row],[Salary]]+Salary[[#This Row],[НДФЛ]]+Salary[[#This Row],[Фонды]]</f>
        <v>#N/A</v>
      </c>
      <c r="T18" s="6" t="e">
        <f>Salary[[#This Row],[ЗП+НДФЛ+Фонды]]/(1-INDEX(Tax[УСН или Прибыль],MATCH(Salary[[#This Row],[PaymentMethod]],Tax[PaymentMethod],0)))</f>
        <v>#N/A</v>
      </c>
      <c r="U18" s="6" t="e">
        <f>Salary[[#This Row],[Прибыль]]*INDEX(Tax[УСН или Прибыль],MATCH(Salary[[#This Row],[PaymentMethod]],Tax[PaymentMethod],0))</f>
        <v>#N/A</v>
      </c>
      <c r="V18" s="6" t="e">
        <f>Salary[[#This Row],[Прибыль]]*INDEX(Tax[НДС],MATCH(Salary[[#This Row],[PaymentMethod]],Tax[PaymentMethod],0))</f>
        <v>#N/A</v>
      </c>
    </row>
    <row r="19" spans="1:22" x14ac:dyDescent="0.25">
      <c r="A19">
        <v>18</v>
      </c>
      <c r="B19" s="91">
        <v>42005</v>
      </c>
      <c r="C19" s="2" t="s">
        <v>419</v>
      </c>
      <c r="D19">
        <f>SUMIF(Positions[Positions],Salary[[#This Row],[Position]],Positions[Grade])</f>
        <v>100</v>
      </c>
      <c r="E19" t="s">
        <v>866</v>
      </c>
      <c r="F19" s="6">
        <v>0</v>
      </c>
      <c r="G19" s="3">
        <f>ROUND(Salary[[#This Row],[Salary]]/160,0)</f>
        <v>0</v>
      </c>
      <c r="H19">
        <v>0</v>
      </c>
      <c r="I19" s="6">
        <f>Salary[[#This Row],[FTE]]*Salary[[#This Row],[Salary]]</f>
        <v>0</v>
      </c>
      <c r="J19" s="6">
        <f>INDEX(GradesAndSalaries[],MATCH(Salary[[#This Row],[Grade]],GradesAndSalaries[Grade],0),MATCH(Employee[[#Headers],[Base Budgeting COST]],GradesAndSalaries[#Headers],0))</f>
        <v>0</v>
      </c>
      <c r="L19" s="6" t="e">
        <f>Salary[[#This Row],[Salary]]/(1-INDEX(Tax[НДФЛ],MATCH(Salary[[#This Row],[PaymentMethod]],Tax[PaymentMethod])))</f>
        <v>#N/A</v>
      </c>
      <c r="N19" s="6" t="e">
        <f>Salary[[#This Row],[НДФЛ]]+Salary[[#This Row],[Фонды]]+Salary[[#This Row],[Налог на прибыль]]+Salary[[#This Row],[НДС]]</f>
        <v>#N/A</v>
      </c>
      <c r="O19" s="6" t="e">
        <f>Salary[[#This Row],[Salary]]+Salary[[#This Row],[Полный Налог]]</f>
        <v>#N/A</v>
      </c>
      <c r="P19" s="6" t="e">
        <f>Salary[[#This Row],[Полный Налог]]/Salary[[#This Row],[Salary]]</f>
        <v>#N/A</v>
      </c>
      <c r="Q19" s="6" t="e">
        <f>Salary[[#This Row],[SalaryOfficial]]*INDEX(Tax[НДФЛ],MATCH(Salary[[#This Row],[PaymentMethod]],Tax[PaymentMethod], 0))</f>
        <v>#N/A</v>
      </c>
      <c r="R19" s="6" t="e">
        <f>Salary[[#This Row],[SalaryOfficial]]*INDEX(Tax[Взносы],MATCH(Salary[[#This Row],[PaymentMethod]],Tax[PaymentMethod],0))</f>
        <v>#N/A</v>
      </c>
      <c r="S19" s="6" t="e">
        <f>Salary[[#This Row],[Salary]]+Salary[[#This Row],[НДФЛ]]+Salary[[#This Row],[Фонды]]</f>
        <v>#N/A</v>
      </c>
      <c r="T19" s="6" t="e">
        <f>Salary[[#This Row],[ЗП+НДФЛ+Фонды]]/(1-INDEX(Tax[УСН или Прибыль],MATCH(Salary[[#This Row],[PaymentMethod]],Tax[PaymentMethod],0)))</f>
        <v>#N/A</v>
      </c>
      <c r="U19" s="6" t="e">
        <f>Salary[[#This Row],[Прибыль]]*INDEX(Tax[УСН или Прибыль],MATCH(Salary[[#This Row],[PaymentMethod]],Tax[PaymentMethod],0))</f>
        <v>#N/A</v>
      </c>
      <c r="V19" s="6" t="e">
        <f>Salary[[#This Row],[Прибыль]]*INDEX(Tax[НДС],MATCH(Salary[[#This Row],[PaymentMethod]],Tax[PaymentMethod],0))</f>
        <v>#N/A</v>
      </c>
    </row>
    <row r="20" spans="1:22" x14ac:dyDescent="0.25">
      <c r="A20">
        <v>19</v>
      </c>
      <c r="B20" s="91">
        <v>42005</v>
      </c>
      <c r="C20" s="2" t="s">
        <v>419</v>
      </c>
      <c r="D20">
        <f>SUMIF(Positions[Positions],Salary[[#This Row],[Position]],Positions[Grade])</f>
        <v>100</v>
      </c>
      <c r="E20" t="s">
        <v>867</v>
      </c>
      <c r="F20" s="6">
        <v>0</v>
      </c>
      <c r="G20" s="3">
        <f>ROUND(Salary[[#This Row],[Salary]]/160,0)</f>
        <v>0</v>
      </c>
      <c r="H20">
        <v>0</v>
      </c>
      <c r="I20" s="6">
        <f>Salary[[#This Row],[FTE]]*Salary[[#This Row],[Salary]]</f>
        <v>0</v>
      </c>
      <c r="J20" s="6">
        <f>INDEX(GradesAndSalaries[],MATCH(Salary[[#This Row],[Grade]],GradesAndSalaries[Grade],0),MATCH(Employee[[#Headers],[Base Budgeting COST]],GradesAndSalaries[#Headers],0))</f>
        <v>0</v>
      </c>
      <c r="L20" s="6" t="e">
        <f>Salary[[#This Row],[Salary]]/(1-INDEX(Tax[НДФЛ],MATCH(Salary[[#This Row],[PaymentMethod]],Tax[PaymentMethod])))</f>
        <v>#N/A</v>
      </c>
      <c r="N20" s="6" t="e">
        <f>Salary[[#This Row],[НДФЛ]]+Salary[[#This Row],[Фонды]]+Salary[[#This Row],[Налог на прибыль]]+Salary[[#This Row],[НДС]]</f>
        <v>#N/A</v>
      </c>
      <c r="O20" s="6" t="e">
        <f>Salary[[#This Row],[Salary]]+Salary[[#This Row],[Полный Налог]]</f>
        <v>#N/A</v>
      </c>
      <c r="P20" s="6" t="e">
        <f>Salary[[#This Row],[Полный Налог]]/Salary[[#This Row],[Salary]]</f>
        <v>#N/A</v>
      </c>
      <c r="Q20" s="6" t="e">
        <f>Salary[[#This Row],[SalaryOfficial]]*INDEX(Tax[НДФЛ],MATCH(Salary[[#This Row],[PaymentMethod]],Tax[PaymentMethod], 0))</f>
        <v>#N/A</v>
      </c>
      <c r="R20" s="6" t="e">
        <f>Salary[[#This Row],[SalaryOfficial]]*INDEX(Tax[Взносы],MATCH(Salary[[#This Row],[PaymentMethod]],Tax[PaymentMethod],0))</f>
        <v>#N/A</v>
      </c>
      <c r="S20" s="6" t="e">
        <f>Salary[[#This Row],[Salary]]+Salary[[#This Row],[НДФЛ]]+Salary[[#This Row],[Фонды]]</f>
        <v>#N/A</v>
      </c>
      <c r="T20" s="6" t="e">
        <f>Salary[[#This Row],[ЗП+НДФЛ+Фонды]]/(1-INDEX(Tax[УСН или Прибыль],MATCH(Salary[[#This Row],[PaymentMethod]],Tax[PaymentMethod],0)))</f>
        <v>#N/A</v>
      </c>
      <c r="U20" s="6" t="e">
        <f>Salary[[#This Row],[Прибыль]]*INDEX(Tax[УСН или Прибыль],MATCH(Salary[[#This Row],[PaymentMethod]],Tax[PaymentMethod],0))</f>
        <v>#N/A</v>
      </c>
      <c r="V20" s="6" t="e">
        <f>Salary[[#This Row],[Прибыль]]*INDEX(Tax[НДС],MATCH(Salary[[#This Row],[PaymentMethod]],Tax[PaymentMethod],0))</f>
        <v>#N/A</v>
      </c>
    </row>
    <row r="21" spans="1:22" x14ac:dyDescent="0.25">
      <c r="A21">
        <v>20</v>
      </c>
      <c r="B21" s="91">
        <v>42005</v>
      </c>
      <c r="C21" s="2" t="s">
        <v>419</v>
      </c>
      <c r="D21">
        <f>SUMIF(Positions[Positions],Salary[[#This Row],[Position]],Positions[Grade])</f>
        <v>100</v>
      </c>
      <c r="E21" t="s">
        <v>888</v>
      </c>
      <c r="F21" s="6">
        <v>0</v>
      </c>
      <c r="G21" s="3">
        <f>ROUND(Salary[[#This Row],[Salary]]/160,0)</f>
        <v>0</v>
      </c>
      <c r="H21">
        <v>0</v>
      </c>
      <c r="I21" s="6">
        <f>Salary[[#This Row],[FTE]]*Salary[[#This Row],[Salary]]</f>
        <v>0</v>
      </c>
      <c r="J21" s="6">
        <f>INDEX(GradesAndSalaries[],MATCH(Salary[[#This Row],[Grade]],GradesAndSalaries[Grade],0),MATCH(Employee[[#Headers],[Base Budgeting COST]],GradesAndSalaries[#Headers],0))</f>
        <v>0</v>
      </c>
      <c r="L21" s="6" t="e">
        <f>Salary[[#This Row],[Salary]]/(1-INDEX(Tax[НДФЛ],MATCH(Salary[[#This Row],[PaymentMethod]],Tax[PaymentMethod])))</f>
        <v>#N/A</v>
      </c>
      <c r="N21" s="6" t="e">
        <f>Salary[[#This Row],[НДФЛ]]+Salary[[#This Row],[Фонды]]+Salary[[#This Row],[Налог на прибыль]]+Salary[[#This Row],[НДС]]</f>
        <v>#N/A</v>
      </c>
      <c r="O21" s="6" t="e">
        <f>Salary[[#This Row],[Salary]]+Salary[[#This Row],[Полный Налог]]</f>
        <v>#N/A</v>
      </c>
      <c r="P21" s="6" t="e">
        <f>Salary[[#This Row],[Полный Налог]]/Salary[[#This Row],[Salary]]</f>
        <v>#N/A</v>
      </c>
      <c r="Q21" s="6" t="e">
        <f>Salary[[#This Row],[SalaryOfficial]]*INDEX(Tax[НДФЛ],MATCH(Salary[[#This Row],[PaymentMethod]],Tax[PaymentMethod], 0))</f>
        <v>#N/A</v>
      </c>
      <c r="R21" s="6" t="e">
        <f>Salary[[#This Row],[SalaryOfficial]]*INDEX(Tax[Взносы],MATCH(Salary[[#This Row],[PaymentMethod]],Tax[PaymentMethod],0))</f>
        <v>#N/A</v>
      </c>
      <c r="S21" s="6" t="e">
        <f>Salary[[#This Row],[Salary]]+Salary[[#This Row],[НДФЛ]]+Salary[[#This Row],[Фонды]]</f>
        <v>#N/A</v>
      </c>
      <c r="T21" s="6" t="e">
        <f>Salary[[#This Row],[ЗП+НДФЛ+Фонды]]/(1-INDEX(Tax[УСН или Прибыль],MATCH(Salary[[#This Row],[PaymentMethod]],Tax[PaymentMethod],0)))</f>
        <v>#N/A</v>
      </c>
      <c r="U21" s="6" t="e">
        <f>Salary[[#This Row],[Прибыль]]*INDEX(Tax[УСН или Прибыль],MATCH(Salary[[#This Row],[PaymentMethod]],Tax[PaymentMethod],0))</f>
        <v>#N/A</v>
      </c>
      <c r="V21" s="6" t="e">
        <f>Salary[[#This Row],[Прибыль]]*INDEX(Tax[НДС],MATCH(Salary[[#This Row],[PaymentMethod]],Tax[PaymentMethod],0))</f>
        <v>#N/A</v>
      </c>
    </row>
    <row r="22" spans="1:22" x14ac:dyDescent="0.25">
      <c r="A22">
        <v>21</v>
      </c>
      <c r="B22" s="91">
        <v>42005</v>
      </c>
      <c r="C22" s="2" t="s">
        <v>419</v>
      </c>
      <c r="D22">
        <f>SUMIF(Positions[Positions],Salary[[#This Row],[Position]],Positions[Grade])</f>
        <v>100</v>
      </c>
      <c r="E22">
        <v>3029</v>
      </c>
      <c r="F22" s="6">
        <v>0</v>
      </c>
      <c r="G22" s="3">
        <f>ROUND(Salary[[#This Row],[Salary]]/160,0)</f>
        <v>0</v>
      </c>
      <c r="H22">
        <v>0</v>
      </c>
      <c r="I22" s="6">
        <f>Salary[[#This Row],[FTE]]*Salary[[#This Row],[Salary]]</f>
        <v>0</v>
      </c>
      <c r="J22" s="6">
        <f>INDEX(GradesAndSalaries[],MATCH(Salary[[#This Row],[Grade]],GradesAndSalaries[Grade],0),MATCH(Employee[[#Headers],[Base Budgeting COST]],GradesAndSalaries[#Headers],0))</f>
        <v>0</v>
      </c>
      <c r="L22" s="6" t="e">
        <f>Salary[[#This Row],[Salary]]/(1-INDEX(Tax[НДФЛ],MATCH(Salary[[#This Row],[PaymentMethod]],Tax[PaymentMethod])))</f>
        <v>#N/A</v>
      </c>
      <c r="N22" s="6" t="e">
        <f>Salary[[#This Row],[НДФЛ]]+Salary[[#This Row],[Фонды]]+Salary[[#This Row],[Налог на прибыль]]+Salary[[#This Row],[НДС]]</f>
        <v>#N/A</v>
      </c>
      <c r="O22" s="6" t="e">
        <f>Salary[[#This Row],[Salary]]+Salary[[#This Row],[Полный Налог]]</f>
        <v>#N/A</v>
      </c>
      <c r="P22" s="6" t="e">
        <f>Salary[[#This Row],[Полный Налог]]/Salary[[#This Row],[Salary]]</f>
        <v>#N/A</v>
      </c>
      <c r="Q22" s="6" t="e">
        <f>Salary[[#This Row],[SalaryOfficial]]*INDEX(Tax[НДФЛ],MATCH(Salary[[#This Row],[PaymentMethod]],Tax[PaymentMethod], 0))</f>
        <v>#N/A</v>
      </c>
      <c r="R22" s="6" t="e">
        <f>Salary[[#This Row],[SalaryOfficial]]*INDEX(Tax[Взносы],MATCH(Salary[[#This Row],[PaymentMethod]],Tax[PaymentMethod],0))</f>
        <v>#N/A</v>
      </c>
      <c r="S22" s="6" t="e">
        <f>Salary[[#This Row],[Salary]]+Salary[[#This Row],[НДФЛ]]+Salary[[#This Row],[Фонды]]</f>
        <v>#N/A</v>
      </c>
      <c r="T22" s="6" t="e">
        <f>Salary[[#This Row],[ЗП+НДФЛ+Фонды]]/(1-INDEX(Tax[УСН или Прибыль],MATCH(Salary[[#This Row],[PaymentMethod]],Tax[PaymentMethod],0)))</f>
        <v>#N/A</v>
      </c>
      <c r="U22" s="6" t="e">
        <f>Salary[[#This Row],[Прибыль]]*INDEX(Tax[УСН или Прибыль],MATCH(Salary[[#This Row],[PaymentMethod]],Tax[PaymentMethod],0))</f>
        <v>#N/A</v>
      </c>
      <c r="V22" s="6" t="e">
        <f>Salary[[#This Row],[Прибыль]]*INDEX(Tax[НДС],MATCH(Salary[[#This Row],[PaymentMethod]],Tax[PaymentMethod],0))</f>
        <v>#N/A</v>
      </c>
    </row>
    <row r="23" spans="1:22" x14ac:dyDescent="0.25">
      <c r="A23">
        <v>22</v>
      </c>
      <c r="B23" s="91">
        <v>42005</v>
      </c>
      <c r="C23" s="2" t="s">
        <v>419</v>
      </c>
      <c r="D23">
        <f>SUMIF(Positions[Positions],Salary[[#This Row],[Position]],Positions[Grade])</f>
        <v>100</v>
      </c>
      <c r="E23" t="s">
        <v>1562</v>
      </c>
      <c r="F23" s="6">
        <v>0</v>
      </c>
      <c r="G23" s="3">
        <f>ROUND(Salary[[#This Row],[Salary]]/160,0)</f>
        <v>0</v>
      </c>
      <c r="H23">
        <v>0</v>
      </c>
      <c r="I23" s="6">
        <f>Salary[[#This Row],[FTE]]*Salary[[#This Row],[Salary]]</f>
        <v>0</v>
      </c>
      <c r="J23" s="6">
        <f>INDEX(GradesAndSalaries[],MATCH(Salary[[#This Row],[Grade]],GradesAndSalaries[Grade],0),MATCH(Employee[[#Headers],[Base Budgeting COST]],GradesAndSalaries[#Headers],0))</f>
        <v>0</v>
      </c>
      <c r="L23" s="6" t="e">
        <f>Salary[[#This Row],[Salary]]/(1-INDEX(Tax[НДФЛ],MATCH(Salary[[#This Row],[PaymentMethod]],Tax[PaymentMethod])))</f>
        <v>#N/A</v>
      </c>
      <c r="N23" s="6" t="e">
        <f>Salary[[#This Row],[НДФЛ]]+Salary[[#This Row],[Фонды]]+Salary[[#This Row],[Налог на прибыль]]+Salary[[#This Row],[НДС]]</f>
        <v>#N/A</v>
      </c>
      <c r="O23" s="6" t="e">
        <f>Salary[[#This Row],[Salary]]+Salary[[#This Row],[Полный Налог]]</f>
        <v>#N/A</v>
      </c>
      <c r="P23" s="6" t="e">
        <f>Salary[[#This Row],[Полный Налог]]/Salary[[#This Row],[Salary]]</f>
        <v>#N/A</v>
      </c>
      <c r="Q23" s="6" t="e">
        <f>Salary[[#This Row],[SalaryOfficial]]*INDEX(Tax[НДФЛ],MATCH(Salary[[#This Row],[PaymentMethod]],Tax[PaymentMethod], 0))</f>
        <v>#N/A</v>
      </c>
      <c r="R23" s="6" t="e">
        <f>Salary[[#This Row],[SalaryOfficial]]*INDEX(Tax[Взносы],MATCH(Salary[[#This Row],[PaymentMethod]],Tax[PaymentMethod],0))</f>
        <v>#N/A</v>
      </c>
      <c r="S23" s="6" t="e">
        <f>Salary[[#This Row],[Salary]]+Salary[[#This Row],[НДФЛ]]+Salary[[#This Row],[Фонды]]</f>
        <v>#N/A</v>
      </c>
      <c r="T23" s="6" t="e">
        <f>Salary[[#This Row],[ЗП+НДФЛ+Фонды]]/(1-INDEX(Tax[УСН или Прибыль],MATCH(Salary[[#This Row],[PaymentMethod]],Tax[PaymentMethod],0)))</f>
        <v>#N/A</v>
      </c>
      <c r="U23" s="6" t="e">
        <f>Salary[[#This Row],[Прибыль]]*INDEX(Tax[УСН или Прибыль],MATCH(Salary[[#This Row],[PaymentMethod]],Tax[PaymentMethod],0))</f>
        <v>#N/A</v>
      </c>
      <c r="V23" s="6" t="e">
        <f>Salary[[#This Row],[Прибыль]]*INDEX(Tax[НДС],MATCH(Salary[[#This Row],[PaymentMethod]],Tax[PaymentMethod],0))</f>
        <v>#N/A</v>
      </c>
    </row>
    <row r="24" spans="1:22" x14ac:dyDescent="0.25">
      <c r="A24">
        <v>23</v>
      </c>
      <c r="B24" s="91">
        <v>42005</v>
      </c>
      <c r="C24" s="2" t="s">
        <v>419</v>
      </c>
      <c r="D24">
        <f>SUMIF(Positions[Positions],Salary[[#This Row],[Position]],Positions[Grade])</f>
        <v>100</v>
      </c>
      <c r="E24" t="s">
        <v>1114</v>
      </c>
      <c r="F24" s="6">
        <v>0</v>
      </c>
      <c r="G24" s="3">
        <f>ROUND(Salary[[#This Row],[Salary]]/160,0)</f>
        <v>0</v>
      </c>
      <c r="H24">
        <v>0</v>
      </c>
      <c r="I24" s="6">
        <f>Salary[[#This Row],[FTE]]*Salary[[#This Row],[Salary]]</f>
        <v>0</v>
      </c>
      <c r="J24" s="6">
        <f>INDEX(GradesAndSalaries[],MATCH(Salary[[#This Row],[Grade]],GradesAndSalaries[Grade],0),MATCH(Employee[[#Headers],[Base Budgeting COST]],GradesAndSalaries[#Headers],0))</f>
        <v>0</v>
      </c>
      <c r="L24" s="6" t="e">
        <f>Salary[[#This Row],[Salary]]/(1-INDEX(Tax[НДФЛ],MATCH(Salary[[#This Row],[PaymentMethod]],Tax[PaymentMethod])))</f>
        <v>#N/A</v>
      </c>
      <c r="N24" s="6" t="e">
        <f>Salary[[#This Row],[НДФЛ]]+Salary[[#This Row],[Фонды]]+Salary[[#This Row],[Налог на прибыль]]+Salary[[#This Row],[НДС]]</f>
        <v>#N/A</v>
      </c>
      <c r="O24" s="6" t="e">
        <f>Salary[[#This Row],[Salary]]+Salary[[#This Row],[Полный Налог]]</f>
        <v>#N/A</v>
      </c>
      <c r="P24" s="6" t="e">
        <f>Salary[[#This Row],[Полный Налог]]/Salary[[#This Row],[Salary]]</f>
        <v>#N/A</v>
      </c>
      <c r="Q24" s="6" t="e">
        <f>Salary[[#This Row],[SalaryOfficial]]*INDEX(Tax[НДФЛ],MATCH(Salary[[#This Row],[PaymentMethod]],Tax[PaymentMethod], 0))</f>
        <v>#N/A</v>
      </c>
      <c r="R24" s="6" t="e">
        <f>Salary[[#This Row],[SalaryOfficial]]*INDEX(Tax[Взносы],MATCH(Salary[[#This Row],[PaymentMethod]],Tax[PaymentMethod],0))</f>
        <v>#N/A</v>
      </c>
      <c r="S24" s="6" t="e">
        <f>Salary[[#This Row],[Salary]]+Salary[[#This Row],[НДФЛ]]+Salary[[#This Row],[Фонды]]</f>
        <v>#N/A</v>
      </c>
      <c r="T24" s="6" t="e">
        <f>Salary[[#This Row],[ЗП+НДФЛ+Фонды]]/(1-INDEX(Tax[УСН или Прибыль],MATCH(Salary[[#This Row],[PaymentMethod]],Tax[PaymentMethod],0)))</f>
        <v>#N/A</v>
      </c>
      <c r="U24" s="6" t="e">
        <f>Salary[[#This Row],[Прибыль]]*INDEX(Tax[УСН или Прибыль],MATCH(Salary[[#This Row],[PaymentMethod]],Tax[PaymentMethod],0))</f>
        <v>#N/A</v>
      </c>
      <c r="V24" s="6" t="e">
        <f>Salary[[#This Row],[Прибыль]]*INDEX(Tax[НДС],MATCH(Salary[[#This Row],[PaymentMethod]],Tax[PaymentMethod],0))</f>
        <v>#N/A</v>
      </c>
    </row>
    <row r="25" spans="1:22" x14ac:dyDescent="0.25">
      <c r="A25">
        <v>24</v>
      </c>
      <c r="B25" s="91">
        <v>42005</v>
      </c>
      <c r="C25" s="2" t="s">
        <v>419</v>
      </c>
      <c r="D25">
        <f>SUMIF(Positions[Positions],Salary[[#This Row],[Position]],Positions[Grade])</f>
        <v>100</v>
      </c>
      <c r="E25" t="s">
        <v>2709</v>
      </c>
      <c r="F25" s="6">
        <v>0</v>
      </c>
      <c r="G25" s="3">
        <f>ROUND(Salary[[#This Row],[Salary]]/160,0)</f>
        <v>0</v>
      </c>
      <c r="H25">
        <v>0</v>
      </c>
      <c r="I25" s="6">
        <f>Salary[[#This Row],[FTE]]*Salary[[#This Row],[Salary]]</f>
        <v>0</v>
      </c>
      <c r="J25" s="460">
        <f>INDEX(GradesAndSalaries[],MATCH(Salary[[#This Row],[Grade]],GradesAndSalaries[Grade],0),MATCH(Employee[[#Headers],[Base Budgeting COST]],GradesAndSalaries[#Headers],0))</f>
        <v>0</v>
      </c>
      <c r="L25" s="6" t="e">
        <f>Salary[[#This Row],[Salary]]/(1-INDEX(Tax[НДФЛ],MATCH(Salary[[#This Row],[PaymentMethod]],Tax[PaymentMethod])))</f>
        <v>#N/A</v>
      </c>
      <c r="N25" s="6" t="e">
        <f>Salary[[#This Row],[НДФЛ]]+Salary[[#This Row],[Фонды]]+Salary[[#This Row],[Налог на прибыль]]+Salary[[#This Row],[НДС]]</f>
        <v>#N/A</v>
      </c>
      <c r="O25" s="6" t="e">
        <f>Salary[[#This Row],[Salary]]+Salary[[#This Row],[Полный Налог]]</f>
        <v>#N/A</v>
      </c>
      <c r="P25" s="6" t="e">
        <f>Salary[[#This Row],[Полный Налог]]/Salary[[#This Row],[Salary]]</f>
        <v>#N/A</v>
      </c>
      <c r="Q25" s="6" t="e">
        <f>Salary[[#This Row],[SalaryOfficial]]*INDEX(Tax[НДФЛ],MATCH(Salary[[#This Row],[PaymentMethod]],Tax[PaymentMethod], 0))</f>
        <v>#N/A</v>
      </c>
      <c r="R25" s="6" t="e">
        <f>Salary[[#This Row],[SalaryOfficial]]*INDEX(Tax[Взносы],MATCH(Salary[[#This Row],[PaymentMethod]],Tax[PaymentMethod],0))</f>
        <v>#N/A</v>
      </c>
      <c r="S25" s="6" t="e">
        <f>Salary[[#This Row],[Salary]]+Salary[[#This Row],[НДФЛ]]+Salary[[#This Row],[Фонды]]</f>
        <v>#N/A</v>
      </c>
      <c r="T25" s="6" t="e">
        <f>Salary[[#This Row],[ЗП+НДФЛ+Фонды]]/(1-INDEX(Tax[УСН или Прибыль],MATCH(Salary[[#This Row],[PaymentMethod]],Tax[PaymentMethod],0)))</f>
        <v>#N/A</v>
      </c>
      <c r="U25" s="6" t="e">
        <f>Salary[[#This Row],[Прибыль]]*INDEX(Tax[УСН или Прибыль],MATCH(Salary[[#This Row],[PaymentMethod]],Tax[PaymentMethod],0))</f>
        <v>#N/A</v>
      </c>
      <c r="V25" s="6" t="e">
        <f>Salary[[#This Row],[Прибыль]]*INDEX(Tax[НДС],MATCH(Salary[[#This Row],[PaymentMethod]],Tax[PaymentMethod],0))</f>
        <v>#N/A</v>
      </c>
    </row>
    <row r="26" spans="1:22" x14ac:dyDescent="0.25">
      <c r="A26">
        <v>25</v>
      </c>
      <c r="B26" s="91">
        <v>42646</v>
      </c>
      <c r="C26" s="2" t="s">
        <v>95</v>
      </c>
      <c r="D26">
        <f>SUMIF(Positions[Positions],Salary[[#This Row],[Position]],Positions[Grade])</f>
        <v>101</v>
      </c>
      <c r="E26" t="s">
        <v>72</v>
      </c>
      <c r="F26" s="6">
        <v>45000</v>
      </c>
      <c r="G26" s="7">
        <f>ROUND(Salary[[#This Row],[Salary]]/160,0)</f>
        <v>281</v>
      </c>
      <c r="H26">
        <v>0.5</v>
      </c>
      <c r="I26" s="6">
        <f>Salary[[#This Row],[FTE]]*Salary[[#This Row],[Salary]]</f>
        <v>22500</v>
      </c>
      <c r="J26" s="6">
        <f>INDEX(GradesAndSalaries[],MATCH(Salary[[#This Row],[Grade]],GradesAndSalaries[Grade],0),MATCH(Employee[[#Headers],[Base Budgeting COST]],GradesAndSalaries[#Headers],0))</f>
        <v>625</v>
      </c>
      <c r="L26" s="6">
        <f>Salary[[#This Row],[Salary]]/(1-INDEX(Tax[НДФЛ],MATCH(Salary[[#This Row],[PaymentMethod]],Tax[PaymentMethod])))</f>
        <v>45000</v>
      </c>
      <c r="M26" t="s">
        <v>710</v>
      </c>
      <c r="N26" s="6">
        <f>Salary[[#This Row],[НДФЛ]]+Salary[[#This Row],[Фонды]]+Salary[[#This Row],[Налог на прибыль]]+Salary[[#This Row],[НДС]]</f>
        <v>13064.516129032259</v>
      </c>
      <c r="O26" s="6">
        <f>Salary[[#This Row],[Salary]]+Salary[[#This Row],[Полный Налог]]</f>
        <v>58064.516129032258</v>
      </c>
      <c r="P26" s="6">
        <f>Salary[[#This Row],[Полный Налог]]/Salary[[#This Row],[Salary]]</f>
        <v>0.29032258064516131</v>
      </c>
      <c r="Q26" s="6">
        <f>Salary[[#This Row],[SalaryOfficial]]*INDEX(Tax[НДФЛ],MATCH(Salary[[#This Row],[PaymentMethod]],Tax[PaymentMethod], 0))</f>
        <v>0</v>
      </c>
      <c r="R26" s="6">
        <f>Salary[[#This Row],[SalaryOfficial]]*INDEX(Tax[Взносы],MATCH(Salary[[#This Row],[PaymentMethod]],Tax[PaymentMethod],0))</f>
        <v>0</v>
      </c>
      <c r="S26" s="6">
        <f>Salary[[#This Row],[Salary]]+Salary[[#This Row],[НДФЛ]]+Salary[[#This Row],[Фонды]]</f>
        <v>45000</v>
      </c>
      <c r="T26" s="6">
        <f>Salary[[#This Row],[ЗП+НДФЛ+Фонды]]/(1-INDEX(Tax[УСН или Прибыль],MATCH(Salary[[#This Row],[PaymentMethod]],Tax[PaymentMethod],0)))</f>
        <v>48387.096774193553</v>
      </c>
      <c r="U26" s="6">
        <f>Salary[[#This Row],[Прибыль]]*INDEX(Tax[УСН или Прибыль],MATCH(Salary[[#This Row],[PaymentMethod]],Tax[PaymentMethod],0))</f>
        <v>3387.0967741935492</v>
      </c>
      <c r="V26" s="6">
        <f>Salary[[#This Row],[Прибыль]]*INDEX(Tax[НДС],MATCH(Salary[[#This Row],[PaymentMethod]],Tax[PaymentMethod],0))</f>
        <v>9677.4193548387102</v>
      </c>
    </row>
    <row r="27" spans="1:22" x14ac:dyDescent="0.25">
      <c r="A27">
        <v>26</v>
      </c>
      <c r="B27" s="91">
        <v>42646</v>
      </c>
      <c r="C27" s="2" t="s">
        <v>431</v>
      </c>
      <c r="D27">
        <f>SUMIF(Positions[Positions],Salary[[#This Row],[Position]],Positions[Grade])</f>
        <v>401</v>
      </c>
      <c r="E27" t="s">
        <v>75</v>
      </c>
      <c r="F27" s="6">
        <v>175000</v>
      </c>
      <c r="G27" s="7">
        <f>ROUND(Salary[[#This Row],[Salary]]/160,0)</f>
        <v>1094</v>
      </c>
      <c r="H27">
        <v>1</v>
      </c>
      <c r="I27" s="6">
        <f>Salary[[#This Row],[FTE]]*Salary[[#This Row],[Salary]]</f>
        <v>175000</v>
      </c>
      <c r="J27" s="6">
        <f>INDEX(GradesAndSalaries[],MATCH(Salary[[#This Row],[Grade]],GradesAndSalaries[Grade],0),MATCH(Employee[[#Headers],[Base Budgeting COST]],GradesAndSalaries[#Headers],0))</f>
        <v>3238</v>
      </c>
      <c r="L27" s="6">
        <f>Salary[[#This Row],[Salary]]/(1-INDEX(Tax[НДФЛ],MATCH(Salary[[#This Row],[PaymentMethod]],Tax[PaymentMethod])))</f>
        <v>201149.42528735631</v>
      </c>
      <c r="M27" t="s">
        <v>1623</v>
      </c>
      <c r="N27" s="6">
        <f>Salary[[#This Row],[НДФЛ]]+Salary[[#This Row],[Фонды]]+Salary[[#This Row],[Налог на прибыль]]+Salary[[#This Row],[НДС]]</f>
        <v>139275.86206896551</v>
      </c>
      <c r="O27" s="6">
        <f>Salary[[#This Row],[Salary]]+Salary[[#This Row],[Полный Налог]]</f>
        <v>314275.86206896551</v>
      </c>
      <c r="P27" s="6">
        <f>Salary[[#This Row],[Полный Налог]]/Salary[[#This Row],[Salary]]</f>
        <v>0.79586206896551714</v>
      </c>
      <c r="Q27" s="6">
        <f>Salary[[#This Row],[SalaryOfficial]]*INDEX(Tax[НДФЛ],MATCH(Salary[[#This Row],[PaymentMethod]],Tax[PaymentMethod], 0))</f>
        <v>26149.42528735632</v>
      </c>
      <c r="R27" s="6">
        <f>Salary[[#This Row],[SalaryOfficial]]*INDEX(Tax[Взносы],MATCH(Salary[[#This Row],[PaymentMethod]],Tax[PaymentMethod],0))</f>
        <v>60747.126436781611</v>
      </c>
      <c r="S27" s="6">
        <f>Salary[[#This Row],[Salary]]+Salary[[#This Row],[НДФЛ]]+Salary[[#This Row],[Фонды]]</f>
        <v>261896.55172413791</v>
      </c>
      <c r="T27" s="6">
        <f>Salary[[#This Row],[ЗП+НДФЛ+Фонды]]/(1-INDEX(Tax[УСН или Прибыль],MATCH(Salary[[#This Row],[PaymentMethod]],Tax[PaymentMethod],0)))</f>
        <v>261896.55172413791</v>
      </c>
      <c r="U27" s="6">
        <f>Salary[[#This Row],[Прибыль]]*INDEX(Tax[УСН или Прибыль],MATCH(Salary[[#This Row],[PaymentMethod]],Tax[PaymentMethod],0))</f>
        <v>0</v>
      </c>
      <c r="V27" s="6">
        <f>Salary[[#This Row],[Прибыль]]*INDEX(Tax[НДС],MATCH(Salary[[#This Row],[PaymentMethod]],Tax[PaymentMethod],0))</f>
        <v>52379.310344827587</v>
      </c>
    </row>
    <row r="28" spans="1:22" x14ac:dyDescent="0.25">
      <c r="A28">
        <v>27</v>
      </c>
      <c r="B28" s="91">
        <v>42646</v>
      </c>
      <c r="C28" s="2" t="s">
        <v>148</v>
      </c>
      <c r="D28">
        <f>SUMIF(Positions[Positions],Salary[[#This Row],[Position]],Positions[Grade])</f>
        <v>401</v>
      </c>
      <c r="E28">
        <v>2803</v>
      </c>
      <c r="F28" s="6">
        <v>145000</v>
      </c>
      <c r="G28" s="7">
        <f>ROUND(Salary[[#This Row],[Salary]]/160,0)</f>
        <v>906</v>
      </c>
      <c r="H28">
        <v>1</v>
      </c>
      <c r="I28" s="6">
        <f>Salary[[#This Row],[FTE]]*Salary[[#This Row],[Salary]]</f>
        <v>145000</v>
      </c>
      <c r="J28" s="6">
        <f>INDEX(GradesAndSalaries[],MATCH(Salary[[#This Row],[Grade]],GradesAndSalaries[Grade],0),MATCH(Employee[[#Headers],[Base Budgeting COST]],GradesAndSalaries[#Headers],0))</f>
        <v>3238</v>
      </c>
      <c r="L28" s="6">
        <f>Salary[[#This Row],[Salary]]/(1-INDEX(Tax[НДФЛ],MATCH(Salary[[#This Row],[PaymentMethod]],Tax[PaymentMethod])))</f>
        <v>166666.66666666666</v>
      </c>
      <c r="M28" t="s">
        <v>1623</v>
      </c>
      <c r="N28" s="6">
        <f>Salary[[#This Row],[НДФЛ]]+Salary[[#This Row],[Фонды]]+Salary[[#This Row],[Налог на прибыль]]+Salary[[#This Row],[НДС]]</f>
        <v>115400</v>
      </c>
      <c r="O28" s="6">
        <f>Salary[[#This Row],[Salary]]+Salary[[#This Row],[Полный Налог]]</f>
        <v>260400</v>
      </c>
      <c r="P28" s="6">
        <f>Salary[[#This Row],[Полный Налог]]/Salary[[#This Row],[Salary]]</f>
        <v>0.79586206896551726</v>
      </c>
      <c r="Q28" s="6">
        <f>Salary[[#This Row],[SalaryOfficial]]*INDEX(Tax[НДФЛ],MATCH(Salary[[#This Row],[PaymentMethod]],Tax[PaymentMethod], 0))</f>
        <v>21666.666666666668</v>
      </c>
      <c r="R28" s="6">
        <f>Salary[[#This Row],[SalaryOfficial]]*INDEX(Tax[Взносы],MATCH(Salary[[#This Row],[PaymentMethod]],Tax[PaymentMethod],0))</f>
        <v>50333.333333333336</v>
      </c>
      <c r="S28" s="6">
        <f>Salary[[#This Row],[Salary]]+Salary[[#This Row],[НДФЛ]]+Salary[[#This Row],[Фонды]]</f>
        <v>217000</v>
      </c>
      <c r="T28" s="6">
        <f>Salary[[#This Row],[ЗП+НДФЛ+Фонды]]/(1-INDEX(Tax[УСН или Прибыль],MATCH(Salary[[#This Row],[PaymentMethod]],Tax[PaymentMethod],0)))</f>
        <v>217000</v>
      </c>
      <c r="U28" s="6">
        <f>Salary[[#This Row],[Прибыль]]*INDEX(Tax[УСН или Прибыль],MATCH(Salary[[#This Row],[PaymentMethod]],Tax[PaymentMethod],0))</f>
        <v>0</v>
      </c>
      <c r="V28" s="6">
        <f>Salary[[#This Row],[Прибыль]]*INDEX(Tax[НДС],MATCH(Salary[[#This Row],[PaymentMethod]],Tax[PaymentMethod],0))</f>
        <v>43400</v>
      </c>
    </row>
    <row r="29" spans="1:22" x14ac:dyDescent="0.25">
      <c r="A29">
        <v>28</v>
      </c>
      <c r="B29" s="91">
        <v>42646</v>
      </c>
      <c r="C29" s="2" t="s">
        <v>148</v>
      </c>
      <c r="D29">
        <f>SUMIF(Positions[Positions],Salary[[#This Row],[Position]],Positions[Grade])</f>
        <v>401</v>
      </c>
      <c r="E29">
        <v>6181</v>
      </c>
      <c r="F29" s="6">
        <v>145000</v>
      </c>
      <c r="G29" s="7">
        <f>ROUND(Salary[[#This Row],[Salary]]/160,0)</f>
        <v>906</v>
      </c>
      <c r="H29">
        <v>0</v>
      </c>
      <c r="I29" s="6">
        <f>Salary[[#This Row],[FTE]]*Salary[[#This Row],[Salary]]</f>
        <v>0</v>
      </c>
      <c r="J29" s="6">
        <f>INDEX(GradesAndSalaries[],MATCH(Salary[[#This Row],[Grade]],GradesAndSalaries[Grade],0),MATCH(Employee[[#Headers],[Base Budgeting COST]],GradesAndSalaries[#Headers],0))</f>
        <v>3238</v>
      </c>
      <c r="L29" s="6">
        <f>Salary[[#This Row],[Salary]]/(1-INDEX(Tax[НДФЛ],MATCH(Salary[[#This Row],[PaymentMethod]],Tax[PaymentMethod])))</f>
        <v>166666.66666666666</v>
      </c>
      <c r="M29" t="s">
        <v>1623</v>
      </c>
      <c r="N29" s="6">
        <f>Salary[[#This Row],[НДФЛ]]+Salary[[#This Row],[Фонды]]+Salary[[#This Row],[Налог на прибыль]]+Salary[[#This Row],[НДС]]</f>
        <v>115400</v>
      </c>
      <c r="O29" s="6">
        <f>Salary[[#This Row],[Salary]]+Salary[[#This Row],[Полный Налог]]</f>
        <v>260400</v>
      </c>
      <c r="P29" s="6">
        <f>Salary[[#This Row],[Полный Налог]]/Salary[[#This Row],[Salary]]</f>
        <v>0.79586206896551726</v>
      </c>
      <c r="Q29" s="6">
        <f>Salary[[#This Row],[SalaryOfficial]]*INDEX(Tax[НДФЛ],MATCH(Salary[[#This Row],[PaymentMethod]],Tax[PaymentMethod], 0))</f>
        <v>21666.666666666668</v>
      </c>
      <c r="R29" s="6">
        <f>Salary[[#This Row],[SalaryOfficial]]*INDEX(Tax[Взносы],MATCH(Salary[[#This Row],[PaymentMethod]],Tax[PaymentMethod],0))</f>
        <v>50333.333333333336</v>
      </c>
      <c r="S29" s="6">
        <f>Salary[[#This Row],[Salary]]+Salary[[#This Row],[НДФЛ]]+Salary[[#This Row],[Фонды]]</f>
        <v>217000</v>
      </c>
      <c r="T29" s="6">
        <f>Salary[[#This Row],[ЗП+НДФЛ+Фонды]]/(1-INDEX(Tax[УСН или Прибыль],MATCH(Salary[[#This Row],[PaymentMethod]],Tax[PaymentMethod],0)))</f>
        <v>217000</v>
      </c>
      <c r="U29" s="6">
        <f>Salary[[#This Row],[Прибыль]]*INDEX(Tax[УСН или Прибыль],MATCH(Salary[[#This Row],[PaymentMethod]],Tax[PaymentMethod],0))</f>
        <v>0</v>
      </c>
      <c r="V29" s="6">
        <f>Salary[[#This Row],[Прибыль]]*INDEX(Tax[НДС],MATCH(Salary[[#This Row],[PaymentMethod]],Tax[PaymentMethod],0))</f>
        <v>43400</v>
      </c>
    </row>
    <row r="30" spans="1:22" x14ac:dyDescent="0.25">
      <c r="A30">
        <v>29</v>
      </c>
      <c r="B30" s="91">
        <v>42779</v>
      </c>
      <c r="C30" s="2" t="s">
        <v>418</v>
      </c>
      <c r="D30">
        <f>SUMIF(Positions[Positions],Salary[[#This Row],[Position]],Positions[Grade])</f>
        <v>202</v>
      </c>
      <c r="E30" t="s">
        <v>72</v>
      </c>
      <c r="F30" s="6">
        <v>70000</v>
      </c>
      <c r="G30" s="7">
        <f>ROUND(Salary[[#This Row],[Salary]]/160,0)</f>
        <v>438</v>
      </c>
      <c r="H30">
        <v>1</v>
      </c>
      <c r="I30" s="6">
        <f>Salary[[#This Row],[FTE]]*Salary[[#This Row],[Salary]]</f>
        <v>70000</v>
      </c>
      <c r="J30" s="6">
        <f>INDEX(GradesAndSalaries[],MATCH(Salary[[#This Row],[Grade]],GradesAndSalaries[Grade],0),MATCH(Employee[[#Headers],[Base Budgeting COST]],GradesAndSalaries[#Headers],0))</f>
        <v>875</v>
      </c>
      <c r="L30" s="6">
        <f>Salary[[#This Row],[Salary]]/(1-INDEX(Tax[НДФЛ],MATCH(Salary[[#This Row],[PaymentMethod]],Tax[PaymentMethod])))</f>
        <v>80459.770114942527</v>
      </c>
      <c r="M30" t="s">
        <v>1623</v>
      </c>
      <c r="N30" s="6">
        <f>Salary[[#This Row],[НДФЛ]]+Salary[[#This Row],[Фонды]]+Salary[[#This Row],[Налог на прибыль]]+Salary[[#This Row],[НДС]]</f>
        <v>55710.34482758621</v>
      </c>
      <c r="O30" s="6">
        <f>Salary[[#This Row],[Salary]]+Salary[[#This Row],[Полный Налог]]</f>
        <v>125710.3448275862</v>
      </c>
      <c r="P30" s="6">
        <f>Salary[[#This Row],[Полный Налог]]/Salary[[#This Row],[Salary]]</f>
        <v>0.79586206896551726</v>
      </c>
      <c r="Q30" s="6">
        <f>Salary[[#This Row],[SalaryOfficial]]*INDEX(Tax[НДФЛ],MATCH(Salary[[#This Row],[PaymentMethod]],Tax[PaymentMethod], 0))</f>
        <v>10459.770114942528</v>
      </c>
      <c r="R30" s="6">
        <f>Salary[[#This Row],[SalaryOfficial]]*INDEX(Tax[Взносы],MATCH(Salary[[#This Row],[PaymentMethod]],Tax[PaymentMethod],0))</f>
        <v>24298.850574712647</v>
      </c>
      <c r="S30" s="6">
        <f>Salary[[#This Row],[Salary]]+Salary[[#This Row],[НДФЛ]]+Salary[[#This Row],[Фонды]]</f>
        <v>104758.62068965517</v>
      </c>
      <c r="T30" s="6">
        <f>Salary[[#This Row],[ЗП+НДФЛ+Фонды]]/(1-INDEX(Tax[УСН или Прибыль],MATCH(Salary[[#This Row],[PaymentMethod]],Tax[PaymentMethod],0)))</f>
        <v>104758.62068965517</v>
      </c>
      <c r="U30" s="6">
        <f>Salary[[#This Row],[Прибыль]]*INDEX(Tax[УСН или Прибыль],MATCH(Salary[[#This Row],[PaymentMethod]],Tax[PaymentMethod],0))</f>
        <v>0</v>
      </c>
      <c r="V30" s="6">
        <f>Salary[[#This Row],[Прибыль]]*INDEX(Tax[НДС],MATCH(Salary[[#This Row],[PaymentMethod]],Tax[PaymentMethod],0))</f>
        <v>20951.724137931036</v>
      </c>
    </row>
    <row r="31" spans="1:22" x14ac:dyDescent="0.25">
      <c r="A31">
        <v>30</v>
      </c>
      <c r="B31" s="91">
        <v>42887</v>
      </c>
      <c r="C31" s="2" t="s">
        <v>95</v>
      </c>
      <c r="D31">
        <f>SUMIF(Positions[Positions],Salary[[#This Row],[Position]],Positions[Grade])</f>
        <v>101</v>
      </c>
      <c r="E31" t="s">
        <v>324</v>
      </c>
      <c r="F31" s="6">
        <v>35400</v>
      </c>
      <c r="G31" s="7">
        <f>ROUND(Salary[[#This Row],[Salary]]/160,0)</f>
        <v>221</v>
      </c>
      <c r="H31">
        <v>0</v>
      </c>
      <c r="I31" s="6">
        <f>Salary[[#This Row],[FTE]]*Salary[[#This Row],[Salary]]</f>
        <v>0</v>
      </c>
      <c r="J31" s="6">
        <f>INDEX(GradesAndSalaries[],MATCH(Salary[[#This Row],[Grade]],GradesAndSalaries[Grade],0),MATCH(Employee[[#Headers],[Base Budgeting COST]],GradesAndSalaries[#Headers],0))</f>
        <v>625</v>
      </c>
      <c r="L31" s="6">
        <f>Salary[[#This Row],[Salary]]/(1-INDEX(Tax[НДФЛ],MATCH(Salary[[#This Row],[PaymentMethod]],Tax[PaymentMethod])))</f>
        <v>40689.65517241379</v>
      </c>
      <c r="M31" t="s">
        <v>1623</v>
      </c>
      <c r="N31" s="6">
        <f>Salary[[#This Row],[НДФЛ]]+Salary[[#This Row],[Фонды]]+Salary[[#This Row],[Налог на прибыль]]+Salary[[#This Row],[НДС]]</f>
        <v>28173.517241379308</v>
      </c>
      <c r="O31" s="6">
        <f>Salary[[#This Row],[Salary]]+Salary[[#This Row],[Полный Налог]]</f>
        <v>63573.517241379304</v>
      </c>
      <c r="P31" s="6">
        <f>Salary[[#This Row],[Полный Налог]]/Salary[[#This Row],[Salary]]</f>
        <v>0.79586206896551714</v>
      </c>
      <c r="Q31" s="6">
        <f>Salary[[#This Row],[SalaryOfficial]]*INDEX(Tax[НДФЛ],MATCH(Salary[[#This Row],[PaymentMethod]],Tax[PaymentMethod], 0))</f>
        <v>5289.6551724137926</v>
      </c>
      <c r="R31" s="6">
        <f>Salary[[#This Row],[SalaryOfficial]]*INDEX(Tax[Взносы],MATCH(Salary[[#This Row],[PaymentMethod]],Tax[PaymentMethod],0))</f>
        <v>12288.275862068966</v>
      </c>
      <c r="S31" s="6">
        <f>Salary[[#This Row],[Salary]]+Salary[[#This Row],[НДФЛ]]+Salary[[#This Row],[Фонды]]</f>
        <v>52977.931034482754</v>
      </c>
      <c r="T31" s="6">
        <f>Salary[[#This Row],[ЗП+НДФЛ+Фонды]]/(1-INDEX(Tax[УСН или Прибыль],MATCH(Salary[[#This Row],[PaymentMethod]],Tax[PaymentMethod],0)))</f>
        <v>52977.931034482754</v>
      </c>
      <c r="U31" s="6">
        <f>Salary[[#This Row],[Прибыль]]*INDEX(Tax[УСН или Прибыль],MATCH(Salary[[#This Row],[PaymentMethod]],Tax[PaymentMethod],0))</f>
        <v>0</v>
      </c>
      <c r="V31" s="6">
        <f>Salary[[#This Row],[Прибыль]]*INDEX(Tax[НДС],MATCH(Salary[[#This Row],[PaymentMethod]],Tax[PaymentMethod],0))</f>
        <v>10595.586206896551</v>
      </c>
    </row>
    <row r="32" spans="1:22" x14ac:dyDescent="0.25">
      <c r="A32">
        <v>31</v>
      </c>
      <c r="B32" s="91">
        <v>42887</v>
      </c>
      <c r="C32" s="2" t="s">
        <v>95</v>
      </c>
      <c r="D32">
        <f>SUMIF(Positions[Positions],Salary[[#This Row],[Position]],Positions[Grade])</f>
        <v>101</v>
      </c>
      <c r="E32" t="s">
        <v>262</v>
      </c>
      <c r="F32" s="6">
        <v>40000</v>
      </c>
      <c r="G32" s="7">
        <f>ROUND(Salary[[#This Row],[Salary]]/160,0)</f>
        <v>250</v>
      </c>
      <c r="H32">
        <v>0.5</v>
      </c>
      <c r="I32" s="6">
        <f>Salary[[#This Row],[FTE]]*Salary[[#This Row],[Salary]]</f>
        <v>20000</v>
      </c>
      <c r="J32" s="6">
        <f>INDEX(GradesAndSalaries[],MATCH(Salary[[#This Row],[Grade]],GradesAndSalaries[Grade],0),MATCH(Employee[[#Headers],[Base Budgeting COST]],GradesAndSalaries[#Headers],0))</f>
        <v>625</v>
      </c>
      <c r="L32" s="6">
        <f>Salary[[#This Row],[Salary]]/(1-INDEX(Tax[НДФЛ],MATCH(Salary[[#This Row],[PaymentMethod]],Tax[PaymentMethod])))</f>
        <v>45977.011494252874</v>
      </c>
      <c r="M32" t="s">
        <v>1623</v>
      </c>
      <c r="N32" s="6">
        <f>Salary[[#This Row],[НДФЛ]]+Salary[[#This Row],[Фонды]]+Salary[[#This Row],[Налог на прибыль]]+Salary[[#This Row],[НДС]]</f>
        <v>31834.482758620692</v>
      </c>
      <c r="O32" s="6">
        <f>Salary[[#This Row],[Salary]]+Salary[[#This Row],[Полный Налог]]</f>
        <v>71834.482758620696</v>
      </c>
      <c r="P32" s="6">
        <f>Salary[[#This Row],[Полный Налог]]/Salary[[#This Row],[Salary]]</f>
        <v>0.79586206896551726</v>
      </c>
      <c r="Q32" s="6">
        <f>Salary[[#This Row],[SalaryOfficial]]*INDEX(Tax[НДФЛ],MATCH(Salary[[#This Row],[PaymentMethod]],Tax[PaymentMethod], 0))</f>
        <v>5977.0114942528735</v>
      </c>
      <c r="R32" s="6">
        <f>Salary[[#This Row],[SalaryOfficial]]*INDEX(Tax[Взносы],MATCH(Salary[[#This Row],[PaymentMethod]],Tax[PaymentMethod],0))</f>
        <v>13885.05747126437</v>
      </c>
      <c r="S32" s="6">
        <f>Salary[[#This Row],[Salary]]+Salary[[#This Row],[НДФЛ]]+Salary[[#This Row],[Фонды]]</f>
        <v>59862.068965517246</v>
      </c>
      <c r="T32" s="6">
        <f>Salary[[#This Row],[ЗП+НДФЛ+Фонды]]/(1-INDEX(Tax[УСН или Прибыль],MATCH(Salary[[#This Row],[PaymentMethod]],Tax[PaymentMethod],0)))</f>
        <v>59862.068965517246</v>
      </c>
      <c r="U32" s="6">
        <f>Salary[[#This Row],[Прибыль]]*INDEX(Tax[УСН или Прибыль],MATCH(Salary[[#This Row],[PaymentMethod]],Tax[PaymentMethod],0))</f>
        <v>0</v>
      </c>
      <c r="V32" s="6">
        <f>Salary[[#This Row],[Прибыль]]*INDEX(Tax[НДС],MATCH(Salary[[#This Row],[PaymentMethod]],Tax[PaymentMethod],0))</f>
        <v>11972.413793103449</v>
      </c>
    </row>
    <row r="33" spans="1:22" x14ac:dyDescent="0.25">
      <c r="A33">
        <v>32</v>
      </c>
      <c r="B33" s="91">
        <v>42887</v>
      </c>
      <c r="C33" s="2" t="s">
        <v>95</v>
      </c>
      <c r="D33">
        <f>SUMIF(Positions[Positions],Salary[[#This Row],[Position]],Positions[Grade])</f>
        <v>101</v>
      </c>
      <c r="E33" t="s">
        <v>377</v>
      </c>
      <c r="F33" s="6">
        <v>35400</v>
      </c>
      <c r="G33" s="3">
        <f>ROUND(Salary[[#This Row],[Salary]]/160,0)</f>
        <v>221</v>
      </c>
      <c r="H33">
        <v>0</v>
      </c>
      <c r="I33" s="6">
        <f>Salary[[#This Row],[FTE]]*Salary[[#This Row],[Salary]]</f>
        <v>0</v>
      </c>
      <c r="J33" s="6">
        <f>INDEX(GradesAndSalaries[],MATCH(Salary[[#This Row],[Grade]],GradesAndSalaries[Grade],0),MATCH(Employee[[#Headers],[Base Budgeting COST]],GradesAndSalaries[#Headers],0))</f>
        <v>625</v>
      </c>
      <c r="L33" s="6">
        <f>Salary[[#This Row],[Salary]]/(1-INDEX(Tax[НДФЛ],MATCH(Salary[[#This Row],[PaymentMethod]],Tax[PaymentMethod])))</f>
        <v>40689.65517241379</v>
      </c>
      <c r="M33" t="s">
        <v>1623</v>
      </c>
      <c r="N33" s="6">
        <f>Salary[[#This Row],[НДФЛ]]+Salary[[#This Row],[Фонды]]+Salary[[#This Row],[Налог на прибыль]]+Salary[[#This Row],[НДС]]</f>
        <v>28173.517241379308</v>
      </c>
      <c r="O33" s="6">
        <f>Salary[[#This Row],[Salary]]+Salary[[#This Row],[Полный Налог]]</f>
        <v>63573.517241379304</v>
      </c>
      <c r="P33" s="6">
        <f>Salary[[#This Row],[Полный Налог]]/Salary[[#This Row],[Salary]]</f>
        <v>0.79586206896551714</v>
      </c>
      <c r="Q33" s="6">
        <f>Salary[[#This Row],[SalaryOfficial]]*INDEX(Tax[НДФЛ],MATCH(Salary[[#This Row],[PaymentMethod]],Tax[PaymentMethod], 0))</f>
        <v>5289.6551724137926</v>
      </c>
      <c r="R33" s="6">
        <f>Salary[[#This Row],[SalaryOfficial]]*INDEX(Tax[Взносы],MATCH(Salary[[#This Row],[PaymentMethod]],Tax[PaymentMethod],0))</f>
        <v>12288.275862068966</v>
      </c>
      <c r="S33" s="6">
        <f>Salary[[#This Row],[Salary]]+Salary[[#This Row],[НДФЛ]]+Salary[[#This Row],[Фонды]]</f>
        <v>52977.931034482754</v>
      </c>
      <c r="T33" s="6">
        <f>Salary[[#This Row],[ЗП+НДФЛ+Фонды]]/(1-INDEX(Tax[УСН или Прибыль],MATCH(Salary[[#This Row],[PaymentMethod]],Tax[PaymentMethod],0)))</f>
        <v>52977.931034482754</v>
      </c>
      <c r="U33" s="6">
        <f>Salary[[#This Row],[Прибыль]]*INDEX(Tax[УСН или Прибыль],MATCH(Salary[[#This Row],[PaymentMethod]],Tax[PaymentMethod],0))</f>
        <v>0</v>
      </c>
      <c r="V33" s="6">
        <f>Salary[[#This Row],[Прибыль]]*INDEX(Tax[НДС],MATCH(Salary[[#This Row],[PaymentMethod]],Tax[PaymentMethod],0))</f>
        <v>10595.586206896551</v>
      </c>
    </row>
    <row r="34" spans="1:22" x14ac:dyDescent="0.25">
      <c r="A34">
        <v>33</v>
      </c>
      <c r="B34" s="91">
        <v>42888</v>
      </c>
      <c r="C34" s="2" t="s">
        <v>419</v>
      </c>
      <c r="D34" s="666">
        <f>SUMIF(Positions[Positions],Salary[[#This Row],[Position]],Positions[Grade])</f>
        <v>100</v>
      </c>
      <c r="E34" t="s">
        <v>324</v>
      </c>
      <c r="F34" s="6">
        <v>35400</v>
      </c>
      <c r="G34" s="135">
        <f>ROUND(Salary[[#This Row],[Salary]]/160,0)</f>
        <v>221</v>
      </c>
      <c r="I34" s="31">
        <f>Salary[[#This Row],[FTE]]*Salary[[#This Row],[Salary]]</f>
        <v>0</v>
      </c>
      <c r="J34" s="741">
        <f>INDEX(GradesAndSalaries[],MATCH(Salary[[#This Row],[Grade]],GradesAndSalaries[Grade],0),MATCH(Employee[[#Headers],[Base Budgeting COST]],GradesAndSalaries[#Headers],0))</f>
        <v>0</v>
      </c>
      <c r="L34" s="6">
        <f>Salary[[#This Row],[Salary]]/(1-INDEX(Tax[НДФЛ],MATCH(Salary[[#This Row],[PaymentMethod]],Tax[PaymentMethod])))</f>
        <v>40689.65517241379</v>
      </c>
      <c r="M34" t="s">
        <v>1623</v>
      </c>
      <c r="N34">
        <f>Salary[[#This Row],[НДФЛ]]+Salary[[#This Row],[Фонды]]+Salary[[#This Row],[Налог на прибыль]]+Salary[[#This Row],[НДС]]</f>
        <v>28173.517241379308</v>
      </c>
      <c r="O34">
        <f>Salary[[#This Row],[Salary]]+Salary[[#This Row],[Полный Налог]]</f>
        <v>63573.517241379304</v>
      </c>
      <c r="P34">
        <f>Salary[[#This Row],[Полный Налог]]/Salary[[#This Row],[Salary]]</f>
        <v>0.79586206896551714</v>
      </c>
      <c r="Q34">
        <f>Salary[[#This Row],[SalaryOfficial]]*INDEX(Tax[НДФЛ],MATCH(Salary[[#This Row],[PaymentMethod]],Tax[PaymentMethod], 0))</f>
        <v>5289.6551724137926</v>
      </c>
      <c r="R34">
        <f>Salary[[#This Row],[SalaryOfficial]]*INDEX(Tax[Взносы],MATCH(Salary[[#This Row],[PaymentMethod]],Tax[PaymentMethod],0))</f>
        <v>12288.275862068966</v>
      </c>
      <c r="S34">
        <f>Salary[[#This Row],[Salary]]+Salary[[#This Row],[НДФЛ]]+Salary[[#This Row],[Фонды]]</f>
        <v>52977.931034482754</v>
      </c>
      <c r="T34">
        <f>Salary[[#This Row],[ЗП+НДФЛ+Фонды]]/(1-INDEX(Tax[УСН или Прибыль],MATCH(Salary[[#This Row],[PaymentMethod]],Tax[PaymentMethod],0)))</f>
        <v>52977.931034482754</v>
      </c>
      <c r="U34">
        <f>Salary[[#This Row],[Прибыль]]*INDEX(Tax[УСН или Прибыль],MATCH(Salary[[#This Row],[PaymentMethod]],Tax[PaymentMethod],0))</f>
        <v>0</v>
      </c>
      <c r="V34">
        <f>Salary[[#This Row],[Прибыль]]*INDEX(Tax[НДС],MATCH(Salary[[#This Row],[PaymentMethod]],Tax[PaymentMethod],0))</f>
        <v>10595.586206896551</v>
      </c>
    </row>
    <row r="35" spans="1:22" x14ac:dyDescent="0.25">
      <c r="A35">
        <v>34</v>
      </c>
      <c r="B35" s="91">
        <v>43040</v>
      </c>
      <c r="C35" s="2" t="s">
        <v>417</v>
      </c>
      <c r="D35">
        <f>SUMIF(Positions[Positions],Salary[[#This Row],[Position]],Positions[Grade])</f>
        <v>201</v>
      </c>
      <c r="E35" t="s">
        <v>262</v>
      </c>
      <c r="F35" s="6">
        <v>40000</v>
      </c>
      <c r="G35" s="3">
        <f>ROUND(Salary[[#This Row],[Salary]]/160,0)</f>
        <v>250</v>
      </c>
      <c r="H35">
        <v>0.5</v>
      </c>
      <c r="I35" s="6">
        <f>Salary[[#This Row],[FTE]]*Salary[[#This Row],[Salary]]</f>
        <v>20000</v>
      </c>
      <c r="J35" s="6">
        <f>INDEX(GradesAndSalaries[],MATCH(Salary[[#This Row],[Grade]],GradesAndSalaries[Grade],0),MATCH(Employee[[#Headers],[Base Budgeting COST]],GradesAndSalaries[#Headers],0))</f>
        <v>733</v>
      </c>
      <c r="L35" s="6">
        <f>Salary[[#This Row],[Salary]]/(1-INDEX(Tax[НДФЛ],MATCH(Salary[[#This Row],[PaymentMethod]],Tax[PaymentMethod])))</f>
        <v>45977.011494252874</v>
      </c>
      <c r="M35" t="s">
        <v>1623</v>
      </c>
      <c r="N35" s="6">
        <f>Salary[[#This Row],[НДФЛ]]+Salary[[#This Row],[Фонды]]+Salary[[#This Row],[Налог на прибыль]]+Salary[[#This Row],[НДС]]</f>
        <v>31834.482758620692</v>
      </c>
      <c r="O35" s="6">
        <f>Salary[[#This Row],[Salary]]+Salary[[#This Row],[Полный Налог]]</f>
        <v>71834.482758620696</v>
      </c>
      <c r="P35" s="6">
        <f>Salary[[#This Row],[Полный Налог]]/Salary[[#This Row],[Salary]]</f>
        <v>0.79586206896551726</v>
      </c>
      <c r="Q35" s="6">
        <f>Salary[[#This Row],[SalaryOfficial]]*INDEX(Tax[НДФЛ],MATCH(Salary[[#This Row],[PaymentMethod]],Tax[PaymentMethod], 0))</f>
        <v>5977.0114942528735</v>
      </c>
      <c r="R35" s="6">
        <f>Salary[[#This Row],[SalaryOfficial]]*INDEX(Tax[Взносы],MATCH(Salary[[#This Row],[PaymentMethod]],Tax[PaymentMethod],0))</f>
        <v>13885.05747126437</v>
      </c>
      <c r="S35" s="6">
        <f>Salary[[#This Row],[Salary]]+Salary[[#This Row],[НДФЛ]]+Salary[[#This Row],[Фонды]]</f>
        <v>59862.068965517246</v>
      </c>
      <c r="T35" s="6">
        <f>Salary[[#This Row],[ЗП+НДФЛ+Фонды]]/(1-INDEX(Tax[УСН или Прибыль],MATCH(Salary[[#This Row],[PaymentMethod]],Tax[PaymentMethod],0)))</f>
        <v>59862.068965517246</v>
      </c>
      <c r="U35" s="6">
        <f>Salary[[#This Row],[Прибыль]]*INDEX(Tax[УСН или Прибыль],MATCH(Salary[[#This Row],[PaymentMethod]],Tax[PaymentMethod],0))</f>
        <v>0</v>
      </c>
      <c r="V35" s="6">
        <f>Salary[[#This Row],[Прибыль]]*INDEX(Tax[НДС],MATCH(Salary[[#This Row],[PaymentMethod]],Tax[PaymentMethod],0))</f>
        <v>11972.413793103449</v>
      </c>
    </row>
    <row r="36" spans="1:22" x14ac:dyDescent="0.25">
      <c r="A36">
        <v>35</v>
      </c>
      <c r="B36" s="91">
        <v>43058</v>
      </c>
      <c r="C36" s="2" t="s">
        <v>419</v>
      </c>
      <c r="D36">
        <f>SUMIF(Positions[Positions],Salary[[#This Row],[Position]],Positions[Grade])</f>
        <v>100</v>
      </c>
      <c r="E36">
        <v>5788</v>
      </c>
      <c r="F36" s="6">
        <v>80000</v>
      </c>
      <c r="G36" s="3">
        <f>ROUND(Salary[[#This Row],[Salary]]/160,0)</f>
        <v>500</v>
      </c>
      <c r="H36">
        <v>0.5</v>
      </c>
      <c r="I36" s="6">
        <f>Salary[[#This Row],[FTE]]*Salary[[#This Row],[Salary]]</f>
        <v>40000</v>
      </c>
      <c r="J36" s="6">
        <f>INDEX(GradesAndSalaries[],MATCH(Salary[[#This Row],[Grade]],GradesAndSalaries[Grade],0),MATCH(Employee[[#Headers],[Base Budgeting COST]],GradesAndSalaries[#Headers],0))</f>
        <v>0</v>
      </c>
      <c r="L36" s="6" t="e">
        <f>Salary[[#This Row],[Salary]]/(1-INDEX(Tax[НДФЛ],MATCH(Salary[[#This Row],[PaymentMethod]],Tax[PaymentMethod])))</f>
        <v>#N/A</v>
      </c>
      <c r="N36" s="6" t="e">
        <f>Salary[[#This Row],[НДФЛ]]+Salary[[#This Row],[Фонды]]+Salary[[#This Row],[Налог на прибыль]]+Salary[[#This Row],[НДС]]</f>
        <v>#N/A</v>
      </c>
      <c r="O36" s="6" t="e">
        <f>Salary[[#This Row],[Salary]]+Salary[[#This Row],[Полный Налог]]</f>
        <v>#N/A</v>
      </c>
      <c r="P36" s="6" t="e">
        <f>Salary[[#This Row],[Полный Налог]]/Salary[[#This Row],[Salary]]</f>
        <v>#N/A</v>
      </c>
      <c r="Q36" s="6" t="e">
        <f>Salary[[#This Row],[SalaryOfficial]]*INDEX(Tax[НДФЛ],MATCH(Salary[[#This Row],[PaymentMethod]],Tax[PaymentMethod], 0))</f>
        <v>#N/A</v>
      </c>
      <c r="R36" s="6" t="e">
        <f>Salary[[#This Row],[SalaryOfficial]]*INDEX(Tax[Взносы],MATCH(Salary[[#This Row],[PaymentMethod]],Tax[PaymentMethod],0))</f>
        <v>#N/A</v>
      </c>
      <c r="S36" s="6" t="e">
        <f>Salary[[#This Row],[Salary]]+Salary[[#This Row],[НДФЛ]]+Salary[[#This Row],[Фонды]]</f>
        <v>#N/A</v>
      </c>
      <c r="T36" s="6" t="e">
        <f>Salary[[#This Row],[ЗП+НДФЛ+Фонды]]/(1-INDEX(Tax[УСН или Прибыль],MATCH(Salary[[#This Row],[PaymentMethod]],Tax[PaymentMethod],0)))</f>
        <v>#N/A</v>
      </c>
      <c r="U36" s="6" t="e">
        <f>Salary[[#This Row],[Прибыль]]*INDEX(Tax[УСН или Прибыль],MATCH(Salary[[#This Row],[PaymentMethod]],Tax[PaymentMethod],0))</f>
        <v>#N/A</v>
      </c>
      <c r="V36" s="6" t="e">
        <f>Salary[[#This Row],[Прибыль]]*INDEX(Tax[НДС],MATCH(Salary[[#This Row],[PaymentMethod]],Tax[PaymentMethod],0))</f>
        <v>#N/A</v>
      </c>
    </row>
    <row r="37" spans="1:22" x14ac:dyDescent="0.25">
      <c r="A37">
        <v>36</v>
      </c>
      <c r="B37" s="91">
        <v>43070</v>
      </c>
      <c r="C37" s="2" t="s">
        <v>419</v>
      </c>
      <c r="D37">
        <f>SUMIF(Positions[Positions],Salary[[#This Row],[Position]],Positions[Grade])</f>
        <v>100</v>
      </c>
      <c r="E37" t="s">
        <v>377</v>
      </c>
      <c r="F37" s="6">
        <v>0</v>
      </c>
      <c r="G37" s="3">
        <f>ROUND(Salary[[#This Row],[Salary]]/160,0)</f>
        <v>0</v>
      </c>
      <c r="H37">
        <v>0</v>
      </c>
      <c r="I37" s="6">
        <f>Salary[[#This Row],[FTE]]*Salary[[#This Row],[Salary]]</f>
        <v>0</v>
      </c>
      <c r="J37" s="6">
        <f>INDEX(GradesAndSalaries[],MATCH(Salary[[#This Row],[Grade]],GradesAndSalaries[Grade],0),MATCH(Employee[[#Headers],[Base Budgeting COST]],GradesAndSalaries[#Headers],0))</f>
        <v>0</v>
      </c>
      <c r="L37" s="6" t="e">
        <f>Salary[[#This Row],[Salary]]/(1-INDEX(Tax[НДФЛ],MATCH(Salary[[#This Row],[PaymentMethod]],Tax[PaymentMethod])))</f>
        <v>#N/A</v>
      </c>
      <c r="N37" s="6" t="e">
        <f>Salary[[#This Row],[НДФЛ]]+Salary[[#This Row],[Фонды]]+Salary[[#This Row],[Налог на прибыль]]+Salary[[#This Row],[НДС]]</f>
        <v>#N/A</v>
      </c>
      <c r="O37" s="6" t="e">
        <f>Salary[[#This Row],[Salary]]+Salary[[#This Row],[Полный Налог]]</f>
        <v>#N/A</v>
      </c>
      <c r="P37" s="6" t="e">
        <f>Salary[[#This Row],[Полный Налог]]/Salary[[#This Row],[Salary]]</f>
        <v>#N/A</v>
      </c>
      <c r="Q37" s="6" t="e">
        <f>Salary[[#This Row],[SalaryOfficial]]*INDEX(Tax[НДФЛ],MATCH(Salary[[#This Row],[PaymentMethod]],Tax[PaymentMethod], 0))</f>
        <v>#N/A</v>
      </c>
      <c r="R37" s="6" t="e">
        <f>Salary[[#This Row],[SalaryOfficial]]*INDEX(Tax[Взносы],MATCH(Salary[[#This Row],[PaymentMethod]],Tax[PaymentMethod],0))</f>
        <v>#N/A</v>
      </c>
      <c r="S37" s="6" t="e">
        <f>Salary[[#This Row],[Salary]]+Salary[[#This Row],[НДФЛ]]+Salary[[#This Row],[Фонды]]</f>
        <v>#N/A</v>
      </c>
      <c r="T37" s="6" t="e">
        <f>Salary[[#This Row],[ЗП+НДФЛ+Фонды]]/(1-INDEX(Tax[УСН или Прибыль],MATCH(Salary[[#This Row],[PaymentMethod]],Tax[PaymentMethod],0)))</f>
        <v>#N/A</v>
      </c>
      <c r="U37" s="6" t="e">
        <f>Salary[[#This Row],[Прибыль]]*INDEX(Tax[УСН или Прибыль],MATCH(Salary[[#This Row],[PaymentMethod]],Tax[PaymentMethod],0))</f>
        <v>#N/A</v>
      </c>
      <c r="V37" s="6" t="e">
        <f>Salary[[#This Row],[Прибыль]]*INDEX(Tax[НДС],MATCH(Salary[[#This Row],[PaymentMethod]],Tax[PaymentMethod],0))</f>
        <v>#N/A</v>
      </c>
    </row>
    <row r="38" spans="1:22" x14ac:dyDescent="0.25">
      <c r="A38">
        <v>37</v>
      </c>
      <c r="B38" s="91">
        <v>43160</v>
      </c>
      <c r="C38" s="2" t="s">
        <v>146</v>
      </c>
      <c r="D38">
        <f>SUMIF(Positions[Positions],Salary[[#This Row],[Position]],Positions[Grade])</f>
        <v>301</v>
      </c>
      <c r="E38" t="s">
        <v>72</v>
      </c>
      <c r="F38" s="6">
        <v>85000</v>
      </c>
      <c r="G38" s="3">
        <f>ROUND(Salary[[#This Row],[Salary]]/160,0)</f>
        <v>531</v>
      </c>
      <c r="H38">
        <v>1</v>
      </c>
      <c r="I38" s="6">
        <f>Salary[[#This Row],[FTE]]*Salary[[#This Row],[Salary]]</f>
        <v>85000</v>
      </c>
      <c r="J38" s="6">
        <f>INDEX(GradesAndSalaries[],MATCH(Salary[[#This Row],[Grade]],GradesAndSalaries[Grade],0),MATCH(Employee[[#Headers],[Base Budgeting COST]],GradesAndSalaries[#Headers],0))</f>
        <v>1596</v>
      </c>
      <c r="L38" s="6">
        <f>Salary[[#This Row],[Salary]]/(1-INDEX(Tax[НДФЛ],MATCH(Salary[[#This Row],[PaymentMethod]],Tax[PaymentMethod])))</f>
        <v>97701.149425287353</v>
      </c>
      <c r="M38" t="s">
        <v>1623</v>
      </c>
      <c r="N38" s="6">
        <f>Salary[[#This Row],[НДФЛ]]+Salary[[#This Row],[Фонды]]+Salary[[#This Row],[Налог на прибыль]]+Salary[[#This Row],[НДС]]</f>
        <v>67648.275862068971</v>
      </c>
      <c r="O38" s="6">
        <f>Salary[[#This Row],[Salary]]+Salary[[#This Row],[Полный Налог]]</f>
        <v>152648.27586206899</v>
      </c>
      <c r="P38" s="6">
        <f>Salary[[#This Row],[Полный Налог]]/Salary[[#This Row],[Salary]]</f>
        <v>0.79586206896551726</v>
      </c>
      <c r="Q38" s="6">
        <f>Salary[[#This Row],[SalaryOfficial]]*INDEX(Tax[НДФЛ],MATCH(Salary[[#This Row],[PaymentMethod]],Tax[PaymentMethod], 0))</f>
        <v>12701.149425287356</v>
      </c>
      <c r="R38" s="6">
        <f>Salary[[#This Row],[SalaryOfficial]]*INDEX(Tax[Взносы],MATCH(Salary[[#This Row],[PaymentMethod]],Tax[PaymentMethod],0))</f>
        <v>29505.747126436785</v>
      </c>
      <c r="S38" s="6">
        <f>Salary[[#This Row],[Salary]]+Salary[[#This Row],[НДФЛ]]+Salary[[#This Row],[Фонды]]</f>
        <v>127206.89655172414</v>
      </c>
      <c r="T38" s="6">
        <f>Salary[[#This Row],[ЗП+НДФЛ+Фонды]]/(1-INDEX(Tax[УСН или Прибыль],MATCH(Salary[[#This Row],[PaymentMethod]],Tax[PaymentMethod],0)))</f>
        <v>127206.89655172414</v>
      </c>
      <c r="U38" s="6">
        <f>Salary[[#This Row],[Прибыль]]*INDEX(Tax[УСН или Прибыль],MATCH(Salary[[#This Row],[PaymentMethod]],Tax[PaymentMethod],0))</f>
        <v>0</v>
      </c>
      <c r="V38" s="6">
        <f>Salary[[#This Row],[Прибыль]]*INDEX(Tax[НДС],MATCH(Salary[[#This Row],[PaymentMethod]],Tax[PaymentMethod],0))</f>
        <v>25441.37931034483</v>
      </c>
    </row>
    <row r="39" spans="1:22" x14ac:dyDescent="0.25">
      <c r="A39">
        <v>38</v>
      </c>
      <c r="B39" s="91">
        <v>43234</v>
      </c>
      <c r="C39" s="2" t="s">
        <v>3831</v>
      </c>
      <c r="D39">
        <f>SUMIF(Positions[Positions],Salary[[#This Row],[Position]],Positions[Grade])</f>
        <v>403</v>
      </c>
      <c r="E39">
        <v>6181</v>
      </c>
      <c r="F39" s="6">
        <v>263000</v>
      </c>
      <c r="G39" s="3">
        <f>ROUND(Salary[[#This Row],[Salary]]/160,0)</f>
        <v>1644</v>
      </c>
      <c r="H39">
        <v>0.15</v>
      </c>
      <c r="I39" s="6">
        <f>Salary[[#This Row],[FTE]]*Salary[[#This Row],[Salary]]</f>
        <v>39450</v>
      </c>
      <c r="J39" s="6">
        <f>INDEX(GradesAndSalaries[],MATCH(Salary[[#This Row],[Grade]],GradesAndSalaries[Grade],0),MATCH(Employee[[#Headers],[Base Budgeting COST]],GradesAndSalaries[#Headers],0))</f>
        <v>6125</v>
      </c>
      <c r="L39" s="6">
        <f>Salary[[#This Row],[Salary]]/(1-INDEX(Tax[НДФЛ],MATCH(Salary[[#This Row],[PaymentMethod]],Tax[PaymentMethod])))</f>
        <v>302298.85057471262</v>
      </c>
      <c r="M39" t="s">
        <v>1623</v>
      </c>
      <c r="N39" s="6">
        <f>Salary[[#This Row],[НДФЛ]]+Salary[[#This Row],[Фонды]]+Salary[[#This Row],[Налог на прибыль]]+Salary[[#This Row],[НДС]]</f>
        <v>209311.72413793101</v>
      </c>
      <c r="O39" s="6">
        <f>Salary[[#This Row],[Salary]]+Salary[[#This Row],[Полный Налог]]</f>
        <v>472311.72413793101</v>
      </c>
      <c r="P39" s="6">
        <f>Salary[[#This Row],[Полный Налог]]/Salary[[#This Row],[Salary]]</f>
        <v>0.79586206896551714</v>
      </c>
      <c r="Q39" s="6">
        <f>Salary[[#This Row],[SalaryOfficial]]*INDEX(Tax[НДФЛ],MATCH(Salary[[#This Row],[PaymentMethod]],Tax[PaymentMethod], 0))</f>
        <v>39298.85057471264</v>
      </c>
      <c r="R39" s="6">
        <f>Salary[[#This Row],[SalaryOfficial]]*INDEX(Tax[Взносы],MATCH(Salary[[#This Row],[PaymentMethod]],Tax[PaymentMethod],0))</f>
        <v>91294.252873563222</v>
      </c>
      <c r="S39" s="6">
        <f>Salary[[#This Row],[Salary]]+Salary[[#This Row],[НДФЛ]]+Salary[[#This Row],[Фонды]]</f>
        <v>393593.10344827583</v>
      </c>
      <c r="T39" s="6">
        <f>Salary[[#This Row],[ЗП+НДФЛ+Фонды]]/(1-INDEX(Tax[УСН или Прибыль],MATCH(Salary[[#This Row],[PaymentMethod]],Tax[PaymentMethod],0)))</f>
        <v>393593.10344827583</v>
      </c>
      <c r="U39" s="6">
        <f>Salary[[#This Row],[Прибыль]]*INDEX(Tax[УСН или Прибыль],MATCH(Salary[[#This Row],[PaymentMethod]],Tax[PaymentMethod],0))</f>
        <v>0</v>
      </c>
      <c r="V39" s="6">
        <f>Salary[[#This Row],[Прибыль]]*INDEX(Tax[НДС],MATCH(Salary[[#This Row],[PaymentMethod]],Tax[PaymentMethod],0))</f>
        <v>78718.620689655174</v>
      </c>
    </row>
    <row r="40" spans="1:22" x14ac:dyDescent="0.25">
      <c r="A40">
        <v>39</v>
      </c>
      <c r="B40" s="91">
        <v>43311</v>
      </c>
      <c r="C40" s="2" t="s">
        <v>417</v>
      </c>
      <c r="D40">
        <f>SUMIF(Positions[Positions],Salary[[#This Row],[Position]],Positions[Grade])</f>
        <v>201</v>
      </c>
      <c r="E40" t="s">
        <v>262</v>
      </c>
      <c r="F40" s="6">
        <v>40000</v>
      </c>
      <c r="G40" s="3">
        <f>ROUND(Salary[[#This Row],[Salary]]/160,0)</f>
        <v>250</v>
      </c>
      <c r="H40">
        <v>0.7</v>
      </c>
      <c r="I40" s="6">
        <f>Salary[[#This Row],[FTE]]*Salary[[#This Row],[Salary]]</f>
        <v>28000</v>
      </c>
      <c r="J40" s="6">
        <f>INDEX(GradesAndSalaries[],MATCH(Salary[[#This Row],[Grade]],GradesAndSalaries[Grade],0),MATCH(Employee[[#Headers],[Base Budgeting COST]],GradesAndSalaries[#Headers],0))</f>
        <v>733</v>
      </c>
      <c r="L40" s="6">
        <f>Salary[[#This Row],[Salary]]/(1-INDEX(Tax[НДФЛ],MATCH(Salary[[#This Row],[PaymentMethod]],Tax[PaymentMethod])))</f>
        <v>45977.011494252874</v>
      </c>
      <c r="M40" t="s">
        <v>1623</v>
      </c>
      <c r="N40" s="6">
        <f>Salary[[#This Row],[НДФЛ]]+Salary[[#This Row],[Фонды]]+Salary[[#This Row],[Налог на прибыль]]+Salary[[#This Row],[НДС]]</f>
        <v>31834.482758620692</v>
      </c>
      <c r="O40" s="6">
        <f>Salary[[#This Row],[Salary]]+Salary[[#This Row],[Полный Налог]]</f>
        <v>71834.482758620696</v>
      </c>
      <c r="P40" s="6">
        <f>Salary[[#This Row],[Полный Налог]]/Salary[[#This Row],[Salary]]</f>
        <v>0.79586206896551726</v>
      </c>
      <c r="Q40" s="6">
        <f>Salary[[#This Row],[SalaryOfficial]]*INDEX(Tax[НДФЛ],MATCH(Salary[[#This Row],[PaymentMethod]],Tax[PaymentMethod], 0))</f>
        <v>5977.0114942528735</v>
      </c>
      <c r="R40" s="6">
        <f>Salary[[#This Row],[SalaryOfficial]]*INDEX(Tax[Взносы],MATCH(Salary[[#This Row],[PaymentMethod]],Tax[PaymentMethod],0))</f>
        <v>13885.05747126437</v>
      </c>
      <c r="S40" s="6">
        <f>Salary[[#This Row],[Salary]]+Salary[[#This Row],[НДФЛ]]+Salary[[#This Row],[Фонды]]</f>
        <v>59862.068965517246</v>
      </c>
      <c r="T40" s="6">
        <f>Salary[[#This Row],[ЗП+НДФЛ+Фонды]]/(1-INDEX(Tax[УСН или Прибыль],MATCH(Salary[[#This Row],[PaymentMethod]],Tax[PaymentMethod],0)))</f>
        <v>59862.068965517246</v>
      </c>
      <c r="U40" s="6">
        <f>Salary[[#This Row],[Прибыль]]*INDEX(Tax[УСН или Прибыль],MATCH(Salary[[#This Row],[PaymentMethod]],Tax[PaymentMethod],0))</f>
        <v>0</v>
      </c>
      <c r="V40" s="6">
        <f>Salary[[#This Row],[Прибыль]]*INDEX(Tax[НДС],MATCH(Salary[[#This Row],[PaymentMethod]],Tax[PaymentMethod],0))</f>
        <v>11972.413793103449</v>
      </c>
    </row>
    <row r="41" spans="1:22" x14ac:dyDescent="0.25">
      <c r="A41">
        <v>40</v>
      </c>
      <c r="B41" s="91">
        <v>43344</v>
      </c>
      <c r="C41" s="2" t="s">
        <v>146</v>
      </c>
      <c r="D41">
        <f>SUMIF(Positions[Positions],Salary[[#This Row],[Position]],Positions[Grade])</f>
        <v>301</v>
      </c>
      <c r="E41" t="s">
        <v>888</v>
      </c>
      <c r="F41" s="6">
        <v>80000</v>
      </c>
      <c r="G41" s="7">
        <f>ROUND(Salary[[#This Row],[Salary]]/160,0)</f>
        <v>500</v>
      </c>
      <c r="H41">
        <v>0.5</v>
      </c>
      <c r="I41" s="6">
        <f>Salary[[#This Row],[FTE]]*Salary[[#This Row],[Salary]]</f>
        <v>40000</v>
      </c>
      <c r="J41" s="6">
        <f>INDEX(GradesAndSalaries[],MATCH(Salary[[#This Row],[Grade]],GradesAndSalaries[Grade],0),MATCH(Employee[[#Headers],[Base Budgeting COST]],GradesAndSalaries[#Headers],0))</f>
        <v>1596</v>
      </c>
      <c r="L41" s="6">
        <f>Salary[[#This Row],[Salary]]/(1-INDEX(Tax[НДФЛ],MATCH(Salary[[#This Row],[PaymentMethod]],Tax[PaymentMethod])))</f>
        <v>91954.022988505749</v>
      </c>
      <c r="M41" t="s">
        <v>1623</v>
      </c>
      <c r="N41" s="6">
        <f>Salary[[#This Row],[НДФЛ]]+Salary[[#This Row],[Фонды]]+Salary[[#This Row],[Налог на прибыль]]+Salary[[#This Row],[НДС]]</f>
        <v>63668.965517241384</v>
      </c>
      <c r="O41" s="6">
        <f>Salary[[#This Row],[Salary]]+Salary[[#This Row],[Полный Налог]]</f>
        <v>143668.96551724139</v>
      </c>
      <c r="P41" s="6">
        <f>Salary[[#This Row],[Полный Налог]]/Salary[[#This Row],[Salary]]</f>
        <v>0.79586206896551726</v>
      </c>
      <c r="Q41" s="6">
        <f>Salary[[#This Row],[SalaryOfficial]]*INDEX(Tax[НДФЛ],MATCH(Salary[[#This Row],[PaymentMethod]],Tax[PaymentMethod], 0))</f>
        <v>11954.022988505747</v>
      </c>
      <c r="R41" s="6">
        <f>Salary[[#This Row],[SalaryOfficial]]*INDEX(Tax[Взносы],MATCH(Salary[[#This Row],[PaymentMethod]],Tax[PaymentMethod],0))</f>
        <v>27770.11494252874</v>
      </c>
      <c r="S41" s="6">
        <f>Salary[[#This Row],[Salary]]+Salary[[#This Row],[НДФЛ]]+Salary[[#This Row],[Фонды]]</f>
        <v>119724.13793103449</v>
      </c>
      <c r="T41" s="6">
        <f>Salary[[#This Row],[ЗП+НДФЛ+Фонды]]/(1-INDEX(Tax[УСН или Прибыль],MATCH(Salary[[#This Row],[PaymentMethod]],Tax[PaymentMethod],0)))</f>
        <v>119724.13793103449</v>
      </c>
      <c r="U41" s="6">
        <f>Salary[[#This Row],[Прибыль]]*INDEX(Tax[УСН или Прибыль],MATCH(Salary[[#This Row],[PaymentMethod]],Tax[PaymentMethod],0))</f>
        <v>0</v>
      </c>
      <c r="V41" s="6">
        <f>Salary[[#This Row],[Прибыль]]*INDEX(Tax[НДС],MATCH(Salary[[#This Row],[PaymentMethod]],Tax[PaymentMethod],0))</f>
        <v>23944.827586206899</v>
      </c>
    </row>
    <row r="42" spans="1:22" x14ac:dyDescent="0.25">
      <c r="A42">
        <v>41</v>
      </c>
      <c r="B42" s="91">
        <v>43344</v>
      </c>
      <c r="C42" s="2" t="s">
        <v>147</v>
      </c>
      <c r="D42">
        <f>SUMIF(Positions[Positions],Salary[[#This Row],[Position]],Positions[Grade])</f>
        <v>302</v>
      </c>
      <c r="E42">
        <v>3029</v>
      </c>
      <c r="F42" s="6">
        <v>80000</v>
      </c>
      <c r="G42" s="7">
        <f>ROUND(Salary[[#This Row],[Salary]]/160,0)</f>
        <v>500</v>
      </c>
      <c r="H42">
        <v>0.37</v>
      </c>
      <c r="I42" s="6">
        <f>Salary[[#This Row],[FTE]]*Salary[[#This Row],[Salary]]</f>
        <v>29600</v>
      </c>
      <c r="J42" s="6">
        <f>INDEX(GradesAndSalaries[],MATCH(Salary[[#This Row],[Grade]],GradesAndSalaries[Grade],0),MATCH(Employee[[#Headers],[Base Budgeting COST]],GradesAndSalaries[#Headers],0))</f>
        <v>1846</v>
      </c>
      <c r="L42" s="6" t="e">
        <f>Salary[[#This Row],[Salary]]/(1-INDEX(Tax[НДФЛ],MATCH(Salary[[#This Row],[PaymentMethod]],Tax[PaymentMethod])))</f>
        <v>#N/A</v>
      </c>
      <c r="N42" s="6" t="e">
        <f>Salary[[#This Row],[НДФЛ]]+Salary[[#This Row],[Фонды]]+Salary[[#This Row],[Налог на прибыль]]+Salary[[#This Row],[НДС]]</f>
        <v>#N/A</v>
      </c>
      <c r="O42" s="6" t="e">
        <f>Salary[[#This Row],[Salary]]+Salary[[#This Row],[Полный Налог]]</f>
        <v>#N/A</v>
      </c>
      <c r="P42" s="6" t="e">
        <f>Salary[[#This Row],[Полный Налог]]/Salary[[#This Row],[Salary]]</f>
        <v>#N/A</v>
      </c>
      <c r="Q42" s="6" t="e">
        <f>Salary[[#This Row],[SalaryOfficial]]*INDEX(Tax[НДФЛ],MATCH(Salary[[#This Row],[PaymentMethod]],Tax[PaymentMethod], 0))</f>
        <v>#N/A</v>
      </c>
      <c r="R42" s="6" t="e">
        <f>Salary[[#This Row],[SalaryOfficial]]*INDEX(Tax[Взносы],MATCH(Salary[[#This Row],[PaymentMethod]],Tax[PaymentMethod],0))</f>
        <v>#N/A</v>
      </c>
      <c r="S42" s="6" t="e">
        <f>Salary[[#This Row],[Salary]]+Salary[[#This Row],[НДФЛ]]+Salary[[#This Row],[Фонды]]</f>
        <v>#N/A</v>
      </c>
      <c r="T42" s="6" t="e">
        <f>Salary[[#This Row],[ЗП+НДФЛ+Фонды]]/(1-INDEX(Tax[УСН или Прибыль],MATCH(Salary[[#This Row],[PaymentMethod]],Tax[PaymentMethod],0)))</f>
        <v>#N/A</v>
      </c>
      <c r="U42" s="6" t="e">
        <f>Salary[[#This Row],[Прибыль]]*INDEX(Tax[УСН или Прибыль],MATCH(Salary[[#This Row],[PaymentMethod]],Tax[PaymentMethod],0))</f>
        <v>#N/A</v>
      </c>
      <c r="V42" s="6" t="e">
        <f>Salary[[#This Row],[Прибыль]]*INDEX(Tax[НДС],MATCH(Salary[[#This Row],[PaymentMethod]],Tax[PaymentMethod],0))</f>
        <v>#N/A</v>
      </c>
    </row>
    <row r="43" spans="1:22" x14ac:dyDescent="0.25">
      <c r="A43">
        <v>42</v>
      </c>
      <c r="B43" s="91">
        <v>43367</v>
      </c>
      <c r="C43" s="2" t="s">
        <v>95</v>
      </c>
      <c r="D43">
        <f>SUMIF(Positions[Positions],Salary[[#This Row],[Position]],Positions[Grade])</f>
        <v>101</v>
      </c>
      <c r="E43" t="s">
        <v>867</v>
      </c>
      <c r="F43" s="6">
        <v>32000</v>
      </c>
      <c r="G43" s="3">
        <f>ROUND(Salary[[#This Row],[Salary]]/160,0)</f>
        <v>200</v>
      </c>
      <c r="H43">
        <v>0.5</v>
      </c>
      <c r="I43" s="6">
        <f>Salary[[#This Row],[FTE]]*Salary[[#This Row],[Salary]]</f>
        <v>16000</v>
      </c>
      <c r="J43" s="6">
        <f>INDEX(GradesAndSalaries[],MATCH(Salary[[#This Row],[Grade]],GradesAndSalaries[Grade],0),MATCH(Employee[[#Headers],[Base Budgeting COST]],GradesAndSalaries[#Headers],0))</f>
        <v>625</v>
      </c>
      <c r="L43" s="6">
        <f>Salary[[#This Row],[Salary]]/(1-INDEX(Tax[НДФЛ],MATCH(Salary[[#This Row],[PaymentMethod]],Tax[PaymentMethod])))</f>
        <v>32000</v>
      </c>
      <c r="M43" t="s">
        <v>710</v>
      </c>
      <c r="N43" s="6">
        <f>Salary[[#This Row],[НДФЛ]]+Salary[[#This Row],[Фонды]]+Salary[[#This Row],[Налог на прибыль]]+Salary[[#This Row],[НДС]]</f>
        <v>9290.3225806451628</v>
      </c>
      <c r="O43" s="6">
        <f>Salary[[#This Row],[Salary]]+Salary[[#This Row],[Полный Налог]]</f>
        <v>41290.322580645166</v>
      </c>
      <c r="P43" s="6">
        <f>Salary[[#This Row],[Полный Налог]]/Salary[[#This Row],[Salary]]</f>
        <v>0.29032258064516137</v>
      </c>
      <c r="Q43" s="6">
        <f>Salary[[#This Row],[SalaryOfficial]]*INDEX(Tax[НДФЛ],MATCH(Salary[[#This Row],[PaymentMethod]],Tax[PaymentMethod], 0))</f>
        <v>0</v>
      </c>
      <c r="R43" s="6">
        <f>Salary[[#This Row],[SalaryOfficial]]*INDEX(Tax[Взносы],MATCH(Salary[[#This Row],[PaymentMethod]],Tax[PaymentMethod],0))</f>
        <v>0</v>
      </c>
      <c r="S43" s="6">
        <f>Salary[[#This Row],[Salary]]+Salary[[#This Row],[НДФЛ]]+Salary[[#This Row],[Фонды]]</f>
        <v>32000</v>
      </c>
      <c r="T43" s="6">
        <f>Salary[[#This Row],[ЗП+НДФЛ+Фонды]]/(1-INDEX(Tax[УСН или Прибыль],MATCH(Salary[[#This Row],[PaymentMethod]],Tax[PaymentMethod],0)))</f>
        <v>34408.602150537634</v>
      </c>
      <c r="U43" s="6">
        <f>Salary[[#This Row],[Прибыль]]*INDEX(Tax[УСН или Прибыль],MATCH(Salary[[#This Row],[PaymentMethod]],Tax[PaymentMethod],0))</f>
        <v>2408.6021505376348</v>
      </c>
      <c r="V43" s="6">
        <f>Salary[[#This Row],[Прибыль]]*INDEX(Tax[НДС],MATCH(Salary[[#This Row],[PaymentMethod]],Tax[PaymentMethod],0))</f>
        <v>6881.7204301075271</v>
      </c>
    </row>
    <row r="44" spans="1:22" x14ac:dyDescent="0.25">
      <c r="A44">
        <v>43</v>
      </c>
      <c r="B44" s="91">
        <v>43381</v>
      </c>
      <c r="C44" s="2" t="s">
        <v>95</v>
      </c>
      <c r="D44">
        <f>SUMIF(Positions[Positions],Salary[[#This Row],[Position]],Positions[Grade])</f>
        <v>101</v>
      </c>
      <c r="E44" t="s">
        <v>865</v>
      </c>
      <c r="F44" s="6">
        <v>32000</v>
      </c>
      <c r="G44" s="3">
        <f>ROUND(Salary[[#This Row],[Salary]]/160,0)</f>
        <v>200</v>
      </c>
      <c r="H44">
        <v>0.5</v>
      </c>
      <c r="I44" s="6">
        <f>Salary[[#This Row],[FTE]]*Salary[[#This Row],[Salary]]</f>
        <v>16000</v>
      </c>
      <c r="J44" s="6">
        <f>INDEX(GradesAndSalaries[],MATCH(Salary[[#This Row],[Grade]],GradesAndSalaries[Grade],0),MATCH(Employee[[#Headers],[Base Budgeting COST]],GradesAndSalaries[#Headers],0))</f>
        <v>625</v>
      </c>
      <c r="L44" s="6">
        <f>Salary[[#This Row],[Salary]]/(1-INDEX(Tax[НДФЛ],MATCH(Salary[[#This Row],[PaymentMethod]],Tax[PaymentMethod])))</f>
        <v>32000</v>
      </c>
      <c r="M44" t="s">
        <v>710</v>
      </c>
      <c r="N44" s="6">
        <f>Salary[[#This Row],[НДФЛ]]+Salary[[#This Row],[Фонды]]+Salary[[#This Row],[Налог на прибыль]]+Salary[[#This Row],[НДС]]</f>
        <v>9290.3225806451628</v>
      </c>
      <c r="O44" s="6">
        <f>Salary[[#This Row],[Salary]]+Salary[[#This Row],[Полный Налог]]</f>
        <v>41290.322580645166</v>
      </c>
      <c r="P44" s="6">
        <f>Salary[[#This Row],[Полный Налог]]/Salary[[#This Row],[Salary]]</f>
        <v>0.29032258064516137</v>
      </c>
      <c r="Q44" s="6">
        <f>Salary[[#This Row],[SalaryOfficial]]*INDEX(Tax[НДФЛ],MATCH(Salary[[#This Row],[PaymentMethod]],Tax[PaymentMethod], 0))</f>
        <v>0</v>
      </c>
      <c r="R44" s="6">
        <f>Salary[[#This Row],[SalaryOfficial]]*INDEX(Tax[Взносы],MATCH(Salary[[#This Row],[PaymentMethod]],Tax[PaymentMethod],0))</f>
        <v>0</v>
      </c>
      <c r="S44" s="6">
        <f>Salary[[#This Row],[Salary]]+Salary[[#This Row],[НДФЛ]]+Salary[[#This Row],[Фонды]]</f>
        <v>32000</v>
      </c>
      <c r="T44" s="6">
        <f>Salary[[#This Row],[ЗП+НДФЛ+Фонды]]/(1-INDEX(Tax[УСН или Прибыль],MATCH(Salary[[#This Row],[PaymentMethod]],Tax[PaymentMethod],0)))</f>
        <v>34408.602150537634</v>
      </c>
      <c r="U44" s="6">
        <f>Salary[[#This Row],[Прибыль]]*INDEX(Tax[УСН или Прибыль],MATCH(Salary[[#This Row],[PaymentMethod]],Tax[PaymentMethod],0))</f>
        <v>2408.6021505376348</v>
      </c>
      <c r="V44" s="6">
        <f>Salary[[#This Row],[Прибыль]]*INDEX(Tax[НДС],MATCH(Salary[[#This Row],[PaymentMethod]],Tax[PaymentMethod],0))</f>
        <v>6881.7204301075271</v>
      </c>
    </row>
    <row r="45" spans="1:22" x14ac:dyDescent="0.25">
      <c r="A45">
        <v>44</v>
      </c>
      <c r="B45" s="91">
        <v>43381</v>
      </c>
      <c r="C45" s="2" t="s">
        <v>95</v>
      </c>
      <c r="D45">
        <f>SUMIF(Positions[Positions],Salary[[#This Row],[Position]],Positions[Grade])</f>
        <v>101</v>
      </c>
      <c r="E45" t="s">
        <v>866</v>
      </c>
      <c r="F45" s="6">
        <v>32000</v>
      </c>
      <c r="G45" s="3">
        <f>ROUND(Salary[[#This Row],[Salary]]/160,0)</f>
        <v>200</v>
      </c>
      <c r="H45">
        <v>0.5</v>
      </c>
      <c r="I45" s="6">
        <f>Salary[[#This Row],[FTE]]*Salary[[#This Row],[Salary]]</f>
        <v>16000</v>
      </c>
      <c r="J45" s="6">
        <f>INDEX(GradesAndSalaries[],MATCH(Salary[[#This Row],[Grade]],GradesAndSalaries[Grade],0),MATCH(Employee[[#Headers],[Base Budgeting COST]],GradesAndSalaries[#Headers],0))</f>
        <v>625</v>
      </c>
      <c r="L45" s="6">
        <f>Salary[[#This Row],[Salary]]/(1-INDEX(Tax[НДФЛ],MATCH(Salary[[#This Row],[PaymentMethod]],Tax[PaymentMethod])))</f>
        <v>32000</v>
      </c>
      <c r="M45" t="s">
        <v>710</v>
      </c>
      <c r="N45" s="6">
        <f>Salary[[#This Row],[НДФЛ]]+Salary[[#This Row],[Фонды]]+Salary[[#This Row],[Налог на прибыль]]+Salary[[#This Row],[НДС]]</f>
        <v>9290.3225806451628</v>
      </c>
      <c r="O45" s="6">
        <f>Salary[[#This Row],[Salary]]+Salary[[#This Row],[Полный Налог]]</f>
        <v>41290.322580645166</v>
      </c>
      <c r="P45" s="6">
        <f>Salary[[#This Row],[Полный Налог]]/Salary[[#This Row],[Salary]]</f>
        <v>0.29032258064516137</v>
      </c>
      <c r="Q45" s="6">
        <f>Salary[[#This Row],[SalaryOfficial]]*INDEX(Tax[НДФЛ],MATCH(Salary[[#This Row],[PaymentMethod]],Tax[PaymentMethod], 0))</f>
        <v>0</v>
      </c>
      <c r="R45" s="6">
        <f>Salary[[#This Row],[SalaryOfficial]]*INDEX(Tax[Взносы],MATCH(Salary[[#This Row],[PaymentMethod]],Tax[PaymentMethod],0))</f>
        <v>0</v>
      </c>
      <c r="S45" s="6">
        <f>Salary[[#This Row],[Salary]]+Salary[[#This Row],[НДФЛ]]+Salary[[#This Row],[Фонды]]</f>
        <v>32000</v>
      </c>
      <c r="T45" s="6">
        <f>Salary[[#This Row],[ЗП+НДФЛ+Фонды]]/(1-INDEX(Tax[УСН или Прибыль],MATCH(Salary[[#This Row],[PaymentMethod]],Tax[PaymentMethod],0)))</f>
        <v>34408.602150537634</v>
      </c>
      <c r="U45" s="6">
        <f>Salary[[#This Row],[Прибыль]]*INDEX(Tax[УСН или Прибыль],MATCH(Salary[[#This Row],[PaymentMethod]],Tax[PaymentMethod],0))</f>
        <v>2408.6021505376348</v>
      </c>
      <c r="V45" s="6">
        <f>Salary[[#This Row],[Прибыль]]*INDEX(Tax[НДС],MATCH(Salary[[#This Row],[PaymentMethod]],Tax[PaymentMethod],0))</f>
        <v>6881.7204301075271</v>
      </c>
    </row>
    <row r="46" spans="1:22" x14ac:dyDescent="0.25">
      <c r="A46">
        <v>45</v>
      </c>
      <c r="B46" s="91">
        <v>43449</v>
      </c>
      <c r="C46" s="2" t="s">
        <v>95</v>
      </c>
      <c r="D46">
        <f>SUMIF(Positions[Positions],Salary[[#This Row],[Position]],Positions[Grade])</f>
        <v>101</v>
      </c>
      <c r="E46" s="1" t="s">
        <v>1563</v>
      </c>
      <c r="F46" s="6">
        <v>32000</v>
      </c>
      <c r="G46" s="3">
        <f>ROUND(Salary[[#This Row],[Salary]]/160,0)</f>
        <v>200</v>
      </c>
      <c r="H46">
        <v>0.5</v>
      </c>
      <c r="I46" s="6">
        <f>Salary[[#This Row],[FTE]]*Salary[[#This Row],[Salary]]</f>
        <v>16000</v>
      </c>
      <c r="J46" s="6">
        <f>INDEX(GradesAndSalaries[],MATCH(Salary[[#This Row],[Grade]],GradesAndSalaries[Grade],0),MATCH(Employee[[#Headers],[Base Budgeting COST]],GradesAndSalaries[#Headers],0))</f>
        <v>625</v>
      </c>
      <c r="L46" s="6">
        <f>Salary[[#This Row],[Salary]]/(1-INDEX(Tax[НДФЛ],MATCH(Salary[[#This Row],[PaymentMethod]],Tax[PaymentMethod])))</f>
        <v>32000</v>
      </c>
      <c r="M46" t="s">
        <v>710</v>
      </c>
      <c r="N46" s="6">
        <f>Salary[[#This Row],[НДФЛ]]+Salary[[#This Row],[Фонды]]+Salary[[#This Row],[Налог на прибыль]]+Salary[[#This Row],[НДС]]</f>
        <v>9290.3225806451628</v>
      </c>
      <c r="O46" s="6">
        <f>Salary[[#This Row],[Salary]]+Salary[[#This Row],[Полный Налог]]</f>
        <v>41290.322580645166</v>
      </c>
      <c r="P46" s="6">
        <f>Salary[[#This Row],[Полный Налог]]/Salary[[#This Row],[Salary]]</f>
        <v>0.29032258064516137</v>
      </c>
      <c r="Q46" s="6">
        <f>Salary[[#This Row],[SalaryOfficial]]*INDEX(Tax[НДФЛ],MATCH(Salary[[#This Row],[PaymentMethod]],Tax[PaymentMethod], 0))</f>
        <v>0</v>
      </c>
      <c r="R46" s="6">
        <f>Salary[[#This Row],[SalaryOfficial]]*INDEX(Tax[Взносы],MATCH(Salary[[#This Row],[PaymentMethod]],Tax[PaymentMethod],0))</f>
        <v>0</v>
      </c>
      <c r="S46" s="6">
        <f>Salary[[#This Row],[Salary]]+Salary[[#This Row],[НДФЛ]]+Salary[[#This Row],[Фонды]]</f>
        <v>32000</v>
      </c>
      <c r="T46" s="6">
        <f>Salary[[#This Row],[ЗП+НДФЛ+Фонды]]/(1-INDEX(Tax[УСН или Прибыль],MATCH(Salary[[#This Row],[PaymentMethod]],Tax[PaymentMethod],0)))</f>
        <v>34408.602150537634</v>
      </c>
      <c r="U46" s="6">
        <f>Salary[[#This Row],[Прибыль]]*INDEX(Tax[УСН или Прибыль],MATCH(Salary[[#This Row],[PaymentMethod]],Tax[PaymentMethod],0))</f>
        <v>2408.6021505376348</v>
      </c>
      <c r="V46" s="6">
        <f>Salary[[#This Row],[Прибыль]]*INDEX(Tax[НДС],MATCH(Salary[[#This Row],[PaymentMethod]],Tax[PaymentMethod],0))</f>
        <v>6881.7204301075271</v>
      </c>
    </row>
    <row r="47" spans="1:22" x14ac:dyDescent="0.25">
      <c r="A47">
        <v>46</v>
      </c>
      <c r="B47" s="91">
        <v>43489</v>
      </c>
      <c r="C47" s="2" t="s">
        <v>146</v>
      </c>
      <c r="D47">
        <f>SUMIF(Positions[Positions],Salary[[#This Row],[Position]],Positions[Grade])</f>
        <v>301</v>
      </c>
      <c r="E47" t="s">
        <v>1114</v>
      </c>
      <c r="F47" s="6">
        <v>65000</v>
      </c>
      <c r="G47" s="135">
        <f>ROUND(Salary[[#This Row],[Salary]]/160,0)</f>
        <v>406</v>
      </c>
      <c r="H47">
        <v>0.5</v>
      </c>
      <c r="I47" s="6">
        <f>Salary[[#This Row],[FTE]]*Salary[[#This Row],[Salary]]</f>
        <v>32500</v>
      </c>
      <c r="J47" s="6">
        <f>INDEX(GradesAndSalaries[],MATCH(Salary[[#This Row],[Grade]],GradesAndSalaries[Grade],0),MATCH(Employee[[#Headers],[Base Budgeting COST]],GradesAndSalaries[#Headers],0))</f>
        <v>1596</v>
      </c>
      <c r="K47" t="s">
        <v>1115</v>
      </c>
      <c r="L47" s="6">
        <f>Salary[[#This Row],[Salary]]/(1-INDEX(Tax[НДФЛ],MATCH(Salary[[#This Row],[PaymentMethod]],Tax[PaymentMethod])))</f>
        <v>74712.643678160923</v>
      </c>
      <c r="M47" t="s">
        <v>1623</v>
      </c>
      <c r="N47" s="6">
        <f>Salary[[#This Row],[НДФЛ]]+Salary[[#This Row],[Фонды]]+Salary[[#This Row],[Налог на прибыль]]+Salary[[#This Row],[НДС]]</f>
        <v>51731.034482758623</v>
      </c>
      <c r="O47" s="6">
        <f>Salary[[#This Row],[Salary]]+Salary[[#This Row],[Полный Налог]]</f>
        <v>116731.03448275862</v>
      </c>
      <c r="P47" s="6">
        <f>Salary[[#This Row],[Полный Налог]]/Salary[[#This Row],[Salary]]</f>
        <v>0.79586206896551726</v>
      </c>
      <c r="Q47" s="6">
        <f>Salary[[#This Row],[SalaryOfficial]]*INDEX(Tax[НДФЛ],MATCH(Salary[[#This Row],[PaymentMethod]],Tax[PaymentMethod], 0))</f>
        <v>9712.6436781609209</v>
      </c>
      <c r="R47" s="6">
        <f>Salary[[#This Row],[SalaryOfficial]]*INDEX(Tax[Взносы],MATCH(Salary[[#This Row],[PaymentMethod]],Tax[PaymentMethod],0))</f>
        <v>22563.218390804603</v>
      </c>
      <c r="S47" s="6">
        <f>Salary[[#This Row],[Salary]]+Salary[[#This Row],[НДФЛ]]+Salary[[#This Row],[Фонды]]</f>
        <v>97275.862068965522</v>
      </c>
      <c r="T47" s="6">
        <f>Salary[[#This Row],[ЗП+НДФЛ+Фонды]]/(1-INDEX(Tax[УСН или Прибыль],MATCH(Salary[[#This Row],[PaymentMethod]],Tax[PaymentMethod],0)))</f>
        <v>97275.862068965522</v>
      </c>
      <c r="U47" s="6">
        <f>Salary[[#This Row],[Прибыль]]*INDEX(Tax[УСН или Прибыль],MATCH(Salary[[#This Row],[PaymentMethod]],Tax[PaymentMethod],0))</f>
        <v>0</v>
      </c>
      <c r="V47" s="6">
        <f>Salary[[#This Row],[Прибыль]]*INDEX(Tax[НДС],MATCH(Salary[[#This Row],[PaymentMethod]],Tax[PaymentMethod],0))</f>
        <v>19455.172413793105</v>
      </c>
    </row>
    <row r="48" spans="1:22" x14ac:dyDescent="0.25">
      <c r="A48">
        <v>47</v>
      </c>
      <c r="B48" s="91">
        <v>43525</v>
      </c>
      <c r="C48" s="2" t="s">
        <v>147</v>
      </c>
      <c r="D48">
        <f>SUMIF(Positions[Positions],Salary[[#This Row],[Position]],Positions[Grade])</f>
        <v>302</v>
      </c>
      <c r="E48" t="s">
        <v>72</v>
      </c>
      <c r="F48" s="6">
        <v>103750</v>
      </c>
      <c r="G48" s="135">
        <f>ROUND(Salary[[#This Row],[Salary]]/160,0)</f>
        <v>648</v>
      </c>
      <c r="H48">
        <v>1</v>
      </c>
      <c r="I48" s="6">
        <f>Salary[[#This Row],[FTE]]*Salary[[#This Row],[Salary]]</f>
        <v>103750</v>
      </c>
      <c r="J48" s="6">
        <f>INDEX(GradesAndSalaries[],MATCH(Salary[[#This Row],[Grade]],GradesAndSalaries[Grade],0),MATCH(Employee[[#Headers],[Base Budgeting COST]],GradesAndSalaries[#Headers],0))</f>
        <v>1846</v>
      </c>
      <c r="L48" s="6">
        <f>Salary[[#This Row],[Salary]]/(1-INDEX(Tax[НДФЛ],MATCH(Salary[[#This Row],[PaymentMethod]],Tax[PaymentMethod])))</f>
        <v>103750</v>
      </c>
      <c r="M48" t="s">
        <v>710</v>
      </c>
      <c r="N48" s="6">
        <f>Salary[[#This Row],[НДФЛ]]+Salary[[#This Row],[Фонды]]+Salary[[#This Row],[Налог на прибыль]]+Salary[[#This Row],[НДС]]</f>
        <v>30120.967741935485</v>
      </c>
      <c r="O48" s="6">
        <f>Salary[[#This Row],[Salary]]+Salary[[#This Row],[Полный Налог]]</f>
        <v>133870.96774193548</v>
      </c>
      <c r="P48" s="6">
        <f>Salary[[#This Row],[Полный Налог]]/Salary[[#This Row],[Salary]]</f>
        <v>0.29032258064516131</v>
      </c>
      <c r="Q48" s="6">
        <f>Salary[[#This Row],[SalaryOfficial]]*INDEX(Tax[НДФЛ],MATCH(Salary[[#This Row],[PaymentMethod]],Tax[PaymentMethod], 0))</f>
        <v>0</v>
      </c>
      <c r="R48" s="6">
        <f>Salary[[#This Row],[SalaryOfficial]]*INDEX(Tax[Взносы],MATCH(Salary[[#This Row],[PaymentMethod]],Tax[PaymentMethod],0))</f>
        <v>0</v>
      </c>
      <c r="S48" s="6">
        <f>Salary[[#This Row],[Salary]]+Salary[[#This Row],[НДФЛ]]+Salary[[#This Row],[Фонды]]</f>
        <v>103750</v>
      </c>
      <c r="T48" s="6">
        <f>Salary[[#This Row],[ЗП+НДФЛ+Фонды]]/(1-INDEX(Tax[УСН или Прибыль],MATCH(Salary[[#This Row],[PaymentMethod]],Tax[PaymentMethod],0)))</f>
        <v>111559.13978494624</v>
      </c>
      <c r="U48" s="6">
        <f>Salary[[#This Row],[Прибыль]]*INDEX(Tax[УСН или Прибыль],MATCH(Salary[[#This Row],[PaymentMethod]],Tax[PaymentMethod],0))</f>
        <v>7809.1397849462373</v>
      </c>
      <c r="V48" s="6">
        <f>Salary[[#This Row],[Прибыль]]*INDEX(Tax[НДС],MATCH(Salary[[#This Row],[PaymentMethod]],Tax[PaymentMethod],0))</f>
        <v>22311.827956989247</v>
      </c>
    </row>
    <row r="49" spans="1:22" x14ac:dyDescent="0.25">
      <c r="A49">
        <v>48</v>
      </c>
      <c r="B49" s="91">
        <v>43647</v>
      </c>
      <c r="C49" s="2" t="s">
        <v>418</v>
      </c>
      <c r="D49">
        <f>SUMIF(Positions[Positions],Salary[[#This Row],[Position]],Positions[Grade])</f>
        <v>202</v>
      </c>
      <c r="E49" t="s">
        <v>262</v>
      </c>
      <c r="F49" s="6">
        <v>60250</v>
      </c>
      <c r="G49" s="135">
        <f>ROUND(Salary[[#This Row],[Salary]]/160,0)</f>
        <v>377</v>
      </c>
      <c r="H49">
        <v>1</v>
      </c>
      <c r="I49" s="6">
        <f>Salary[[#This Row],[FTE]]*Salary[[#This Row],[Salary]]</f>
        <v>60250</v>
      </c>
      <c r="J49" s="6">
        <f>INDEX(GradesAndSalaries[],MATCH(Salary[[#This Row],[Grade]],GradesAndSalaries[Grade],0),MATCH(Employee[[#Headers],[Base Budgeting COST]],GradesAndSalaries[#Headers],0))</f>
        <v>875</v>
      </c>
      <c r="L49" s="6">
        <f>Salary[[#This Row],[Salary]]/(1-INDEX(Tax[НДФЛ],MATCH(Salary[[#This Row],[PaymentMethod]],Tax[PaymentMethod])))</f>
        <v>69252.873563218396</v>
      </c>
      <c r="M49" t="s">
        <v>1623</v>
      </c>
      <c r="N49" s="6">
        <f>Salary[[#This Row],[НДФЛ]]+Salary[[#This Row],[Фонды]]+Salary[[#This Row],[Налог на прибыль]]+Salary[[#This Row],[НДС]]</f>
        <v>47950.68965517242</v>
      </c>
      <c r="O49" s="6">
        <f>Salary[[#This Row],[Salary]]+Salary[[#This Row],[Полный Налог]]</f>
        <v>108200.68965517242</v>
      </c>
      <c r="P49" s="6">
        <f>Salary[[#This Row],[Полный Налог]]/Salary[[#This Row],[Salary]]</f>
        <v>0.79586206896551737</v>
      </c>
      <c r="Q49" s="6">
        <f>Salary[[#This Row],[SalaryOfficial]]*INDEX(Tax[НДФЛ],MATCH(Salary[[#This Row],[PaymentMethod]],Tax[PaymentMethod], 0))</f>
        <v>9002.8735632183925</v>
      </c>
      <c r="R49" s="6">
        <f>Salary[[#This Row],[SalaryOfficial]]*INDEX(Tax[Взносы],MATCH(Salary[[#This Row],[PaymentMethod]],Tax[PaymentMethod],0))</f>
        <v>20914.367816091959</v>
      </c>
      <c r="S49" s="6">
        <f>Salary[[#This Row],[Salary]]+Salary[[#This Row],[НДФЛ]]+Salary[[#This Row],[Фонды]]</f>
        <v>90167.241379310348</v>
      </c>
      <c r="T49" s="6">
        <f>Salary[[#This Row],[ЗП+НДФЛ+Фонды]]/(1-INDEX(Tax[УСН или Прибыль],MATCH(Salary[[#This Row],[PaymentMethod]],Tax[PaymentMethod],0)))</f>
        <v>90167.241379310348</v>
      </c>
      <c r="U49" s="6">
        <f>Salary[[#This Row],[Прибыль]]*INDEX(Tax[УСН или Прибыль],MATCH(Salary[[#This Row],[PaymentMethod]],Tax[PaymentMethod],0))</f>
        <v>0</v>
      </c>
      <c r="V49" s="6">
        <f>Salary[[#This Row],[Прибыль]]*INDEX(Tax[НДС],MATCH(Salary[[#This Row],[PaymentMethod]],Tax[PaymentMethod],0))</f>
        <v>18033.448275862069</v>
      </c>
    </row>
    <row r="50" spans="1:22" x14ac:dyDescent="0.25">
      <c r="A50">
        <v>49</v>
      </c>
      <c r="B50" s="91">
        <v>43678</v>
      </c>
      <c r="C50" s="2" t="s">
        <v>419</v>
      </c>
      <c r="D50">
        <f>SUMIF(Positions[Positions],Salary[[#This Row],[Position]],Positions[Grade])</f>
        <v>100</v>
      </c>
      <c r="E50" t="s">
        <v>865</v>
      </c>
      <c r="F50" s="6">
        <v>32000</v>
      </c>
      <c r="G50" s="135">
        <f>ROUND(Salary[[#This Row],[Salary]]/160,0)</f>
        <v>200</v>
      </c>
      <c r="H50">
        <v>0.5</v>
      </c>
      <c r="I50" s="6">
        <f>Salary[[#This Row],[FTE]]*Salary[[#This Row],[Salary]]</f>
        <v>16000</v>
      </c>
      <c r="J50" s="6">
        <f>INDEX(GradesAndSalaries[],MATCH(Salary[[#This Row],[Grade]],GradesAndSalaries[Grade],0),MATCH(Employee[[#Headers],[Base Budgeting COST]],GradesAndSalaries[#Headers],0))</f>
        <v>0</v>
      </c>
      <c r="L50" s="6" t="e">
        <f>Salary[[#This Row],[Salary]]/(1-INDEX(Tax[НДФЛ],MATCH(Salary[[#This Row],[PaymentMethod]],Tax[PaymentMethod])))</f>
        <v>#N/A</v>
      </c>
      <c r="N50" s="6" t="e">
        <f>Salary[[#This Row],[НДФЛ]]+Salary[[#This Row],[Фонды]]+Salary[[#This Row],[Налог на прибыль]]+Salary[[#This Row],[НДС]]</f>
        <v>#N/A</v>
      </c>
      <c r="O50" s="6" t="e">
        <f>Salary[[#This Row],[Salary]]+Salary[[#This Row],[Полный Налог]]</f>
        <v>#N/A</v>
      </c>
      <c r="P50" s="6" t="e">
        <f>Salary[[#This Row],[Полный Налог]]/Salary[[#This Row],[Salary]]</f>
        <v>#N/A</v>
      </c>
      <c r="Q50" s="6" t="e">
        <f>Salary[[#This Row],[SalaryOfficial]]*INDEX(Tax[НДФЛ],MATCH(Salary[[#This Row],[PaymentMethod]],Tax[PaymentMethod], 0))</f>
        <v>#N/A</v>
      </c>
      <c r="R50" s="6" t="e">
        <f>Salary[[#This Row],[SalaryOfficial]]*INDEX(Tax[Взносы],MATCH(Salary[[#This Row],[PaymentMethod]],Tax[PaymentMethod],0))</f>
        <v>#N/A</v>
      </c>
      <c r="S50" s="6" t="e">
        <f>Salary[[#This Row],[Salary]]+Salary[[#This Row],[НДФЛ]]+Salary[[#This Row],[Фонды]]</f>
        <v>#N/A</v>
      </c>
      <c r="T50" s="6" t="e">
        <f>Salary[[#This Row],[ЗП+НДФЛ+Фонды]]/(1-INDEX(Tax[УСН или Прибыль],MATCH(Salary[[#This Row],[PaymentMethod]],Tax[PaymentMethod],0)))</f>
        <v>#N/A</v>
      </c>
      <c r="U50" s="6" t="e">
        <f>Salary[[#This Row],[Прибыль]]*INDEX(Tax[УСН или Прибыль],MATCH(Salary[[#This Row],[PaymentMethod]],Tax[PaymentMethod],0))</f>
        <v>#N/A</v>
      </c>
      <c r="V50" s="6" t="e">
        <f>Salary[[#This Row],[Прибыль]]*INDEX(Tax[НДС],MATCH(Salary[[#This Row],[PaymentMethod]],Tax[PaymentMethod],0))</f>
        <v>#N/A</v>
      </c>
    </row>
    <row r="51" spans="1:22" x14ac:dyDescent="0.25">
      <c r="A51">
        <v>50</v>
      </c>
      <c r="B51" s="91">
        <v>43697</v>
      </c>
      <c r="C51" s="2" t="s">
        <v>428</v>
      </c>
      <c r="D51">
        <f>SUMIF(Positions[Positions],Salary[[#This Row],[Position]],Positions[Grade])</f>
        <v>201</v>
      </c>
      <c r="E51" t="s">
        <v>1562</v>
      </c>
      <c r="F51" s="6">
        <v>40000</v>
      </c>
      <c r="G51" s="135">
        <f>ROUND(Salary[[#This Row],[Salary]]/160,0)</f>
        <v>250</v>
      </c>
      <c r="H51">
        <v>0.5</v>
      </c>
      <c r="I51" s="6">
        <f>Salary[[#This Row],[FTE]]*Salary[[#This Row],[Salary]]</f>
        <v>20000</v>
      </c>
      <c r="J51" s="6">
        <f>INDEX(GradesAndSalaries[],MATCH(Salary[[#This Row],[Grade]],GradesAndSalaries[Grade],0),MATCH(Employee[[#Headers],[Base Budgeting COST]],GradesAndSalaries[#Headers],0))</f>
        <v>733</v>
      </c>
      <c r="L51" s="6">
        <f>Salary[[#This Row],[Salary]]/(1-INDEX(Tax[НДФЛ],MATCH(Salary[[#This Row],[PaymentMethod]],Tax[PaymentMethod])))</f>
        <v>40000</v>
      </c>
      <c r="M51" t="s">
        <v>710</v>
      </c>
      <c r="N51" s="6">
        <f>Salary[[#This Row],[НДФЛ]]+Salary[[#This Row],[Фонды]]+Salary[[#This Row],[Налог на прибыль]]+Salary[[#This Row],[НДС]]</f>
        <v>11612.903225806454</v>
      </c>
      <c r="O51" s="6">
        <f>Salary[[#This Row],[Salary]]+Salary[[#This Row],[Полный Налог]]</f>
        <v>51612.903225806454</v>
      </c>
      <c r="P51" s="6">
        <f>Salary[[#This Row],[Полный Налог]]/Salary[[#This Row],[Salary]]</f>
        <v>0.29032258064516137</v>
      </c>
      <c r="Q51" s="6">
        <f>Salary[[#This Row],[SalaryOfficial]]*INDEX(Tax[НДФЛ],MATCH(Salary[[#This Row],[PaymentMethod]],Tax[PaymentMethod], 0))</f>
        <v>0</v>
      </c>
      <c r="R51" s="6">
        <f>Salary[[#This Row],[SalaryOfficial]]*INDEX(Tax[Взносы],MATCH(Salary[[#This Row],[PaymentMethod]],Tax[PaymentMethod],0))</f>
        <v>0</v>
      </c>
      <c r="S51" s="6">
        <f>Salary[[#This Row],[Salary]]+Salary[[#This Row],[НДФЛ]]+Salary[[#This Row],[Фонды]]</f>
        <v>40000</v>
      </c>
      <c r="T51" s="6">
        <f>Salary[[#This Row],[ЗП+НДФЛ+Фонды]]/(1-INDEX(Tax[УСН или Прибыль],MATCH(Salary[[#This Row],[PaymentMethod]],Tax[PaymentMethod],0)))</f>
        <v>43010.752688172048</v>
      </c>
      <c r="U51" s="6">
        <f>Salary[[#This Row],[Прибыль]]*INDEX(Tax[УСН или Прибыль],MATCH(Salary[[#This Row],[PaymentMethod]],Tax[PaymentMethod],0))</f>
        <v>3010.7526881720437</v>
      </c>
      <c r="V51" s="6">
        <f>Salary[[#This Row],[Прибыль]]*INDEX(Tax[НДС],MATCH(Salary[[#This Row],[PaymentMethod]],Tax[PaymentMethod],0))</f>
        <v>8602.1505376344103</v>
      </c>
    </row>
    <row r="52" spans="1:22" x14ac:dyDescent="0.25">
      <c r="A52">
        <v>51</v>
      </c>
      <c r="B52" s="91">
        <v>43739</v>
      </c>
      <c r="C52" s="2" t="s">
        <v>417</v>
      </c>
      <c r="D52">
        <f>SUMIF(Positions[Positions],Salary[[#This Row],[Position]],Positions[Grade])</f>
        <v>201</v>
      </c>
      <c r="E52" t="s">
        <v>866</v>
      </c>
      <c r="F52" s="6">
        <v>41000</v>
      </c>
      <c r="G52" s="135">
        <f>ROUND(Salary[[#This Row],[Salary]]/160,0)</f>
        <v>256</v>
      </c>
      <c r="H52">
        <v>1</v>
      </c>
      <c r="I52" s="6">
        <f>Salary[[#This Row],[FTE]]*Salary[[#This Row],[Salary]]</f>
        <v>41000</v>
      </c>
      <c r="J52" s="6">
        <f>INDEX(GradesAndSalaries[],MATCH(Salary[[#This Row],[Grade]],GradesAndSalaries[Grade],0),MATCH(Employee[[#Headers],[Base Budgeting COST]],GradesAndSalaries[#Headers],0))</f>
        <v>733</v>
      </c>
      <c r="L52" s="6">
        <f>Salary[[#This Row],[Salary]]/(1-INDEX(Tax[НДФЛ],MATCH(Salary[[#This Row],[PaymentMethod]],Tax[PaymentMethod])))</f>
        <v>47126.436781609198</v>
      </c>
      <c r="M52" t="s">
        <v>1623</v>
      </c>
      <c r="N52" s="6">
        <f>Salary[[#This Row],[НДФЛ]]+Salary[[#This Row],[Фонды]]+Salary[[#This Row],[Налог на прибыль]]+Salary[[#This Row],[НДС]]</f>
        <v>32630.34482758621</v>
      </c>
      <c r="O52" s="6">
        <f>Salary[[#This Row],[Salary]]+Salary[[#This Row],[Полный Налог]]</f>
        <v>73630.344827586203</v>
      </c>
      <c r="P52" s="6">
        <f>Salary[[#This Row],[Полный Налог]]/Salary[[#This Row],[Salary]]</f>
        <v>0.79586206896551737</v>
      </c>
      <c r="Q52" s="6">
        <f>Salary[[#This Row],[SalaryOfficial]]*INDEX(Tax[НДФЛ],MATCH(Salary[[#This Row],[PaymentMethod]],Tax[PaymentMethod], 0))</f>
        <v>6126.4367816091963</v>
      </c>
      <c r="R52" s="6">
        <f>Salary[[#This Row],[SalaryOfficial]]*INDEX(Tax[Взносы],MATCH(Salary[[#This Row],[PaymentMethod]],Tax[PaymentMethod],0))</f>
        <v>14232.183908045979</v>
      </c>
      <c r="S52" s="6">
        <f>Salary[[#This Row],[Salary]]+Salary[[#This Row],[НДФЛ]]+Salary[[#This Row],[Фонды]]</f>
        <v>61358.620689655174</v>
      </c>
      <c r="T52" s="6">
        <f>Salary[[#This Row],[ЗП+НДФЛ+Фонды]]/(1-INDEX(Tax[УСН или Прибыль],MATCH(Salary[[#This Row],[PaymentMethod]],Tax[PaymentMethod],0)))</f>
        <v>61358.620689655174</v>
      </c>
      <c r="U52" s="6">
        <f>Salary[[#This Row],[Прибыль]]*INDEX(Tax[УСН или Прибыль],MATCH(Salary[[#This Row],[PaymentMethod]],Tax[PaymentMethod],0))</f>
        <v>0</v>
      </c>
      <c r="V52" s="6">
        <f>Salary[[#This Row],[Прибыль]]*INDEX(Tax[НДС],MATCH(Salary[[#This Row],[PaymentMethod]],Tax[PaymentMethod],0))</f>
        <v>12271.724137931036</v>
      </c>
    </row>
    <row r="53" spans="1:22" x14ac:dyDescent="0.25">
      <c r="A53">
        <v>52</v>
      </c>
      <c r="B53" s="91">
        <v>43891</v>
      </c>
      <c r="C53" s="2" t="s">
        <v>146</v>
      </c>
      <c r="D53">
        <f>SUMIF(Positions[Positions],Salary[[#This Row],[Position]],Positions[Grade])</f>
        <v>301</v>
      </c>
      <c r="E53" t="s">
        <v>262</v>
      </c>
      <c r="F53" s="6">
        <v>79750</v>
      </c>
      <c r="G53" s="135">
        <f>ROUND(Salary[[#This Row],[Salary]]/160,0)</f>
        <v>498</v>
      </c>
      <c r="H53">
        <v>1</v>
      </c>
      <c r="I53" s="6">
        <f>Salary[[#This Row],[FTE]]*Salary[[#This Row],[Salary]]</f>
        <v>79750</v>
      </c>
      <c r="J53" s="225">
        <f>INDEX(GradesAndSalaries[],MATCH(Salary[[#This Row],[Grade]],GradesAndSalaries[Grade],0),MATCH(Employee[[#Headers],[Base Budgeting COST]],GradesAndSalaries[#Headers],0))</f>
        <v>1596</v>
      </c>
      <c r="L53" s="6">
        <f>Salary[[#This Row],[Salary]]/(1-INDEX(Tax[НДФЛ],MATCH(Salary[[#This Row],[PaymentMethod]],Tax[PaymentMethod])))</f>
        <v>91666.666666666672</v>
      </c>
      <c r="M53" t="s">
        <v>1623</v>
      </c>
      <c r="N53" s="6">
        <f>Salary[[#This Row],[НДФЛ]]+Salary[[#This Row],[Фонды]]+Salary[[#This Row],[Налог на прибыль]]+Salary[[#This Row],[НДС]]</f>
        <v>63470.000000000015</v>
      </c>
      <c r="O53" s="6">
        <f>Salary[[#This Row],[Salary]]+Salary[[#This Row],[Полный Налог]]</f>
        <v>143220</v>
      </c>
      <c r="P53" s="6">
        <f>Salary[[#This Row],[Полный Налог]]/Salary[[#This Row],[Salary]]</f>
        <v>0.79586206896551748</v>
      </c>
      <c r="Q53" s="6">
        <f>Salary[[#This Row],[SalaryOfficial]]*INDEX(Tax[НДФЛ],MATCH(Salary[[#This Row],[PaymentMethod]],Tax[PaymentMethod], 0))</f>
        <v>11916.666666666668</v>
      </c>
      <c r="R53" s="6">
        <f>Salary[[#This Row],[SalaryOfficial]]*INDEX(Tax[Взносы],MATCH(Salary[[#This Row],[PaymentMethod]],Tax[PaymentMethod],0))</f>
        <v>27683.333333333339</v>
      </c>
      <c r="S53" s="6">
        <f>Salary[[#This Row],[Salary]]+Salary[[#This Row],[НДФЛ]]+Salary[[#This Row],[Фонды]]</f>
        <v>119350.00000000001</v>
      </c>
      <c r="T53" s="6">
        <f>Salary[[#This Row],[ЗП+НДФЛ+Фонды]]/(1-INDEX(Tax[УСН или Прибыль],MATCH(Salary[[#This Row],[PaymentMethod]],Tax[PaymentMethod],0)))</f>
        <v>119350.00000000001</v>
      </c>
      <c r="U53" s="6">
        <f>Salary[[#This Row],[Прибыль]]*INDEX(Tax[УСН или Прибыль],MATCH(Salary[[#This Row],[PaymentMethod]],Tax[PaymentMethod],0))</f>
        <v>0</v>
      </c>
      <c r="V53" s="6">
        <f>Salary[[#This Row],[Прибыль]]*INDEX(Tax[НДС],MATCH(Salary[[#This Row],[PaymentMethod]],Tax[PaymentMethod],0))</f>
        <v>23870.000000000004</v>
      </c>
    </row>
    <row r="54" spans="1:22" x14ac:dyDescent="0.25">
      <c r="A54">
        <v>53</v>
      </c>
      <c r="B54" s="91">
        <v>43891</v>
      </c>
      <c r="C54" s="2" t="s">
        <v>147</v>
      </c>
      <c r="D54">
        <f>SUMIF(Positions[Positions],Salary[[#This Row],[Position]],Positions[Grade])</f>
        <v>302</v>
      </c>
      <c r="E54" t="s">
        <v>1114</v>
      </c>
      <c r="F54" s="6">
        <v>87250</v>
      </c>
      <c r="G54" s="135">
        <f>ROUND(Salary[[#This Row],[Salary]]/160,0)</f>
        <v>545</v>
      </c>
      <c r="H54">
        <v>1</v>
      </c>
      <c r="I54" s="6">
        <f>Salary[[#This Row],[FTE]]*Salary[[#This Row],[Salary]]</f>
        <v>87250</v>
      </c>
      <c r="J54" s="225">
        <f>INDEX(GradesAndSalaries[],MATCH(Salary[[#This Row],[Grade]],GradesAndSalaries[Grade],0),MATCH(Employee[[#Headers],[Base Budgeting COST]],GradesAndSalaries[#Headers],0))</f>
        <v>1846</v>
      </c>
      <c r="L54" s="6">
        <f>Salary[[#This Row],[Salary]]/(1-INDEX(Tax[НДФЛ],MATCH(Salary[[#This Row],[PaymentMethod]],Tax[PaymentMethod])))</f>
        <v>100287.35632183908</v>
      </c>
      <c r="M54" t="s">
        <v>1623</v>
      </c>
      <c r="N54" s="6">
        <f>Salary[[#This Row],[НДФЛ]]+Salary[[#This Row],[Фонды]]+Salary[[#This Row],[Налог на прибыль]]+Salary[[#This Row],[НДС]]</f>
        <v>69438.965517241391</v>
      </c>
      <c r="O54" s="6">
        <f>Salary[[#This Row],[Salary]]+Salary[[#This Row],[Полный Налог]]</f>
        <v>156688.96551724139</v>
      </c>
      <c r="P54" s="6">
        <f>Salary[[#This Row],[Полный Налог]]/Salary[[#This Row],[Salary]]</f>
        <v>0.79586206896551737</v>
      </c>
      <c r="Q54" s="6">
        <f>Salary[[#This Row],[SalaryOfficial]]*INDEX(Tax[НДФЛ],MATCH(Salary[[#This Row],[PaymentMethod]],Tax[PaymentMethod], 0))</f>
        <v>13037.356321839081</v>
      </c>
      <c r="R54" s="6">
        <f>Salary[[#This Row],[SalaryOfficial]]*INDEX(Tax[Взносы],MATCH(Salary[[#This Row],[PaymentMethod]],Tax[PaymentMethod],0))</f>
        <v>30286.781609195405</v>
      </c>
      <c r="S54" s="6">
        <f>Salary[[#This Row],[Salary]]+Salary[[#This Row],[НДФЛ]]+Salary[[#This Row],[Фонды]]</f>
        <v>130574.13793103448</v>
      </c>
      <c r="T54" s="6">
        <f>Salary[[#This Row],[ЗП+НДФЛ+Фонды]]/(1-INDEX(Tax[УСН или Прибыль],MATCH(Salary[[#This Row],[PaymentMethod]],Tax[PaymentMethod],0)))</f>
        <v>130574.13793103448</v>
      </c>
      <c r="U54" s="6">
        <f>Salary[[#This Row],[Прибыль]]*INDEX(Tax[УСН или Прибыль],MATCH(Salary[[#This Row],[PaymentMethod]],Tax[PaymentMethod],0))</f>
        <v>0</v>
      </c>
      <c r="V54" s="6">
        <f>Salary[[#This Row],[Прибыль]]*INDEX(Tax[НДС],MATCH(Salary[[#This Row],[PaymentMethod]],Tax[PaymentMethod],0))</f>
        <v>26114.827586206899</v>
      </c>
    </row>
    <row r="55" spans="1:22" x14ac:dyDescent="0.25">
      <c r="A55">
        <v>54</v>
      </c>
      <c r="B55" s="91">
        <v>43891</v>
      </c>
      <c r="C55" s="2" t="s">
        <v>147</v>
      </c>
      <c r="D55">
        <f>SUMIF(Positions[Positions],Salary[[#This Row],[Position]],Positions[Grade])</f>
        <v>302</v>
      </c>
      <c r="E55" t="s">
        <v>72</v>
      </c>
      <c r="F55" s="6">
        <v>112000</v>
      </c>
      <c r="G55" s="135">
        <f>ROUND(Salary[[#This Row],[Salary]]/160,0)</f>
        <v>700</v>
      </c>
      <c r="H55">
        <v>1</v>
      </c>
      <c r="I55" s="6">
        <f>Salary[[#This Row],[FTE]]*Salary[[#This Row],[Salary]]</f>
        <v>112000</v>
      </c>
      <c r="J55" s="225">
        <f>INDEX(GradesAndSalaries[],MATCH(Salary[[#This Row],[Grade]],GradesAndSalaries[Grade],0),MATCH(Employee[[#Headers],[Base Budgeting COST]],GradesAndSalaries[#Headers],0))</f>
        <v>1846</v>
      </c>
      <c r="L55" s="6">
        <f>Salary[[#This Row],[Salary]]/(1-INDEX(Tax[НДФЛ],MATCH(Salary[[#This Row],[PaymentMethod]],Tax[PaymentMethod])))</f>
        <v>128735.63218390805</v>
      </c>
      <c r="M55" t="s">
        <v>1623</v>
      </c>
      <c r="N55" s="6">
        <f>Salary[[#This Row],[НДФЛ]]+Salary[[#This Row],[Фонды]]+Salary[[#This Row],[Налог на прибыль]]+Salary[[#This Row],[НДС]]</f>
        <v>89136.551724137942</v>
      </c>
      <c r="O55" s="6">
        <f>Salary[[#This Row],[Salary]]+Salary[[#This Row],[Полный Налог]]</f>
        <v>201136.55172413794</v>
      </c>
      <c r="P55" s="6">
        <f>Salary[[#This Row],[Полный Налог]]/Salary[[#This Row],[Salary]]</f>
        <v>0.79586206896551737</v>
      </c>
      <c r="Q55" s="6">
        <f>Salary[[#This Row],[SalaryOfficial]]*INDEX(Tax[НДФЛ],MATCH(Salary[[#This Row],[PaymentMethod]],Tax[PaymentMethod], 0))</f>
        <v>16735.632183908048</v>
      </c>
      <c r="R55" s="6">
        <f>Salary[[#This Row],[SalaryOfficial]]*INDEX(Tax[Взносы],MATCH(Salary[[#This Row],[PaymentMethod]],Tax[PaymentMethod],0))</f>
        <v>38878.160919540234</v>
      </c>
      <c r="S55" s="6">
        <f>Salary[[#This Row],[Salary]]+Salary[[#This Row],[НДФЛ]]+Salary[[#This Row],[Фонды]]</f>
        <v>167613.79310344829</v>
      </c>
      <c r="T55" s="6">
        <f>Salary[[#This Row],[ЗП+НДФЛ+Фонды]]/(1-INDEX(Tax[УСН или Прибыль],MATCH(Salary[[#This Row],[PaymentMethod]],Tax[PaymentMethod],0)))</f>
        <v>167613.79310344829</v>
      </c>
      <c r="U55" s="6">
        <f>Salary[[#This Row],[Прибыль]]*INDEX(Tax[УСН или Прибыль],MATCH(Salary[[#This Row],[PaymentMethod]],Tax[PaymentMethod],0))</f>
        <v>0</v>
      </c>
      <c r="V55" s="6">
        <f>Salary[[#This Row],[Прибыль]]*INDEX(Tax[НДС],MATCH(Salary[[#This Row],[PaymentMethod]],Tax[PaymentMethod],0))</f>
        <v>33522.758620689659</v>
      </c>
    </row>
    <row r="56" spans="1:22" x14ac:dyDescent="0.25">
      <c r="A56">
        <v>55</v>
      </c>
      <c r="B56" s="91">
        <v>43952</v>
      </c>
      <c r="C56" s="2" t="s">
        <v>418</v>
      </c>
      <c r="D56">
        <f>SUMIF(Positions[Positions],Salary[[#This Row],[Position]],Positions[Grade])</f>
        <v>202</v>
      </c>
      <c r="E56" t="s">
        <v>1562</v>
      </c>
      <c r="F56" s="6">
        <v>60250</v>
      </c>
      <c r="G56" s="135">
        <f>ROUND(Salary[[#This Row],[Salary]]/160,0)</f>
        <v>377</v>
      </c>
      <c r="H56">
        <v>0.6</v>
      </c>
      <c r="I56" s="6">
        <f>Salary[[#This Row],[FTE]]*Salary[[#This Row],[Salary]]</f>
        <v>36150</v>
      </c>
      <c r="J56" s="225">
        <f>INDEX(GradesAndSalaries[],MATCH(Salary[[#This Row],[Grade]],GradesAndSalaries[Grade],0),MATCH(Employee[[#Headers],[Base Budgeting COST]],GradesAndSalaries[#Headers],0))</f>
        <v>875</v>
      </c>
      <c r="L56" s="6">
        <f>Salary[[#This Row],[Salary]]/(1-INDEX(Tax[НДФЛ],MATCH(Salary[[#This Row],[PaymentMethod]],Tax[PaymentMethod])))</f>
        <v>69252.873563218396</v>
      </c>
      <c r="M56" t="s">
        <v>1623</v>
      </c>
      <c r="N56" s="6">
        <f>Salary[[#This Row],[НДФЛ]]+Salary[[#This Row],[Фонды]]+Salary[[#This Row],[Налог на прибыль]]+Salary[[#This Row],[НДС]]</f>
        <v>47950.68965517242</v>
      </c>
      <c r="O56" s="6">
        <f>Salary[[#This Row],[Salary]]+Salary[[#This Row],[Полный Налог]]</f>
        <v>108200.68965517242</v>
      </c>
      <c r="P56" s="6">
        <f>Salary[[#This Row],[Полный Налог]]/Salary[[#This Row],[Salary]]</f>
        <v>0.79586206896551737</v>
      </c>
      <c r="Q56" s="6">
        <f>Salary[[#This Row],[SalaryOfficial]]*INDEX(Tax[НДФЛ],MATCH(Salary[[#This Row],[PaymentMethod]],Tax[PaymentMethod], 0))</f>
        <v>9002.8735632183925</v>
      </c>
      <c r="R56" s="6">
        <f>Salary[[#This Row],[SalaryOfficial]]*INDEX(Tax[Взносы],MATCH(Salary[[#This Row],[PaymentMethod]],Tax[PaymentMethod],0))</f>
        <v>20914.367816091959</v>
      </c>
      <c r="S56" s="6">
        <f>Salary[[#This Row],[Salary]]+Salary[[#This Row],[НДФЛ]]+Salary[[#This Row],[Фонды]]</f>
        <v>90167.241379310348</v>
      </c>
      <c r="T56" s="6">
        <f>Salary[[#This Row],[ЗП+НДФЛ+Фонды]]/(1-INDEX(Tax[УСН или Прибыль],MATCH(Salary[[#This Row],[PaymentMethod]],Tax[PaymentMethod],0)))</f>
        <v>90167.241379310348</v>
      </c>
      <c r="U56" s="6">
        <f>Salary[[#This Row],[Прибыль]]*INDEX(Tax[УСН или Прибыль],MATCH(Salary[[#This Row],[PaymentMethod]],Tax[PaymentMethod],0))</f>
        <v>0</v>
      </c>
      <c r="V56" s="6">
        <f>Salary[[#This Row],[Прибыль]]*INDEX(Tax[НДС],MATCH(Salary[[#This Row],[PaymentMethod]],Tax[PaymentMethod],0))</f>
        <v>18033.448275862069</v>
      </c>
    </row>
    <row r="57" spans="1:22" x14ac:dyDescent="0.25">
      <c r="A57">
        <v>56</v>
      </c>
      <c r="B57" s="91">
        <v>44072</v>
      </c>
      <c r="C57" s="2" t="s">
        <v>419</v>
      </c>
      <c r="D57">
        <f>SUMIF(Positions[Positions],Salary[[#This Row],[Position]],Positions[Grade])</f>
        <v>100</v>
      </c>
      <c r="E57" t="s">
        <v>867</v>
      </c>
      <c r="F57" s="31">
        <v>0</v>
      </c>
      <c r="G57" s="135">
        <f>ROUND(Salary[[#This Row],[Salary]]/160,0)</f>
        <v>0</v>
      </c>
      <c r="H57">
        <v>0</v>
      </c>
      <c r="I57" s="31">
        <f>Salary[[#This Row],[FTE]]*Salary[[#This Row],[Salary]]</f>
        <v>0</v>
      </c>
      <c r="J57" s="265">
        <f>INDEX(GradesAndSalaries[],MATCH(Salary[[#This Row],[Grade]],GradesAndSalaries[Grade],0),MATCH(Employee[[#Headers],[Base Budgeting COST]],GradesAndSalaries[#Headers],0))</f>
        <v>0</v>
      </c>
      <c r="L57" s="6" t="e">
        <f>Salary[[#This Row],[Salary]]/(1-INDEX(Tax[НДФЛ],MATCH(Salary[[#This Row],[PaymentMethod]],Tax[PaymentMethod])))</f>
        <v>#N/A</v>
      </c>
      <c r="N57" s="6" t="e">
        <f>Salary[[#This Row],[НДФЛ]]+Salary[[#This Row],[Фонды]]+Salary[[#This Row],[Налог на прибыль]]+Salary[[#This Row],[НДС]]</f>
        <v>#N/A</v>
      </c>
      <c r="O57" s="6" t="e">
        <f>Salary[[#This Row],[Salary]]+Salary[[#This Row],[Полный Налог]]</f>
        <v>#N/A</v>
      </c>
      <c r="P57" s="6" t="e">
        <f>Salary[[#This Row],[Полный Налог]]/Salary[[#This Row],[Salary]]</f>
        <v>#N/A</v>
      </c>
      <c r="Q57" s="6" t="e">
        <f>Salary[[#This Row],[SalaryOfficial]]*INDEX(Tax[НДФЛ],MATCH(Salary[[#This Row],[PaymentMethod]],Tax[PaymentMethod], 0))</f>
        <v>#N/A</v>
      </c>
      <c r="R57" s="6" t="e">
        <f>Salary[[#This Row],[SalaryOfficial]]*INDEX(Tax[Взносы],MATCH(Salary[[#This Row],[PaymentMethod]],Tax[PaymentMethod],0))</f>
        <v>#N/A</v>
      </c>
      <c r="S57" s="6" t="e">
        <f>Salary[[#This Row],[Salary]]+Salary[[#This Row],[НДФЛ]]+Salary[[#This Row],[Фонды]]</f>
        <v>#N/A</v>
      </c>
      <c r="T57" s="6" t="e">
        <f>Salary[[#This Row],[ЗП+НДФЛ+Фонды]]/(1-INDEX(Tax[УСН или Прибыль],MATCH(Salary[[#This Row],[PaymentMethod]],Tax[PaymentMethod],0)))</f>
        <v>#N/A</v>
      </c>
      <c r="U57" s="6" t="e">
        <f>Salary[[#This Row],[Прибыль]]*INDEX(Tax[УСН или Прибыль],MATCH(Salary[[#This Row],[PaymentMethod]],Tax[PaymentMethod],0))</f>
        <v>#N/A</v>
      </c>
      <c r="V57" s="6" t="e">
        <f>Salary[[#This Row],[Прибыль]]*INDEX(Tax[НДС],MATCH(Salary[[#This Row],[PaymentMethod]],Tax[PaymentMethod],0))</f>
        <v>#N/A</v>
      </c>
    </row>
    <row r="58" spans="1:22" x14ac:dyDescent="0.25">
      <c r="A58">
        <v>57</v>
      </c>
      <c r="B58" s="91">
        <v>44256</v>
      </c>
      <c r="C58" s="2" t="s">
        <v>431</v>
      </c>
      <c r="D58">
        <f>SUMIF(Positions[Positions],Salary[[#This Row],[Position]],Positions[Grade])</f>
        <v>401</v>
      </c>
      <c r="E58" t="s">
        <v>72</v>
      </c>
      <c r="F58" s="31">
        <v>152500</v>
      </c>
      <c r="G58" s="135">
        <f>ROUND(Salary[[#This Row],[Salary]]/160,0)</f>
        <v>953</v>
      </c>
      <c r="H58">
        <v>1</v>
      </c>
      <c r="I58" s="31">
        <f>Salary[[#This Row],[FTE]]*Salary[[#This Row],[Salary]]</f>
        <v>152500</v>
      </c>
      <c r="J58" s="265">
        <f>INDEX(GradesAndSalaries[],MATCH(Salary[[#This Row],[Grade]],GradesAndSalaries[Grade],0),MATCH(Employee[[#Headers],[Base Budgeting COST]],GradesAndSalaries[#Headers],0))</f>
        <v>3238</v>
      </c>
      <c r="L58" s="6">
        <f>Salary[[#This Row],[Salary]]/(1-INDEX(Tax[НДФЛ],MATCH(Salary[[#This Row],[PaymentMethod]],Tax[PaymentMethod])))</f>
        <v>175287.35632183909</v>
      </c>
      <c r="M58" t="s">
        <v>1623</v>
      </c>
      <c r="N58" s="6">
        <f>Salary[[#This Row],[НДФЛ]]+Salary[[#This Row],[Фонды]]+Salary[[#This Row],[Налог на прибыль]]+Salary[[#This Row],[НДС]]</f>
        <v>121368.96551724139</v>
      </c>
      <c r="O58" s="6">
        <f>Salary[[#This Row],[Salary]]+Salary[[#This Row],[Полный Налог]]</f>
        <v>273868.96551724139</v>
      </c>
      <c r="P58" s="6">
        <f>Salary[[#This Row],[Полный Налог]]/Salary[[#This Row],[Salary]]</f>
        <v>0.79586206896551737</v>
      </c>
      <c r="Q58" s="6">
        <f>Salary[[#This Row],[SalaryOfficial]]*INDEX(Tax[НДФЛ],MATCH(Salary[[#This Row],[PaymentMethod]],Tax[PaymentMethod], 0))</f>
        <v>22787.356321839081</v>
      </c>
      <c r="R58" s="6">
        <f>Salary[[#This Row],[SalaryOfficial]]*INDEX(Tax[Взносы],MATCH(Salary[[#This Row],[PaymentMethod]],Tax[PaymentMethod],0))</f>
        <v>52936.781609195416</v>
      </c>
      <c r="S58" s="6">
        <f>Salary[[#This Row],[Salary]]+Salary[[#This Row],[НДФЛ]]+Salary[[#This Row],[Фонды]]</f>
        <v>228224.13793103449</v>
      </c>
      <c r="T58" s="6">
        <f>Salary[[#This Row],[ЗП+НДФЛ+Фонды]]/(1-INDEX(Tax[УСН или Прибыль],MATCH(Salary[[#This Row],[PaymentMethod]],Tax[PaymentMethod],0)))</f>
        <v>228224.13793103449</v>
      </c>
      <c r="U58" s="6">
        <f>Salary[[#This Row],[Прибыль]]*INDEX(Tax[УСН или Прибыль],MATCH(Salary[[#This Row],[PaymentMethod]],Tax[PaymentMethod],0))</f>
        <v>0</v>
      </c>
      <c r="V58" s="6">
        <f>Salary[[#This Row],[Прибыль]]*INDEX(Tax[НДС],MATCH(Salary[[#This Row],[PaymentMethod]],Tax[PaymentMethod],0))</f>
        <v>45644.827586206899</v>
      </c>
    </row>
    <row r="59" spans="1:22" x14ac:dyDescent="0.25">
      <c r="A59">
        <v>58</v>
      </c>
      <c r="B59" s="91">
        <v>44256</v>
      </c>
      <c r="C59" s="2" t="s">
        <v>428</v>
      </c>
      <c r="D59">
        <f>SUMIF(Positions[Positions],Salary[[#This Row],[Position]],Positions[Grade])</f>
        <v>201</v>
      </c>
      <c r="E59" s="1" t="s">
        <v>1563</v>
      </c>
      <c r="F59" s="31">
        <v>44500</v>
      </c>
      <c r="G59" s="135">
        <f>ROUND(Salary[[#This Row],[Salary]]/160,0)</f>
        <v>278</v>
      </c>
      <c r="H59">
        <v>1</v>
      </c>
      <c r="I59" s="31">
        <f>Salary[[#This Row],[FTE]]*Salary[[#This Row],[Salary]]</f>
        <v>44500</v>
      </c>
      <c r="J59" s="265">
        <f>INDEX(GradesAndSalaries[],MATCH(Salary[[#This Row],[Grade]],GradesAndSalaries[Grade],0),MATCH(Employee[[#Headers],[Base Budgeting COST]],GradesAndSalaries[#Headers],0))</f>
        <v>733</v>
      </c>
      <c r="L59" s="6">
        <f>Salary[[#This Row],[Salary]]/(1-INDEX(Tax[НДФЛ],MATCH(Salary[[#This Row],[PaymentMethod]],Tax[PaymentMethod])))</f>
        <v>51149.425287356324</v>
      </c>
      <c r="M59" t="s">
        <v>1623</v>
      </c>
      <c r="N59" s="6">
        <f>Salary[[#This Row],[НДФЛ]]+Salary[[#This Row],[Фонды]]+Salary[[#This Row],[Налог на прибыль]]+Salary[[#This Row],[НДС]]</f>
        <v>35415.862068965522</v>
      </c>
      <c r="O59" s="6">
        <f>Salary[[#This Row],[Salary]]+Salary[[#This Row],[Полный Налог]]</f>
        <v>79915.862068965522</v>
      </c>
      <c r="P59" s="6">
        <f>Salary[[#This Row],[Полный Налог]]/Salary[[#This Row],[Salary]]</f>
        <v>0.79586206896551737</v>
      </c>
      <c r="Q59" s="6">
        <f>Salary[[#This Row],[SalaryOfficial]]*INDEX(Tax[НДФЛ],MATCH(Salary[[#This Row],[PaymentMethod]],Tax[PaymentMethod], 0))</f>
        <v>6649.4252873563219</v>
      </c>
      <c r="R59" s="6">
        <f>Salary[[#This Row],[SalaryOfficial]]*INDEX(Tax[Взносы],MATCH(Salary[[#This Row],[PaymentMethod]],Tax[PaymentMethod],0))</f>
        <v>15447.126436781613</v>
      </c>
      <c r="S59" s="6">
        <f>Salary[[#This Row],[Salary]]+Salary[[#This Row],[НДФЛ]]+Salary[[#This Row],[Фонды]]</f>
        <v>66596.551724137942</v>
      </c>
      <c r="T59" s="6">
        <f>Salary[[#This Row],[ЗП+НДФЛ+Фонды]]/(1-INDEX(Tax[УСН или Прибыль],MATCH(Salary[[#This Row],[PaymentMethod]],Tax[PaymentMethod],0)))</f>
        <v>66596.551724137942</v>
      </c>
      <c r="U59" s="6">
        <f>Salary[[#This Row],[Прибыль]]*INDEX(Tax[УСН или Прибыль],MATCH(Salary[[#This Row],[PaymentMethod]],Tax[PaymentMethod],0))</f>
        <v>0</v>
      </c>
      <c r="V59" s="6">
        <f>Salary[[#This Row],[Прибыль]]*INDEX(Tax[НДС],MATCH(Salary[[#This Row],[PaymentMethod]],Tax[PaymentMethod],0))</f>
        <v>13319.310344827589</v>
      </c>
    </row>
    <row r="60" spans="1:22" x14ac:dyDescent="0.25">
      <c r="A60">
        <v>59</v>
      </c>
      <c r="B60" s="91">
        <v>44256</v>
      </c>
      <c r="C60" s="2" t="s">
        <v>147</v>
      </c>
      <c r="D60">
        <f>SUMIF(Positions[Positions],Salary[[#This Row],[Position]],Positions[Grade])</f>
        <v>302</v>
      </c>
      <c r="E60" t="s">
        <v>262</v>
      </c>
      <c r="F60" s="31">
        <v>103750</v>
      </c>
      <c r="G60" s="135">
        <f>ROUND(Salary[[#This Row],[Salary]]/160,0)</f>
        <v>648</v>
      </c>
      <c r="H60">
        <v>1</v>
      </c>
      <c r="I60" s="31">
        <f>Salary[[#This Row],[FTE]]*Salary[[#This Row],[Salary]]</f>
        <v>103750</v>
      </c>
      <c r="J60" s="265">
        <f>INDEX(GradesAndSalaries[],MATCH(Salary[[#This Row],[Grade]],GradesAndSalaries[Grade],0),MATCH(Employee[[#Headers],[Base Budgeting COST]],GradesAndSalaries[#Headers],0))</f>
        <v>1846</v>
      </c>
      <c r="L60" s="6">
        <f>Salary[[#This Row],[Salary]]/(1-INDEX(Tax[НДФЛ],MATCH(Salary[[#This Row],[PaymentMethod]],Tax[PaymentMethod])))</f>
        <v>119252.8735632184</v>
      </c>
      <c r="M60" t="s">
        <v>1623</v>
      </c>
      <c r="N60" s="6">
        <f>Salary[[#This Row],[НДФЛ]]+Salary[[#This Row],[Фонды]]+Salary[[#This Row],[Налог на прибыль]]+Salary[[#This Row],[НДС]]</f>
        <v>82570.68965517242</v>
      </c>
      <c r="O60" s="6">
        <f>Salary[[#This Row],[Salary]]+Salary[[#This Row],[Полный Налог]]</f>
        <v>186320.68965517241</v>
      </c>
      <c r="P60" s="6">
        <f>Salary[[#This Row],[Полный Налог]]/Salary[[#This Row],[Salary]]</f>
        <v>0.79586206896551726</v>
      </c>
      <c r="Q60" s="6">
        <f>Salary[[#This Row],[SalaryOfficial]]*INDEX(Tax[НДФЛ],MATCH(Salary[[#This Row],[PaymentMethod]],Tax[PaymentMethod], 0))</f>
        <v>15502.873563218393</v>
      </c>
      <c r="R60" s="6">
        <f>Salary[[#This Row],[SalaryOfficial]]*INDEX(Tax[Взносы],MATCH(Salary[[#This Row],[PaymentMethod]],Tax[PaymentMethod],0))</f>
        <v>36014.367816091959</v>
      </c>
      <c r="S60" s="6">
        <f>Salary[[#This Row],[Salary]]+Salary[[#This Row],[НДФЛ]]+Salary[[#This Row],[Фонды]]</f>
        <v>155267.24137931035</v>
      </c>
      <c r="T60" s="6">
        <f>Salary[[#This Row],[ЗП+НДФЛ+Фонды]]/(1-INDEX(Tax[УСН или Прибыль],MATCH(Salary[[#This Row],[PaymentMethod]],Tax[PaymentMethod],0)))</f>
        <v>155267.24137931035</v>
      </c>
      <c r="U60" s="6">
        <f>Salary[[#This Row],[Прибыль]]*INDEX(Tax[УСН или Прибыль],MATCH(Salary[[#This Row],[PaymentMethod]],Tax[PaymentMethod],0))</f>
        <v>0</v>
      </c>
      <c r="V60" s="6">
        <f>Salary[[#This Row],[Прибыль]]*INDEX(Tax[НДС],MATCH(Salary[[#This Row],[PaymentMethod]],Tax[PaymentMethod],0))</f>
        <v>31053.448275862072</v>
      </c>
    </row>
    <row r="61" spans="1:22" x14ac:dyDescent="0.25">
      <c r="A61">
        <v>60</v>
      </c>
      <c r="B61" s="91">
        <v>44256</v>
      </c>
      <c r="C61" s="2" t="s">
        <v>419</v>
      </c>
      <c r="D61">
        <f>SUMIF(Positions[Positions],Salary[[#This Row],[Position]],Positions[Grade])</f>
        <v>100</v>
      </c>
      <c r="E61" t="s">
        <v>1114</v>
      </c>
      <c r="F61" s="31">
        <v>0</v>
      </c>
      <c r="G61" s="135">
        <f>ROUND(Salary[[#This Row],[Salary]]/160,0)</f>
        <v>0</v>
      </c>
      <c r="H61">
        <v>0</v>
      </c>
      <c r="I61" s="31">
        <f>Salary[[#This Row],[FTE]]*Salary[[#This Row],[Salary]]</f>
        <v>0</v>
      </c>
      <c r="J61" s="31">
        <f>INDEX(GradesAndSalaries[],MATCH(Salary[[#This Row],[Grade]],GradesAndSalaries[Grade],0),MATCH(Employee[[#Headers],[Base Budgeting COST]],GradesAndSalaries[#Headers],0))</f>
        <v>0</v>
      </c>
      <c r="L61" s="6" t="e">
        <f>Salary[[#This Row],[Salary]]/(1-INDEX(Tax[НДФЛ],MATCH(Salary[[#This Row],[PaymentMethod]],Tax[PaymentMethod])))</f>
        <v>#N/A</v>
      </c>
      <c r="N61" s="6" t="e">
        <f>Salary[[#This Row],[НДФЛ]]+Salary[[#This Row],[Фонды]]+Salary[[#This Row],[Налог на прибыль]]+Salary[[#This Row],[НДС]]</f>
        <v>#N/A</v>
      </c>
      <c r="O61" s="6" t="e">
        <f>Salary[[#This Row],[Salary]]+Salary[[#This Row],[Полный Налог]]</f>
        <v>#N/A</v>
      </c>
      <c r="P61" s="6" t="e">
        <f>Salary[[#This Row],[Полный Налог]]/Salary[[#This Row],[Salary]]</f>
        <v>#N/A</v>
      </c>
      <c r="Q61" s="6" t="e">
        <f>Salary[[#This Row],[SalaryOfficial]]*INDEX(Tax[НДФЛ],MATCH(Salary[[#This Row],[PaymentMethod]],Tax[PaymentMethod], 0))</f>
        <v>#N/A</v>
      </c>
      <c r="R61" s="6" t="e">
        <f>Salary[[#This Row],[SalaryOfficial]]*INDEX(Tax[Взносы],MATCH(Salary[[#This Row],[PaymentMethod]],Tax[PaymentMethod],0))</f>
        <v>#N/A</v>
      </c>
      <c r="S61" s="6" t="e">
        <f>Salary[[#This Row],[Salary]]+Salary[[#This Row],[НДФЛ]]+Salary[[#This Row],[Фонды]]</f>
        <v>#N/A</v>
      </c>
      <c r="T61" s="6" t="e">
        <f>Salary[[#This Row],[ЗП+НДФЛ+Фонды]]/(1-INDEX(Tax[УСН или Прибыль],MATCH(Salary[[#This Row],[PaymentMethod]],Tax[PaymentMethod],0)))</f>
        <v>#N/A</v>
      </c>
      <c r="U61" s="6" t="e">
        <f>Salary[[#This Row],[Прибыль]]*INDEX(Tax[УСН или Прибыль],MATCH(Salary[[#This Row],[PaymentMethod]],Tax[PaymentMethod],0))</f>
        <v>#N/A</v>
      </c>
      <c r="V61" s="6" t="e">
        <f>Salary[[#This Row],[Прибыль]]*INDEX(Tax[НДС],MATCH(Salary[[#This Row],[PaymentMethod]],Tax[PaymentMethod],0))</f>
        <v>#N/A</v>
      </c>
    </row>
    <row r="62" spans="1:22" x14ac:dyDescent="0.25">
      <c r="A62">
        <v>61</v>
      </c>
      <c r="B62" s="91">
        <v>44348</v>
      </c>
      <c r="C62" s="2" t="s">
        <v>417</v>
      </c>
      <c r="D62">
        <f>SUMIF(Positions[Positions],Salary[[#This Row],[Position]],Positions[Grade])</f>
        <v>201</v>
      </c>
      <c r="E62" t="s">
        <v>866</v>
      </c>
      <c r="F62" s="6">
        <v>60000</v>
      </c>
      <c r="G62" s="135">
        <f>ROUND(Salary[[#This Row],[Salary]]/160,0)</f>
        <v>375</v>
      </c>
      <c r="H62">
        <v>1</v>
      </c>
      <c r="I62" s="6">
        <f>Salary[[#This Row],[FTE]]*Salary[[#This Row],[Salary]]</f>
        <v>60000</v>
      </c>
      <c r="J62" s="265">
        <f>INDEX(GradesAndSalaries[],MATCH(Salary[[#This Row],[Grade]],GradesAndSalaries[Grade],0),MATCH(Employee[[#Headers],[Base Budgeting COST]],GradesAndSalaries[#Headers],0))</f>
        <v>733</v>
      </c>
      <c r="L62" s="6">
        <f>Salary[[#This Row],[Salary]]/(1-INDEX(Tax[НДФЛ],MATCH(Salary[[#This Row],[PaymentMethod]],Tax[PaymentMethod])))</f>
        <v>68965.517241379304</v>
      </c>
      <c r="M62" t="s">
        <v>1623</v>
      </c>
      <c r="N62" s="6">
        <f>Salary[[#This Row],[НДФЛ]]+Salary[[#This Row],[Фонды]]+Salary[[#This Row],[Налог на прибыль]]+Salary[[#This Row],[НДС]]</f>
        <v>47751.724137931029</v>
      </c>
      <c r="O62" s="6">
        <f>Salary[[#This Row],[Salary]]+Salary[[#This Row],[Полный Налог]]</f>
        <v>107751.72413793103</v>
      </c>
      <c r="P62" s="6">
        <f>Salary[[#This Row],[Полный Налог]]/Salary[[#This Row],[Salary]]</f>
        <v>0.79586206896551714</v>
      </c>
      <c r="Q62" s="6">
        <f>Salary[[#This Row],[SalaryOfficial]]*INDEX(Tax[НДФЛ],MATCH(Salary[[#This Row],[PaymentMethod]],Tax[PaymentMethod], 0))</f>
        <v>8965.5172413793098</v>
      </c>
      <c r="R62" s="6">
        <f>Salary[[#This Row],[SalaryOfficial]]*INDEX(Tax[Взносы],MATCH(Salary[[#This Row],[PaymentMethod]],Tax[PaymentMethod],0))</f>
        <v>20827.586206896554</v>
      </c>
      <c r="S62" s="6">
        <f>Salary[[#This Row],[Salary]]+Salary[[#This Row],[НДФЛ]]+Salary[[#This Row],[Фонды]]</f>
        <v>89793.103448275855</v>
      </c>
      <c r="T62" s="6">
        <f>Salary[[#This Row],[ЗП+НДФЛ+Фонды]]/(1-INDEX(Tax[УСН или Прибыль],MATCH(Salary[[#This Row],[PaymentMethod]],Tax[PaymentMethod],0)))</f>
        <v>89793.103448275855</v>
      </c>
      <c r="U62" s="6">
        <f>Salary[[#This Row],[Прибыль]]*INDEX(Tax[УСН или Прибыль],MATCH(Salary[[#This Row],[PaymentMethod]],Tax[PaymentMethod],0))</f>
        <v>0</v>
      </c>
      <c r="V62" s="6">
        <f>Salary[[#This Row],[Прибыль]]*INDEX(Tax[НДС],MATCH(Salary[[#This Row],[PaymentMethod]],Tax[PaymentMethod],0))</f>
        <v>17958.62068965517</v>
      </c>
    </row>
    <row r="63" spans="1:22" x14ac:dyDescent="0.25">
      <c r="A63">
        <v>62</v>
      </c>
      <c r="B63" s="91">
        <v>44409</v>
      </c>
      <c r="C63" s="2" t="s">
        <v>417</v>
      </c>
      <c r="D63">
        <f>SUMIF(Positions[Positions],Salary[[#This Row],[Position]],Positions[Grade])</f>
        <v>201</v>
      </c>
      <c r="E63" t="s">
        <v>2478</v>
      </c>
      <c r="F63" s="31">
        <v>43000</v>
      </c>
      <c r="G63" s="135">
        <f>ROUND(Salary[[#This Row],[Salary]]/160,0)</f>
        <v>269</v>
      </c>
      <c r="H63">
        <v>1</v>
      </c>
      <c r="I63" s="31">
        <f>Salary[[#This Row],[FTE]]*Salary[[#This Row],[Salary]]</f>
        <v>43000</v>
      </c>
      <c r="J63" s="265">
        <f>INDEX(GradesAndSalaries[],MATCH(Salary[[#This Row],[Grade]],GradesAndSalaries[Grade],0),MATCH(Employee[[#Headers],[Base Budgeting COST]],GradesAndSalaries[#Headers],0))</f>
        <v>733</v>
      </c>
      <c r="L63" s="6">
        <f>Salary[[#This Row],[Salary]]/(1-INDEX(Tax[НДФЛ],MATCH(Salary[[#This Row],[PaymentMethod]],Tax[PaymentMethod])))</f>
        <v>49425.287356321838</v>
      </c>
      <c r="M63" t="s">
        <v>1623</v>
      </c>
      <c r="N63" s="6">
        <f>Salary[[#This Row],[НДФЛ]]+Salary[[#This Row],[Фонды]]+Salary[[#This Row],[Налог на прибыль]]+Salary[[#This Row],[НДС]]</f>
        <v>34222.068965517246</v>
      </c>
      <c r="O63" s="6">
        <f>Salary[[#This Row],[Salary]]+Salary[[#This Row],[Полный Налог]]</f>
        <v>77222.068965517246</v>
      </c>
      <c r="P63" s="6">
        <f>Salary[[#This Row],[Полный Налог]]/Salary[[#This Row],[Salary]]</f>
        <v>0.79586206896551737</v>
      </c>
      <c r="Q63" s="6">
        <f>Salary[[#This Row],[SalaryOfficial]]*INDEX(Tax[НДФЛ],MATCH(Salary[[#This Row],[PaymentMethod]],Tax[PaymentMethod], 0))</f>
        <v>6425.2873563218391</v>
      </c>
      <c r="R63" s="6">
        <f>Salary[[#This Row],[SalaryOfficial]]*INDEX(Tax[Взносы],MATCH(Salary[[#This Row],[PaymentMethod]],Tax[PaymentMethod],0))</f>
        <v>14926.436781609198</v>
      </c>
      <c r="S63" s="6">
        <f>Salary[[#This Row],[Salary]]+Salary[[#This Row],[НДФЛ]]+Salary[[#This Row],[Фонды]]</f>
        <v>64351.724137931036</v>
      </c>
      <c r="T63" s="6">
        <f>Salary[[#This Row],[ЗП+НДФЛ+Фонды]]/(1-INDEX(Tax[УСН или Прибыль],MATCH(Salary[[#This Row],[PaymentMethod]],Tax[PaymentMethod],0)))</f>
        <v>64351.724137931036</v>
      </c>
      <c r="U63" s="6">
        <f>Salary[[#This Row],[Прибыль]]*INDEX(Tax[УСН или Прибыль],MATCH(Salary[[#This Row],[PaymentMethod]],Tax[PaymentMethod],0))</f>
        <v>0</v>
      </c>
      <c r="V63" s="6">
        <f>Salary[[#This Row],[Прибыль]]*INDEX(Tax[НДС],MATCH(Salary[[#This Row],[PaymentMethod]],Tax[PaymentMethod],0))</f>
        <v>12870.344827586208</v>
      </c>
    </row>
    <row r="64" spans="1:22" x14ac:dyDescent="0.25">
      <c r="A64">
        <v>63</v>
      </c>
      <c r="B64" s="91">
        <v>44440</v>
      </c>
      <c r="C64" s="2" t="s">
        <v>419</v>
      </c>
      <c r="D64" s="666">
        <f>SUMIF(Positions[Positions],Salary[[#This Row],[Position]],Positions[Grade])</f>
        <v>100</v>
      </c>
      <c r="E64" t="s">
        <v>866</v>
      </c>
      <c r="F64" s="31">
        <v>0</v>
      </c>
      <c r="G64" s="135">
        <f>ROUND(Salary[[#This Row],[Salary]]/160,0)</f>
        <v>0</v>
      </c>
      <c r="H64">
        <v>0</v>
      </c>
      <c r="I64" s="31">
        <f>Salary[[#This Row],[FTE]]*Salary[[#This Row],[Salary]]</f>
        <v>0</v>
      </c>
      <c r="J64" s="741">
        <f>INDEX(GradesAndSalaries[],MATCH(Salary[[#This Row],[Grade]],GradesAndSalaries[Grade],0),MATCH(Employee[[#Headers],[Base Budgeting COST]],GradesAndSalaries[#Headers],0))</f>
        <v>0</v>
      </c>
      <c r="L64" s="6" t="e">
        <f>Salary[[#This Row],[Salary]]/(1-INDEX(Tax[НДФЛ],MATCH(Salary[[#This Row],[PaymentMethod]],Tax[PaymentMethod])))</f>
        <v>#N/A</v>
      </c>
      <c r="N64" t="e">
        <f>Salary[[#This Row],[НДФЛ]]+Salary[[#This Row],[Фонды]]+Salary[[#This Row],[Налог на прибыль]]+Salary[[#This Row],[НДС]]</f>
        <v>#N/A</v>
      </c>
      <c r="O64" t="e">
        <f>Salary[[#This Row],[Salary]]+Salary[[#This Row],[Полный Налог]]</f>
        <v>#N/A</v>
      </c>
      <c r="P64" t="e">
        <f>Salary[[#This Row],[Полный Налог]]/Salary[[#This Row],[Salary]]</f>
        <v>#N/A</v>
      </c>
      <c r="Q64" t="e">
        <f>Salary[[#This Row],[SalaryOfficial]]*INDEX(Tax[НДФЛ],MATCH(Salary[[#This Row],[PaymentMethod]],Tax[PaymentMethod], 0))</f>
        <v>#N/A</v>
      </c>
      <c r="R64" t="e">
        <f>Salary[[#This Row],[SalaryOfficial]]*INDEX(Tax[Взносы],MATCH(Salary[[#This Row],[PaymentMethod]],Tax[PaymentMethod],0))</f>
        <v>#N/A</v>
      </c>
      <c r="S64" t="e">
        <f>Salary[[#This Row],[Salary]]+Salary[[#This Row],[НДФЛ]]+Salary[[#This Row],[Фонды]]</f>
        <v>#N/A</v>
      </c>
      <c r="T64" t="e">
        <f>Salary[[#This Row],[ЗП+НДФЛ+Фонды]]/(1-INDEX(Tax[УСН или Прибыль],MATCH(Salary[[#This Row],[PaymentMethod]],Tax[PaymentMethod],0)))</f>
        <v>#N/A</v>
      </c>
      <c r="U64" t="e">
        <f>Salary[[#This Row],[Прибыль]]*INDEX(Tax[УСН или Прибыль],MATCH(Salary[[#This Row],[PaymentMethod]],Tax[PaymentMethod],0))</f>
        <v>#N/A</v>
      </c>
      <c r="V64" t="e">
        <f>Salary[[#This Row],[Прибыль]]*INDEX(Tax[НДС],MATCH(Salary[[#This Row],[PaymentMethod]],Tax[PaymentMethod],0))</f>
        <v>#N/A</v>
      </c>
    </row>
    <row r="65" spans="1:22" x14ac:dyDescent="0.25">
      <c r="A65">
        <v>64</v>
      </c>
      <c r="B65" s="91">
        <v>44508</v>
      </c>
      <c r="C65" s="2" t="s">
        <v>147</v>
      </c>
      <c r="D65">
        <f>SUMIF(Positions[Positions],Salary[[#This Row],[Position]],Positions[Grade])</f>
        <v>302</v>
      </c>
      <c r="E65" t="s">
        <v>2622</v>
      </c>
      <c r="F65" s="31">
        <v>100000</v>
      </c>
      <c r="G65" s="135">
        <f>ROUND(Salary[[#This Row],[Salary]]/160,0)</f>
        <v>625</v>
      </c>
      <c r="H65">
        <v>1</v>
      </c>
      <c r="I65" s="31">
        <f>Salary[[#This Row],[FTE]]*Salary[[#This Row],[Salary]]</f>
        <v>100000</v>
      </c>
      <c r="J65" s="265">
        <f>INDEX(GradesAndSalaries[],MATCH(Salary[[#This Row],[Grade]],GradesAndSalaries[Grade],0),MATCH(Employee[[#Headers],[Base Budgeting COST]],GradesAndSalaries[#Headers],0))</f>
        <v>1846</v>
      </c>
      <c r="L65" s="6">
        <f>Salary[[#This Row],[Salary]]/(1-INDEX(Tax[НДФЛ],MATCH(Salary[[#This Row],[PaymentMethod]],Tax[PaymentMethod])))</f>
        <v>114942.52873563218</v>
      </c>
      <c r="M65" t="s">
        <v>1623</v>
      </c>
      <c r="N65" s="6">
        <f>Salary[[#This Row],[НДФЛ]]+Salary[[#This Row],[Фонды]]+Salary[[#This Row],[Налог на прибыль]]+Salary[[#This Row],[НДС]]</f>
        <v>79586.206896551739</v>
      </c>
      <c r="O65" s="6">
        <f>Salary[[#This Row],[Salary]]+Salary[[#This Row],[Полный Налог]]</f>
        <v>179586.20689655174</v>
      </c>
      <c r="P65" s="6">
        <f>Salary[[#This Row],[Полный Налог]]/Salary[[#This Row],[Salary]]</f>
        <v>0.79586206896551737</v>
      </c>
      <c r="Q65" s="6">
        <f>Salary[[#This Row],[SalaryOfficial]]*INDEX(Tax[НДФЛ],MATCH(Salary[[#This Row],[PaymentMethod]],Tax[PaymentMethod], 0))</f>
        <v>14942.528735632184</v>
      </c>
      <c r="R65" s="6">
        <f>Salary[[#This Row],[SalaryOfficial]]*INDEX(Tax[Взносы],MATCH(Salary[[#This Row],[PaymentMethod]],Tax[PaymentMethod],0))</f>
        <v>34712.643678160923</v>
      </c>
      <c r="S65" s="6">
        <f>Salary[[#This Row],[Salary]]+Salary[[#This Row],[НДФЛ]]+Salary[[#This Row],[Фонды]]</f>
        <v>149655.1724137931</v>
      </c>
      <c r="T65" s="6">
        <f>Salary[[#This Row],[ЗП+НДФЛ+Фонды]]/(1-INDEX(Tax[УСН или Прибыль],MATCH(Salary[[#This Row],[PaymentMethod]],Tax[PaymentMethod],0)))</f>
        <v>149655.1724137931</v>
      </c>
      <c r="U65" s="6">
        <f>Salary[[#This Row],[Прибыль]]*INDEX(Tax[УСН или Прибыль],MATCH(Salary[[#This Row],[PaymentMethod]],Tax[PaymentMethod],0))</f>
        <v>0</v>
      </c>
      <c r="V65" s="6">
        <f>Salary[[#This Row],[Прибыль]]*INDEX(Tax[НДС],MATCH(Salary[[#This Row],[PaymentMethod]],Tax[PaymentMethod],0))</f>
        <v>29931.034482758623</v>
      </c>
    </row>
    <row r="66" spans="1:22" x14ac:dyDescent="0.25">
      <c r="A66">
        <v>65</v>
      </c>
      <c r="B66" s="91">
        <v>44512</v>
      </c>
      <c r="C66" s="2" t="s">
        <v>95</v>
      </c>
      <c r="D66">
        <f>SUMIF(Positions[Positions],Salary[[#This Row],[Position]],Positions[Grade])</f>
        <v>101</v>
      </c>
      <c r="E66" t="s">
        <v>2634</v>
      </c>
      <c r="F66" s="31">
        <v>30000</v>
      </c>
      <c r="G66" s="135">
        <f>ROUND(Salary[[#This Row],[Salary]]/160,0)</f>
        <v>188</v>
      </c>
      <c r="H66">
        <v>0.7</v>
      </c>
      <c r="I66" s="31">
        <f>Salary[[#This Row],[FTE]]*Salary[[#This Row],[Salary]]</f>
        <v>21000</v>
      </c>
      <c r="J66" s="265">
        <f>INDEX(GradesAndSalaries[],MATCH(Salary[[#This Row],[Grade]],GradesAndSalaries[Grade],0),MATCH(Employee[[#Headers],[Base Budgeting COST]],GradesAndSalaries[#Headers],0))</f>
        <v>625</v>
      </c>
      <c r="L66" s="6">
        <f>Salary[[#This Row],[Salary]]/(1-INDEX(Tax[НДФЛ],MATCH(Salary[[#This Row],[PaymentMethod]],Tax[PaymentMethod])))</f>
        <v>34482.758620689652</v>
      </c>
      <c r="M66" t="s">
        <v>1623</v>
      </c>
      <c r="N66" s="6">
        <f>Salary[[#This Row],[НДФЛ]]+Salary[[#This Row],[Фонды]]+Salary[[#This Row],[Налог на прибыль]]+Salary[[#This Row],[НДС]]</f>
        <v>23875.862068965514</v>
      </c>
      <c r="O66" s="6">
        <f>Salary[[#This Row],[Salary]]+Salary[[#This Row],[Полный Налог]]</f>
        <v>53875.862068965514</v>
      </c>
      <c r="P66" s="6">
        <f>Salary[[#This Row],[Полный Налог]]/Salary[[#This Row],[Salary]]</f>
        <v>0.79586206896551714</v>
      </c>
      <c r="Q66" s="6">
        <f>Salary[[#This Row],[SalaryOfficial]]*INDEX(Tax[НДФЛ],MATCH(Salary[[#This Row],[PaymentMethod]],Tax[PaymentMethod], 0))</f>
        <v>4482.7586206896549</v>
      </c>
      <c r="R66" s="6">
        <f>Salary[[#This Row],[SalaryOfficial]]*INDEX(Tax[Взносы],MATCH(Salary[[#This Row],[PaymentMethod]],Tax[PaymentMethod],0))</f>
        <v>10413.793103448277</v>
      </c>
      <c r="S66" s="6">
        <f>Salary[[#This Row],[Salary]]+Salary[[#This Row],[НДФЛ]]+Salary[[#This Row],[Фонды]]</f>
        <v>44896.551724137928</v>
      </c>
      <c r="T66" s="6">
        <f>Salary[[#This Row],[ЗП+НДФЛ+Фонды]]/(1-INDEX(Tax[УСН или Прибыль],MATCH(Salary[[#This Row],[PaymentMethod]],Tax[PaymentMethod],0)))</f>
        <v>44896.551724137928</v>
      </c>
      <c r="U66" s="6">
        <f>Salary[[#This Row],[Прибыль]]*INDEX(Tax[УСН или Прибыль],MATCH(Salary[[#This Row],[PaymentMethod]],Tax[PaymentMethod],0))</f>
        <v>0</v>
      </c>
      <c r="V66" s="6">
        <f>Salary[[#This Row],[Прибыль]]*INDEX(Tax[НДС],MATCH(Salary[[#This Row],[PaymentMethod]],Tax[PaymentMethod],0))</f>
        <v>8979.3103448275851</v>
      </c>
    </row>
    <row r="67" spans="1:22" x14ac:dyDescent="0.25">
      <c r="A67">
        <v>66</v>
      </c>
      <c r="B67" s="91">
        <v>44513</v>
      </c>
      <c r="C67" s="2" t="s">
        <v>418</v>
      </c>
      <c r="D67">
        <f>SUMIF(Positions[Positions],Salary[[#This Row],[Position]],Positions[Grade])</f>
        <v>202</v>
      </c>
      <c r="E67" t="s">
        <v>2633</v>
      </c>
      <c r="F67" s="31">
        <v>50750</v>
      </c>
      <c r="G67" s="135">
        <f>ROUND(Salary[[#This Row],[Salary]]/160,0)</f>
        <v>317</v>
      </c>
      <c r="H67">
        <v>1</v>
      </c>
      <c r="I67" s="31">
        <f>Salary[[#This Row],[FTE]]*Salary[[#This Row],[Salary]]</f>
        <v>50750</v>
      </c>
      <c r="J67" s="265">
        <f>INDEX(GradesAndSalaries[],MATCH(Salary[[#This Row],[Grade]],GradesAndSalaries[Grade],0),MATCH(Employee[[#Headers],[Base Budgeting COST]],GradesAndSalaries[#Headers],0))</f>
        <v>875</v>
      </c>
      <c r="L67" s="6">
        <f>Salary[[#This Row],[Salary]]/(1-INDEX(Tax[НДФЛ],MATCH(Salary[[#This Row],[PaymentMethod]],Tax[PaymentMethod])))</f>
        <v>58333.333333333336</v>
      </c>
      <c r="M67" t="s">
        <v>1623</v>
      </c>
      <c r="N67" s="6">
        <f>Salary[[#This Row],[НДФЛ]]+Salary[[#This Row],[Фонды]]+Salary[[#This Row],[Налог на прибыль]]+Salary[[#This Row],[НДС]]</f>
        <v>40390.000000000007</v>
      </c>
      <c r="O67" s="6">
        <f>Salary[[#This Row],[Salary]]+Salary[[#This Row],[Полный Налог]]</f>
        <v>91140</v>
      </c>
      <c r="P67" s="6">
        <f>Salary[[#This Row],[Полный Налог]]/Salary[[#This Row],[Salary]]</f>
        <v>0.79586206896551737</v>
      </c>
      <c r="Q67" s="6">
        <f>Salary[[#This Row],[SalaryOfficial]]*INDEX(Tax[НДФЛ],MATCH(Salary[[#This Row],[PaymentMethod]],Tax[PaymentMethod], 0))</f>
        <v>7583.3333333333339</v>
      </c>
      <c r="R67" s="6">
        <f>Salary[[#This Row],[SalaryOfficial]]*INDEX(Tax[Взносы],MATCH(Salary[[#This Row],[PaymentMethod]],Tax[PaymentMethod],0))</f>
        <v>17616.666666666672</v>
      </c>
      <c r="S67" s="6">
        <f>Salary[[#This Row],[Salary]]+Salary[[#This Row],[НДФЛ]]+Salary[[#This Row],[Фонды]]</f>
        <v>75950</v>
      </c>
      <c r="T67" s="6">
        <f>Salary[[#This Row],[ЗП+НДФЛ+Фонды]]/(1-INDEX(Tax[УСН или Прибыль],MATCH(Salary[[#This Row],[PaymentMethod]],Tax[PaymentMethod],0)))</f>
        <v>75950</v>
      </c>
      <c r="U67" s="6">
        <f>Salary[[#This Row],[Прибыль]]*INDEX(Tax[УСН или Прибыль],MATCH(Salary[[#This Row],[PaymentMethod]],Tax[PaymentMethod],0))</f>
        <v>0</v>
      </c>
      <c r="V67" s="6">
        <f>Salary[[#This Row],[Прибыль]]*INDEX(Tax[НДС],MATCH(Salary[[#This Row],[PaymentMethod]],Tax[PaymentMethod],0))</f>
        <v>15190</v>
      </c>
    </row>
    <row r="68" spans="1:22" x14ac:dyDescent="0.25">
      <c r="A68">
        <v>67</v>
      </c>
      <c r="B68" s="91">
        <v>44514</v>
      </c>
      <c r="C68" s="2" t="s">
        <v>146</v>
      </c>
      <c r="D68">
        <f>SUMIF(Positions[Positions],Salary[[#This Row],[Position]],Positions[Grade])</f>
        <v>301</v>
      </c>
      <c r="E68" t="s">
        <v>2654</v>
      </c>
      <c r="F68" s="31">
        <v>70000</v>
      </c>
      <c r="G68" s="135">
        <f>ROUND(Salary[[#This Row],[Salary]]/160,0)</f>
        <v>438</v>
      </c>
      <c r="H68">
        <v>1</v>
      </c>
      <c r="I68" s="31">
        <f>Salary[[#This Row],[FTE]]*Salary[[#This Row],[Salary]]</f>
        <v>70000</v>
      </c>
      <c r="J68" s="265">
        <f>INDEX(GradesAndSalaries[],MATCH(Salary[[#This Row],[Grade]],GradesAndSalaries[Grade],0),MATCH(Employee[[#Headers],[Base Budgeting COST]],GradesAndSalaries[#Headers],0))</f>
        <v>1596</v>
      </c>
      <c r="L68" s="6">
        <f>Salary[[#This Row],[Salary]]/(1-INDEX(Tax[НДФЛ],MATCH(Salary[[#This Row],[PaymentMethod]],Tax[PaymentMethod])))</f>
        <v>80459.770114942527</v>
      </c>
      <c r="M68" t="s">
        <v>1623</v>
      </c>
      <c r="N68" s="6">
        <f>Salary[[#This Row],[НДФЛ]]+Salary[[#This Row],[Фонды]]+Salary[[#This Row],[Налог на прибыль]]+Salary[[#This Row],[НДС]]</f>
        <v>55710.34482758621</v>
      </c>
      <c r="O68" s="6">
        <f>Salary[[#This Row],[Salary]]+Salary[[#This Row],[Полный Налог]]</f>
        <v>125710.3448275862</v>
      </c>
      <c r="P68" s="6">
        <f>Salary[[#This Row],[Полный Налог]]/Salary[[#This Row],[Salary]]</f>
        <v>0.79586206896551726</v>
      </c>
      <c r="Q68" s="6">
        <f>Salary[[#This Row],[SalaryOfficial]]*INDEX(Tax[НДФЛ],MATCH(Salary[[#This Row],[PaymentMethod]],Tax[PaymentMethod], 0))</f>
        <v>10459.770114942528</v>
      </c>
      <c r="R68" s="6">
        <f>Salary[[#This Row],[SalaryOfficial]]*INDEX(Tax[Взносы],MATCH(Salary[[#This Row],[PaymentMethod]],Tax[PaymentMethod],0))</f>
        <v>24298.850574712647</v>
      </c>
      <c r="S68" s="6">
        <f>Salary[[#This Row],[Salary]]+Salary[[#This Row],[НДФЛ]]+Salary[[#This Row],[Фонды]]</f>
        <v>104758.62068965517</v>
      </c>
      <c r="T68" s="6">
        <f>Salary[[#This Row],[ЗП+НДФЛ+Фонды]]/(1-INDEX(Tax[УСН или Прибыль],MATCH(Salary[[#This Row],[PaymentMethod]],Tax[PaymentMethod],0)))</f>
        <v>104758.62068965517</v>
      </c>
      <c r="U68" s="6">
        <f>Salary[[#This Row],[Прибыль]]*INDEX(Tax[УСН или Прибыль],MATCH(Salary[[#This Row],[PaymentMethod]],Tax[PaymentMethod],0))</f>
        <v>0</v>
      </c>
      <c r="V68" s="6">
        <f>Salary[[#This Row],[Прибыль]]*INDEX(Tax[НДС],MATCH(Salary[[#This Row],[PaymentMethod]],Tax[PaymentMethod],0))</f>
        <v>20951.724137931036</v>
      </c>
    </row>
    <row r="69" spans="1:22" x14ac:dyDescent="0.25">
      <c r="A69">
        <v>68</v>
      </c>
      <c r="B69" s="91">
        <v>44515</v>
      </c>
      <c r="C69" s="2" t="s">
        <v>418</v>
      </c>
      <c r="D69">
        <f>SUMIF(Positions[Positions],Salary[[#This Row],[Position]],Positions[Grade])</f>
        <v>202</v>
      </c>
      <c r="E69" t="s">
        <v>2623</v>
      </c>
      <c r="F69" s="31">
        <v>60000</v>
      </c>
      <c r="G69" s="135">
        <f>ROUND(Salary[[#This Row],[Salary]]/160,0)</f>
        <v>375</v>
      </c>
      <c r="H69">
        <v>1</v>
      </c>
      <c r="I69" s="31">
        <f>Salary[[#This Row],[FTE]]*Salary[[#This Row],[Salary]]</f>
        <v>60000</v>
      </c>
      <c r="J69" s="265">
        <f>INDEX(GradesAndSalaries[],MATCH(Salary[[#This Row],[Grade]],GradesAndSalaries[Grade],0),MATCH(Employee[[#Headers],[Base Budgeting COST]],GradesAndSalaries[#Headers],0))</f>
        <v>875</v>
      </c>
      <c r="L69" s="6">
        <f>Salary[[#This Row],[Salary]]/(1-INDEX(Tax[НДФЛ],MATCH(Salary[[#This Row],[PaymentMethod]],Tax[PaymentMethod])))</f>
        <v>68965.517241379304</v>
      </c>
      <c r="M69" t="s">
        <v>1623</v>
      </c>
      <c r="N69" s="6">
        <f>Salary[[#This Row],[НДФЛ]]+Salary[[#This Row],[Фонды]]+Salary[[#This Row],[Налог на прибыль]]+Salary[[#This Row],[НДС]]</f>
        <v>47751.724137931029</v>
      </c>
      <c r="O69" s="6">
        <f>Salary[[#This Row],[Salary]]+Salary[[#This Row],[Полный Налог]]</f>
        <v>107751.72413793103</v>
      </c>
      <c r="P69" s="6">
        <f>Salary[[#This Row],[Полный Налог]]/Salary[[#This Row],[Salary]]</f>
        <v>0.79586206896551714</v>
      </c>
      <c r="Q69" s="6">
        <f>Salary[[#This Row],[SalaryOfficial]]*INDEX(Tax[НДФЛ],MATCH(Salary[[#This Row],[PaymentMethod]],Tax[PaymentMethod], 0))</f>
        <v>8965.5172413793098</v>
      </c>
      <c r="R69" s="6">
        <f>Salary[[#This Row],[SalaryOfficial]]*INDEX(Tax[Взносы],MATCH(Salary[[#This Row],[PaymentMethod]],Tax[PaymentMethod],0))</f>
        <v>20827.586206896554</v>
      </c>
      <c r="S69" s="6">
        <f>Salary[[#This Row],[Salary]]+Salary[[#This Row],[НДФЛ]]+Salary[[#This Row],[Фонды]]</f>
        <v>89793.103448275855</v>
      </c>
      <c r="T69" s="6">
        <f>Salary[[#This Row],[ЗП+НДФЛ+Фонды]]/(1-INDEX(Tax[УСН или Прибыль],MATCH(Salary[[#This Row],[PaymentMethod]],Tax[PaymentMethod],0)))</f>
        <v>89793.103448275855</v>
      </c>
      <c r="U69" s="6">
        <f>Salary[[#This Row],[Прибыль]]*INDEX(Tax[УСН или Прибыль],MATCH(Salary[[#This Row],[PaymentMethod]],Tax[PaymentMethod],0))</f>
        <v>0</v>
      </c>
      <c r="V69" s="6">
        <f>Salary[[#This Row],[Прибыль]]*INDEX(Tax[НДС],MATCH(Salary[[#This Row],[PaymentMethod]],Tax[PaymentMethod],0))</f>
        <v>17958.62068965517</v>
      </c>
    </row>
    <row r="70" spans="1:22" x14ac:dyDescent="0.25">
      <c r="A70">
        <v>69</v>
      </c>
      <c r="B70" s="91">
        <v>44519</v>
      </c>
      <c r="C70" s="2" t="s">
        <v>419</v>
      </c>
      <c r="D70" s="666">
        <f>SUMIF(Positions[Positions],Salary[[#This Row],[Position]],Positions[Grade])</f>
        <v>100</v>
      </c>
      <c r="E70" t="s">
        <v>2633</v>
      </c>
      <c r="F70" s="31">
        <v>50750</v>
      </c>
      <c r="G70" s="135">
        <f>ROUND(Salary[[#This Row],[Salary]]/160,0)</f>
        <v>317</v>
      </c>
      <c r="H70">
        <v>1</v>
      </c>
      <c r="I70" s="31">
        <f>Salary[[#This Row],[FTE]]*Salary[[#This Row],[Salary]]</f>
        <v>50750</v>
      </c>
      <c r="J70" s="741">
        <f>INDEX(GradesAndSalaries[],MATCH(Salary[[#This Row],[Grade]],GradesAndSalaries[Grade],0),MATCH(Employee[[#Headers],[Base Budgeting COST]],GradesAndSalaries[#Headers],0))</f>
        <v>0</v>
      </c>
      <c r="L70" s="6" t="e">
        <f>Salary[[#This Row],[Salary]]/(1-INDEX(Tax[НДФЛ],MATCH(Salary[[#This Row],[PaymentMethod]],Tax[PaymentMethod])))</f>
        <v>#N/A</v>
      </c>
      <c r="N70" t="e">
        <f>Salary[[#This Row],[НДФЛ]]+Salary[[#This Row],[Фонды]]+Salary[[#This Row],[Налог на прибыль]]+Salary[[#This Row],[НДС]]</f>
        <v>#N/A</v>
      </c>
      <c r="O70" t="e">
        <f>Salary[[#This Row],[Salary]]+Salary[[#This Row],[Полный Налог]]</f>
        <v>#N/A</v>
      </c>
      <c r="P70" t="e">
        <f>Salary[[#This Row],[Полный Налог]]/Salary[[#This Row],[Salary]]</f>
        <v>#N/A</v>
      </c>
      <c r="Q70" t="e">
        <f>Salary[[#This Row],[SalaryOfficial]]*INDEX(Tax[НДФЛ],MATCH(Salary[[#This Row],[PaymentMethod]],Tax[PaymentMethod], 0))</f>
        <v>#N/A</v>
      </c>
      <c r="R70" t="e">
        <f>Salary[[#This Row],[SalaryOfficial]]*INDEX(Tax[Взносы],MATCH(Salary[[#This Row],[PaymentMethod]],Tax[PaymentMethod],0))</f>
        <v>#N/A</v>
      </c>
      <c r="S70" t="e">
        <f>Salary[[#This Row],[Salary]]+Salary[[#This Row],[НДФЛ]]+Salary[[#This Row],[Фонды]]</f>
        <v>#N/A</v>
      </c>
      <c r="T70" t="e">
        <f>Salary[[#This Row],[ЗП+НДФЛ+Фонды]]/(1-INDEX(Tax[УСН или Прибыль],MATCH(Salary[[#This Row],[PaymentMethod]],Tax[PaymentMethod],0)))</f>
        <v>#N/A</v>
      </c>
      <c r="U70" t="e">
        <f>Salary[[#This Row],[Прибыль]]*INDEX(Tax[УСН или Прибыль],MATCH(Salary[[#This Row],[PaymentMethod]],Tax[PaymentMethod],0))</f>
        <v>#N/A</v>
      </c>
      <c r="V70" t="e">
        <f>Salary[[#This Row],[Прибыль]]*INDEX(Tax[НДС],MATCH(Salary[[#This Row],[PaymentMethod]],Tax[PaymentMethod],0))</f>
        <v>#N/A</v>
      </c>
    </row>
    <row r="71" spans="1:22" x14ac:dyDescent="0.25">
      <c r="A71">
        <v>70</v>
      </c>
      <c r="B71" s="91">
        <v>44531</v>
      </c>
      <c r="C71" s="2" t="s">
        <v>419</v>
      </c>
      <c r="D71" s="666">
        <f>SUMIF(Positions[Positions],Salary[[#This Row],[Position]],Positions[Grade])</f>
        <v>100</v>
      </c>
      <c r="E71" t="s">
        <v>2654</v>
      </c>
      <c r="F71" s="31">
        <v>0</v>
      </c>
      <c r="G71" s="135">
        <f>ROUND(Salary[[#This Row],[Salary]]/160,0)</f>
        <v>0</v>
      </c>
      <c r="H71">
        <v>0</v>
      </c>
      <c r="I71" s="31">
        <f>Salary[[#This Row],[FTE]]*Salary[[#This Row],[Salary]]</f>
        <v>0</v>
      </c>
      <c r="J71" s="741">
        <f>INDEX(GradesAndSalaries[],MATCH(Salary[[#This Row],[Grade]],GradesAndSalaries[Grade],0),MATCH(Employee[[#Headers],[Base Budgeting COST]],GradesAndSalaries[#Headers],0))</f>
        <v>0</v>
      </c>
      <c r="L71" s="6" t="e">
        <f>Salary[[#This Row],[Salary]]/(1-INDEX(Tax[НДФЛ],MATCH(Salary[[#This Row],[PaymentMethod]],Tax[PaymentMethod])))</f>
        <v>#N/A</v>
      </c>
      <c r="N71" t="e">
        <f>Salary[[#This Row],[НДФЛ]]+Salary[[#This Row],[Фонды]]+Salary[[#This Row],[Налог на прибыль]]+Salary[[#This Row],[НДС]]</f>
        <v>#N/A</v>
      </c>
      <c r="O71" t="e">
        <f>Salary[[#This Row],[Salary]]+Salary[[#This Row],[Полный Налог]]</f>
        <v>#N/A</v>
      </c>
      <c r="P71" t="e">
        <f>Salary[[#This Row],[Полный Налог]]/Salary[[#This Row],[Salary]]</f>
        <v>#N/A</v>
      </c>
      <c r="Q71" t="e">
        <f>Salary[[#This Row],[SalaryOfficial]]*INDEX(Tax[НДФЛ],MATCH(Salary[[#This Row],[PaymentMethod]],Tax[PaymentMethod], 0))</f>
        <v>#N/A</v>
      </c>
      <c r="R71" t="e">
        <f>Salary[[#This Row],[SalaryOfficial]]*INDEX(Tax[Взносы],MATCH(Salary[[#This Row],[PaymentMethod]],Tax[PaymentMethod],0))</f>
        <v>#N/A</v>
      </c>
      <c r="S71" t="e">
        <f>Salary[[#This Row],[Salary]]+Salary[[#This Row],[НДФЛ]]+Salary[[#This Row],[Фонды]]</f>
        <v>#N/A</v>
      </c>
      <c r="T71" t="e">
        <f>Salary[[#This Row],[ЗП+НДФЛ+Фонды]]/(1-INDEX(Tax[УСН или Прибыль],MATCH(Salary[[#This Row],[PaymentMethod]],Tax[PaymentMethod],0)))</f>
        <v>#N/A</v>
      </c>
      <c r="U71" t="e">
        <f>Salary[[#This Row],[Прибыль]]*INDEX(Tax[УСН или Прибыль],MATCH(Salary[[#This Row],[PaymentMethod]],Tax[PaymentMethod],0))</f>
        <v>#N/A</v>
      </c>
      <c r="V71" t="e">
        <f>Salary[[#This Row],[Прибыль]]*INDEX(Tax[НДС],MATCH(Salary[[#This Row],[PaymentMethod]],Tax[PaymentMethod],0))</f>
        <v>#N/A</v>
      </c>
    </row>
    <row r="72" spans="1:22" x14ac:dyDescent="0.25">
      <c r="A72">
        <v>71</v>
      </c>
      <c r="B72" s="91">
        <v>44592</v>
      </c>
      <c r="C72" s="2" t="s">
        <v>95</v>
      </c>
      <c r="D72">
        <f>SUMIF(Positions[Positions],Salary[[#This Row],[Position]],Positions[Grade])</f>
        <v>101</v>
      </c>
      <c r="E72" t="s">
        <v>2815</v>
      </c>
      <c r="F72" s="31">
        <v>30000</v>
      </c>
      <c r="G72" s="135">
        <f>ROUND(Salary[[#This Row],[Salary]]/160,0)</f>
        <v>188</v>
      </c>
      <c r="H72" t="s">
        <v>2949</v>
      </c>
      <c r="I72" s="31" t="e">
        <f>Salary[[#This Row],[FTE]]*Salary[[#This Row],[Salary]]</f>
        <v>#VALUE!</v>
      </c>
      <c r="J72" s="556">
        <f>INDEX(GradesAndSalaries[],MATCH(Salary[[#This Row],[Grade]],GradesAndSalaries[Grade],0),MATCH(Employee[[#Headers],[Base Budgeting COST]],GradesAndSalaries[#Headers],0))</f>
        <v>625</v>
      </c>
      <c r="L72" s="6">
        <f>Salary[[#This Row],[Salary]]/(1-INDEX(Tax[НДФЛ],MATCH(Salary[[#This Row],[PaymentMethod]],Tax[PaymentMethod])))</f>
        <v>34482.758620689652</v>
      </c>
      <c r="M72" t="s">
        <v>1623</v>
      </c>
      <c r="N72" s="6">
        <f>Salary[[#This Row],[НДФЛ]]+Salary[[#This Row],[Фонды]]+Salary[[#This Row],[Налог на прибыль]]+Salary[[#This Row],[НДС]]</f>
        <v>23875.862068965514</v>
      </c>
      <c r="O72" s="6">
        <f>Salary[[#This Row],[Salary]]+Salary[[#This Row],[Полный Налог]]</f>
        <v>53875.862068965514</v>
      </c>
      <c r="P72" s="6">
        <f>Salary[[#This Row],[Полный Налог]]/Salary[[#This Row],[Salary]]</f>
        <v>0.79586206896551714</v>
      </c>
      <c r="Q72" s="6">
        <f>Salary[[#This Row],[SalaryOfficial]]*INDEX(Tax[НДФЛ],MATCH(Salary[[#This Row],[PaymentMethod]],Tax[PaymentMethod], 0))</f>
        <v>4482.7586206896549</v>
      </c>
      <c r="R72" s="6">
        <f>Salary[[#This Row],[SalaryOfficial]]*INDEX(Tax[Взносы],MATCH(Salary[[#This Row],[PaymentMethod]],Tax[PaymentMethod],0))</f>
        <v>10413.793103448277</v>
      </c>
      <c r="S72" s="6">
        <f>Salary[[#This Row],[Salary]]+Salary[[#This Row],[НДФЛ]]+Salary[[#This Row],[Фонды]]</f>
        <v>44896.551724137928</v>
      </c>
      <c r="T72" s="6">
        <f>Salary[[#This Row],[ЗП+НДФЛ+Фонды]]/(1-INDEX(Tax[УСН или Прибыль],MATCH(Salary[[#This Row],[PaymentMethod]],Tax[PaymentMethod],0)))</f>
        <v>44896.551724137928</v>
      </c>
      <c r="U72" s="6">
        <f>Salary[[#This Row],[Прибыль]]*INDEX(Tax[УСН или Прибыль],MATCH(Salary[[#This Row],[PaymentMethod]],Tax[PaymentMethod],0))</f>
        <v>0</v>
      </c>
      <c r="V72" s="6">
        <f>Salary[[#This Row],[Прибыль]]*INDEX(Tax[НДС],MATCH(Salary[[#This Row],[PaymentMethod]],Tax[PaymentMethod],0))</f>
        <v>8979.3103448275851</v>
      </c>
    </row>
    <row r="73" spans="1:22" x14ac:dyDescent="0.25">
      <c r="A73">
        <v>72</v>
      </c>
      <c r="B73" s="91">
        <v>44593</v>
      </c>
      <c r="C73" s="2" t="s">
        <v>419</v>
      </c>
      <c r="D73" s="666">
        <f>SUMIF(Positions[Positions],Salary[[#This Row],[Position]],Positions[Grade])</f>
        <v>100</v>
      </c>
      <c r="E73" t="s">
        <v>2478</v>
      </c>
      <c r="F73" s="31">
        <v>0</v>
      </c>
      <c r="G73" s="135">
        <f>ROUND(Salary[[#This Row],[Salary]]/160,0)</f>
        <v>0</v>
      </c>
      <c r="H73">
        <v>0</v>
      </c>
      <c r="I73" s="31">
        <f>Salary[[#This Row],[FTE]]*Salary[[#This Row],[Salary]]</f>
        <v>0</v>
      </c>
      <c r="J73" s="741">
        <f>INDEX(GradesAndSalaries[],MATCH(Salary[[#This Row],[Grade]],GradesAndSalaries[Grade],0),MATCH(Employee[[#Headers],[Base Budgeting COST]],GradesAndSalaries[#Headers],0))</f>
        <v>0</v>
      </c>
      <c r="L73" s="6" t="e">
        <f>Salary[[#This Row],[Salary]]/(1-INDEX(Tax[НДФЛ],MATCH(Salary[[#This Row],[PaymentMethod]],Tax[PaymentMethod])))</f>
        <v>#N/A</v>
      </c>
      <c r="N73" t="e">
        <f>Salary[[#This Row],[НДФЛ]]+Salary[[#This Row],[Фонды]]+Salary[[#This Row],[Налог на прибыль]]+Salary[[#This Row],[НДС]]</f>
        <v>#N/A</v>
      </c>
      <c r="O73" t="e">
        <f>Salary[[#This Row],[Salary]]+Salary[[#This Row],[Полный Налог]]</f>
        <v>#N/A</v>
      </c>
      <c r="P73" t="e">
        <f>Salary[[#This Row],[Полный Налог]]/Salary[[#This Row],[Salary]]</f>
        <v>#N/A</v>
      </c>
      <c r="Q73" t="e">
        <f>Salary[[#This Row],[SalaryOfficial]]*INDEX(Tax[НДФЛ],MATCH(Salary[[#This Row],[PaymentMethod]],Tax[PaymentMethod], 0))</f>
        <v>#N/A</v>
      </c>
      <c r="R73" t="e">
        <f>Salary[[#This Row],[SalaryOfficial]]*INDEX(Tax[Взносы],MATCH(Salary[[#This Row],[PaymentMethod]],Tax[PaymentMethod],0))</f>
        <v>#N/A</v>
      </c>
      <c r="S73" t="e">
        <f>Salary[[#This Row],[Salary]]+Salary[[#This Row],[НДФЛ]]+Salary[[#This Row],[Фонды]]</f>
        <v>#N/A</v>
      </c>
      <c r="T73" t="e">
        <f>Salary[[#This Row],[ЗП+НДФЛ+Фонды]]/(1-INDEX(Tax[УСН или Прибыль],MATCH(Salary[[#This Row],[PaymentMethod]],Tax[PaymentMethod],0)))</f>
        <v>#N/A</v>
      </c>
      <c r="U73" t="e">
        <f>Salary[[#This Row],[Прибыль]]*INDEX(Tax[УСН или Прибыль],MATCH(Salary[[#This Row],[PaymentMethod]],Tax[PaymentMethod],0))</f>
        <v>#N/A</v>
      </c>
      <c r="V73" t="e">
        <f>Salary[[#This Row],[Прибыль]]*INDEX(Tax[НДС],MATCH(Salary[[#This Row],[PaymentMethod]],Tax[PaymentMethod],0))</f>
        <v>#N/A</v>
      </c>
    </row>
    <row r="74" spans="1:22" x14ac:dyDescent="0.25">
      <c r="A74">
        <v>73</v>
      </c>
      <c r="B74" s="91">
        <v>44621</v>
      </c>
      <c r="C74" s="2" t="s">
        <v>95</v>
      </c>
      <c r="D74">
        <f>SUMIF(Positions[Positions],Salary[[#This Row],[Position]],Positions[Grade])</f>
        <v>101</v>
      </c>
      <c r="E74" t="s">
        <v>2634</v>
      </c>
      <c r="F74" s="31">
        <v>34000</v>
      </c>
      <c r="G74" s="135">
        <f>ROUND(Salary[[#This Row],[Salary]]/160,0)</f>
        <v>213</v>
      </c>
      <c r="H74">
        <v>0.7</v>
      </c>
      <c r="I74" s="31">
        <f>Salary[[#This Row],[FTE]]*Salary[[#This Row],[Salary]]</f>
        <v>23800</v>
      </c>
      <c r="J74" s="31">
        <f>INDEX(GradesAndSalaries[],MATCH(Salary[[#This Row],[Grade]],GradesAndSalaries[Grade],0),MATCH(Employee[[#Headers],[Base Budgeting COST]],GradesAndSalaries[#Headers],0))</f>
        <v>625</v>
      </c>
      <c r="L74" s="6">
        <f>Salary[[#This Row],[Salary]]/(1-INDEX(Tax[НДФЛ],MATCH(Salary[[#This Row],[PaymentMethod]],Tax[PaymentMethod])))</f>
        <v>39080.45977011494</v>
      </c>
      <c r="M74" t="s">
        <v>1623</v>
      </c>
      <c r="N74" s="6">
        <f>Salary[[#This Row],[НДФЛ]]+Salary[[#This Row],[Фонды]]+Salary[[#This Row],[Налог на прибыль]]+Salary[[#This Row],[НДС]]</f>
        <v>27059.310344827587</v>
      </c>
      <c r="O74" s="6">
        <f>Salary[[#This Row],[Salary]]+Salary[[#This Row],[Полный Налог]]</f>
        <v>61059.310344827587</v>
      </c>
      <c r="P74" s="6">
        <f>Salary[[#This Row],[Полный Налог]]/Salary[[#This Row],[Salary]]</f>
        <v>0.79586206896551726</v>
      </c>
      <c r="Q74" s="6">
        <f>Salary[[#This Row],[SalaryOfficial]]*INDEX(Tax[НДФЛ],MATCH(Salary[[#This Row],[PaymentMethod]],Tax[PaymentMethod], 0))</f>
        <v>5080.4597701149423</v>
      </c>
      <c r="R74" s="6">
        <f>Salary[[#This Row],[SalaryOfficial]]*INDEX(Tax[Взносы],MATCH(Salary[[#This Row],[PaymentMethod]],Tax[PaymentMethod],0))</f>
        <v>11802.298850574714</v>
      </c>
      <c r="S74" s="6">
        <f>Salary[[#This Row],[Salary]]+Salary[[#This Row],[НДФЛ]]+Salary[[#This Row],[Фонды]]</f>
        <v>50882.758620689652</v>
      </c>
      <c r="T74" s="6">
        <f>Salary[[#This Row],[ЗП+НДФЛ+Фонды]]/(1-INDEX(Tax[УСН или Прибыль],MATCH(Salary[[#This Row],[PaymentMethod]],Tax[PaymentMethod],0)))</f>
        <v>50882.758620689652</v>
      </c>
      <c r="U74" s="6">
        <f>Salary[[#This Row],[Прибыль]]*INDEX(Tax[УСН или Прибыль],MATCH(Salary[[#This Row],[PaymentMethod]],Tax[PaymentMethod],0))</f>
        <v>0</v>
      </c>
      <c r="V74" s="6">
        <f>Salary[[#This Row],[Прибыль]]*INDEX(Tax[НДС],MATCH(Salary[[#This Row],[PaymentMethod]],Tax[PaymentMethod],0))</f>
        <v>10176.551724137931</v>
      </c>
    </row>
    <row r="75" spans="1:22" x14ac:dyDescent="0.25">
      <c r="A75">
        <v>74</v>
      </c>
      <c r="B75" s="91">
        <v>44621</v>
      </c>
      <c r="C75" s="2" t="s">
        <v>430</v>
      </c>
      <c r="D75">
        <f>SUMIF(Positions[Positions],Salary[[#This Row],[Position]],Positions[Grade])</f>
        <v>303</v>
      </c>
      <c r="E75" t="s">
        <v>262</v>
      </c>
      <c r="F75" s="31">
        <v>132500</v>
      </c>
      <c r="G75" s="135">
        <f>ROUND(Salary[[#This Row],[Salary]]/160,0)</f>
        <v>828</v>
      </c>
      <c r="H75">
        <v>1</v>
      </c>
      <c r="I75" s="31">
        <f>Salary[[#This Row],[FTE]]*Salary[[#This Row],[Salary]]</f>
        <v>132500</v>
      </c>
      <c r="J75" s="521">
        <f>INDEX(GradesAndSalaries[],MATCH(Salary[[#This Row],[Grade]],GradesAndSalaries[Grade],0),MATCH(Employee[[#Headers],[Base Budgeting COST]],GradesAndSalaries[#Headers],0))</f>
        <v>2323</v>
      </c>
      <c r="L75" s="6">
        <f>Salary[[#This Row],[Salary]]/(1-INDEX(Tax[НДФЛ],MATCH(Salary[[#This Row],[PaymentMethod]],Tax[PaymentMethod])))</f>
        <v>132500</v>
      </c>
      <c r="M75" t="s">
        <v>710</v>
      </c>
      <c r="N75" s="6">
        <f>Salary[[#This Row],[НДФЛ]]+Salary[[#This Row],[Фонды]]+Salary[[#This Row],[Налог на прибыль]]+Salary[[#This Row],[НДС]]</f>
        <v>38467.741935483871</v>
      </c>
      <c r="O75" s="6">
        <f>Salary[[#This Row],[Salary]]+Salary[[#This Row],[Полный Налог]]</f>
        <v>170967.74193548388</v>
      </c>
      <c r="P75" s="6">
        <f>Salary[[#This Row],[Полный Налог]]/Salary[[#This Row],[Salary]]</f>
        <v>0.29032258064516131</v>
      </c>
      <c r="Q75" s="6">
        <f>Salary[[#This Row],[SalaryOfficial]]*INDEX(Tax[НДФЛ],MATCH(Salary[[#This Row],[PaymentMethod]],Tax[PaymentMethod], 0))</f>
        <v>0</v>
      </c>
      <c r="R75" s="6">
        <f>Salary[[#This Row],[SalaryOfficial]]*INDEX(Tax[Взносы],MATCH(Salary[[#This Row],[PaymentMethod]],Tax[PaymentMethod],0))</f>
        <v>0</v>
      </c>
      <c r="S75" s="6">
        <f>Salary[[#This Row],[Salary]]+Salary[[#This Row],[НДФЛ]]+Salary[[#This Row],[Фонды]]</f>
        <v>132500</v>
      </c>
      <c r="T75" s="6">
        <f>Salary[[#This Row],[ЗП+НДФЛ+Фонды]]/(1-INDEX(Tax[УСН или Прибыль],MATCH(Salary[[#This Row],[PaymentMethod]],Tax[PaymentMethod],0)))</f>
        <v>142473.1182795699</v>
      </c>
      <c r="U75" s="6">
        <f>Salary[[#This Row],[Прибыль]]*INDEX(Tax[УСН или Прибыль],MATCH(Salary[[#This Row],[PaymentMethod]],Tax[PaymentMethod],0))</f>
        <v>9973.1182795698933</v>
      </c>
      <c r="V75" s="6">
        <f>Salary[[#This Row],[Прибыль]]*INDEX(Tax[НДС],MATCH(Salary[[#This Row],[PaymentMethod]],Tax[PaymentMethod],0))</f>
        <v>28494.62365591398</v>
      </c>
    </row>
    <row r="76" spans="1:22" x14ac:dyDescent="0.25">
      <c r="A76">
        <v>75</v>
      </c>
      <c r="B76" s="91">
        <v>44621</v>
      </c>
      <c r="C76" s="2" t="s">
        <v>432</v>
      </c>
      <c r="D76">
        <f>SUMIF(Positions[Positions],Salary[[#This Row],[Position]],Positions[Grade])</f>
        <v>402</v>
      </c>
      <c r="E76" t="s">
        <v>72</v>
      </c>
      <c r="F76" s="31">
        <v>202750</v>
      </c>
      <c r="G76" s="135">
        <f>ROUND(Salary[[#This Row],[Salary]]/160,0)</f>
        <v>1267</v>
      </c>
      <c r="H76">
        <v>1</v>
      </c>
      <c r="I76" s="31">
        <f>Salary[[#This Row],[FTE]]*Salary[[#This Row],[Salary]]</f>
        <v>202750</v>
      </c>
      <c r="J76" s="556">
        <f>INDEX(GradesAndSalaries[],MATCH(Salary[[#This Row],[Grade]],GradesAndSalaries[Grade],0),MATCH(Employee[[#Headers],[Base Budgeting COST]],GradesAndSalaries[#Headers],0))</f>
        <v>4449</v>
      </c>
      <c r="L76" s="6">
        <f>Salary[[#This Row],[Salary]]/(1-INDEX(Tax[НДФЛ],MATCH(Salary[[#This Row],[PaymentMethod]],Tax[PaymentMethod])))</f>
        <v>202750</v>
      </c>
      <c r="M76" t="s">
        <v>710</v>
      </c>
      <c r="N76" s="6">
        <f>Salary[[#This Row],[НДФЛ]]+Salary[[#This Row],[Фонды]]+Salary[[#This Row],[Налог на прибыль]]+Salary[[#This Row],[НДС]]</f>
        <v>58862.903225806462</v>
      </c>
      <c r="O76" s="6">
        <f>Salary[[#This Row],[Salary]]+Salary[[#This Row],[Полный Налог]]</f>
        <v>261612.90322580645</v>
      </c>
      <c r="P76" s="6">
        <f>Salary[[#This Row],[Полный Налог]]/Salary[[#This Row],[Salary]]</f>
        <v>0.29032258064516137</v>
      </c>
      <c r="Q76" s="6">
        <f>Salary[[#This Row],[SalaryOfficial]]*INDEX(Tax[НДФЛ],MATCH(Salary[[#This Row],[PaymentMethod]],Tax[PaymentMethod], 0))</f>
        <v>0</v>
      </c>
      <c r="R76" s="6">
        <f>Salary[[#This Row],[SalaryOfficial]]*INDEX(Tax[Взносы],MATCH(Salary[[#This Row],[PaymentMethod]],Tax[PaymentMethod],0))</f>
        <v>0</v>
      </c>
      <c r="S76" s="6">
        <f>Salary[[#This Row],[Salary]]+Salary[[#This Row],[НДФЛ]]+Salary[[#This Row],[Фонды]]</f>
        <v>202750</v>
      </c>
      <c r="T76" s="6">
        <f>Salary[[#This Row],[ЗП+НДФЛ+Фонды]]/(1-INDEX(Tax[УСН или Прибыль],MATCH(Salary[[#This Row],[PaymentMethod]],Tax[PaymentMethod],0)))</f>
        <v>218010.75268817207</v>
      </c>
      <c r="U76" s="6">
        <f>Salary[[#This Row],[Прибыль]]*INDEX(Tax[УСН или Прибыль],MATCH(Salary[[#This Row],[PaymentMethod]],Tax[PaymentMethod],0))</f>
        <v>15260.752688172046</v>
      </c>
      <c r="V76" s="6">
        <f>Salary[[#This Row],[Прибыль]]*INDEX(Tax[НДС],MATCH(Salary[[#This Row],[PaymentMethod]],Tax[PaymentMethod],0))</f>
        <v>43602.150537634414</v>
      </c>
    </row>
    <row r="77" spans="1:22" x14ac:dyDescent="0.25">
      <c r="A77">
        <v>76</v>
      </c>
      <c r="B77" s="91">
        <v>44621</v>
      </c>
      <c r="C77" s="2" t="s">
        <v>419</v>
      </c>
      <c r="D77" s="666">
        <f>SUMIF(Positions[Positions],Salary[[#This Row],[Position]],Positions[Grade])</f>
        <v>100</v>
      </c>
      <c r="E77" t="s">
        <v>1562</v>
      </c>
      <c r="F77" s="31">
        <v>0</v>
      </c>
      <c r="G77" s="135">
        <f>ROUND(Salary[[#This Row],[Salary]]/160,0)</f>
        <v>0</v>
      </c>
      <c r="H77">
        <v>0</v>
      </c>
      <c r="I77" s="31">
        <f>Salary[[#This Row],[FTE]]*Salary[[#This Row],[Salary]]</f>
        <v>0</v>
      </c>
      <c r="J77" s="741">
        <f>INDEX(GradesAndSalaries[],MATCH(Salary[[#This Row],[Grade]],GradesAndSalaries[Grade],0),MATCH(Employee[[#Headers],[Base Budgeting COST]],GradesAndSalaries[#Headers],0))</f>
        <v>0</v>
      </c>
      <c r="L77" s="6" t="e">
        <f>Salary[[#This Row],[Salary]]/(1-INDEX(Tax[НДФЛ],MATCH(Salary[[#This Row],[PaymentMethod]],Tax[PaymentMethod])))</f>
        <v>#N/A</v>
      </c>
      <c r="N77" t="e">
        <f>Salary[[#This Row],[НДФЛ]]+Salary[[#This Row],[Фонды]]+Salary[[#This Row],[Налог на прибыль]]+Salary[[#This Row],[НДС]]</f>
        <v>#N/A</v>
      </c>
      <c r="O77" t="e">
        <f>Salary[[#This Row],[Salary]]+Salary[[#This Row],[Полный Налог]]</f>
        <v>#N/A</v>
      </c>
      <c r="P77" t="e">
        <f>Salary[[#This Row],[Полный Налог]]/Salary[[#This Row],[Salary]]</f>
        <v>#N/A</v>
      </c>
      <c r="Q77" t="e">
        <f>Salary[[#This Row],[SalaryOfficial]]*INDEX(Tax[НДФЛ],MATCH(Salary[[#This Row],[PaymentMethod]],Tax[PaymentMethod], 0))</f>
        <v>#N/A</v>
      </c>
      <c r="R77" t="e">
        <f>Salary[[#This Row],[SalaryOfficial]]*INDEX(Tax[Взносы],MATCH(Salary[[#This Row],[PaymentMethod]],Tax[PaymentMethod],0))</f>
        <v>#N/A</v>
      </c>
      <c r="S77" t="e">
        <f>Salary[[#This Row],[Salary]]+Salary[[#This Row],[НДФЛ]]+Salary[[#This Row],[Фонды]]</f>
        <v>#N/A</v>
      </c>
      <c r="T77" t="e">
        <f>Salary[[#This Row],[ЗП+НДФЛ+Фонды]]/(1-INDEX(Tax[УСН или Прибыль],MATCH(Salary[[#This Row],[PaymentMethod]],Tax[PaymentMethod],0)))</f>
        <v>#N/A</v>
      </c>
      <c r="U77" t="e">
        <f>Salary[[#This Row],[Прибыль]]*INDEX(Tax[УСН или Прибыль],MATCH(Salary[[#This Row],[PaymentMethod]],Tax[PaymentMethod],0))</f>
        <v>#N/A</v>
      </c>
      <c r="V77" t="e">
        <f>Salary[[#This Row],[Прибыль]]*INDEX(Tax[НДС],MATCH(Salary[[#This Row],[PaymentMethod]],Tax[PaymentMethod],0))</f>
        <v>#N/A</v>
      </c>
    </row>
    <row r="78" spans="1:22" x14ac:dyDescent="0.25">
      <c r="A78">
        <v>77</v>
      </c>
      <c r="B78" s="91">
        <v>44635</v>
      </c>
      <c r="C78" s="2" t="s">
        <v>95</v>
      </c>
      <c r="D78">
        <f>SUMIF(Positions[Positions],Salary[[#This Row],[Position]],Positions[Grade])</f>
        <v>101</v>
      </c>
      <c r="E78" t="s">
        <v>2815</v>
      </c>
      <c r="F78" s="31">
        <v>30000</v>
      </c>
      <c r="G78" s="135">
        <f>ROUND(Salary[[#This Row],[Salary]]/160,0)</f>
        <v>188</v>
      </c>
      <c r="H78">
        <v>1</v>
      </c>
      <c r="I78" s="31">
        <f>Salary[[#This Row],[FTE]]*Salary[[#This Row],[Salary]]</f>
        <v>30000</v>
      </c>
      <c r="J78" s="489">
        <f>INDEX(GradesAndSalaries[],MATCH(Salary[[#This Row],[Grade]],GradesAndSalaries[Grade],0),MATCH(Employee[[#Headers],[Base Budgeting COST]],GradesAndSalaries[#Headers],0))</f>
        <v>625</v>
      </c>
      <c r="L78" s="6">
        <f>Salary[[#This Row],[Salary]]/(1-INDEX(Tax[НДФЛ],MATCH(Salary[[#This Row],[PaymentMethod]],Tax[PaymentMethod])))</f>
        <v>34482.758620689652</v>
      </c>
      <c r="M78" t="s">
        <v>1623</v>
      </c>
      <c r="N78" s="6">
        <f>Salary[[#This Row],[НДФЛ]]+Salary[[#This Row],[Фонды]]+Salary[[#This Row],[Налог на прибыль]]+Salary[[#This Row],[НДС]]</f>
        <v>23875.862068965514</v>
      </c>
      <c r="O78" s="6">
        <f>Salary[[#This Row],[Salary]]+Salary[[#This Row],[Полный Налог]]</f>
        <v>53875.862068965514</v>
      </c>
      <c r="P78" s="6">
        <f>Salary[[#This Row],[Полный Налог]]/Salary[[#This Row],[Salary]]</f>
        <v>0.79586206896551714</v>
      </c>
      <c r="Q78" s="6">
        <f>Salary[[#This Row],[SalaryOfficial]]*INDEX(Tax[НДФЛ],MATCH(Salary[[#This Row],[PaymentMethod]],Tax[PaymentMethod], 0))</f>
        <v>4482.7586206896549</v>
      </c>
      <c r="R78" s="6">
        <f>Salary[[#This Row],[SalaryOfficial]]*INDEX(Tax[Взносы],MATCH(Salary[[#This Row],[PaymentMethod]],Tax[PaymentMethod],0))</f>
        <v>10413.793103448277</v>
      </c>
      <c r="S78" s="6">
        <f>Salary[[#This Row],[Salary]]+Salary[[#This Row],[НДФЛ]]+Salary[[#This Row],[Фонды]]</f>
        <v>44896.551724137928</v>
      </c>
      <c r="T78" s="6">
        <f>Salary[[#This Row],[ЗП+НДФЛ+Фонды]]/(1-INDEX(Tax[УСН или Прибыль],MATCH(Salary[[#This Row],[PaymentMethod]],Tax[PaymentMethod],0)))</f>
        <v>44896.551724137928</v>
      </c>
      <c r="U78" s="6">
        <f>Salary[[#This Row],[Прибыль]]*INDEX(Tax[УСН или Прибыль],MATCH(Salary[[#This Row],[PaymentMethod]],Tax[PaymentMethod],0))</f>
        <v>0</v>
      </c>
      <c r="V78" s="6">
        <f>Salary[[#This Row],[Прибыль]]*INDEX(Tax[НДС],MATCH(Salary[[#This Row],[PaymentMethod]],Tax[PaymentMethod],0))</f>
        <v>8979.3103448275851</v>
      </c>
    </row>
    <row r="79" spans="1:22" x14ac:dyDescent="0.25">
      <c r="A79">
        <v>78</v>
      </c>
      <c r="B79" s="91">
        <v>44644</v>
      </c>
      <c r="C79" s="2" t="s">
        <v>418</v>
      </c>
      <c r="D79">
        <f>SUMIF(Positions[Positions],Salary[[#This Row],[Position]],Positions[Grade])</f>
        <v>202</v>
      </c>
      <c r="E79" t="s">
        <v>2709</v>
      </c>
      <c r="F79" s="31">
        <v>58000</v>
      </c>
      <c r="G79" s="135">
        <f>ROUND(Salary[[#This Row],[Salary]]/160,0)</f>
        <v>363</v>
      </c>
      <c r="H79">
        <v>1</v>
      </c>
      <c r="I79" s="31">
        <f>Salary[[#This Row],[FTE]]*Salary[[#This Row],[Salary]]</f>
        <v>58000</v>
      </c>
      <c r="J79" s="458">
        <f>INDEX(GradesAndSalaries[],MATCH(Salary[[#This Row],[Grade]],GradesAndSalaries[Grade],0),MATCH(Employee[[#Headers],[Base Budgeting COST]],GradesAndSalaries[#Headers],0))</f>
        <v>875</v>
      </c>
      <c r="L79" s="6">
        <f>Salary[[#This Row],[Salary]]/(1-INDEX(Tax[НДФЛ],MATCH(Salary[[#This Row],[PaymentMethod]],Tax[PaymentMethod])))</f>
        <v>66666.666666666672</v>
      </c>
      <c r="M79" t="s">
        <v>1623</v>
      </c>
      <c r="N79" s="6">
        <f>Salary[[#This Row],[НДФЛ]]+Salary[[#This Row],[Фонды]]+Salary[[#This Row],[Налог на прибыль]]+Salary[[#This Row],[НДС]]</f>
        <v>46160.000000000015</v>
      </c>
      <c r="O79" s="6">
        <f>Salary[[#This Row],[Salary]]+Salary[[#This Row],[Полный Налог]]</f>
        <v>104160.00000000001</v>
      </c>
      <c r="P79" s="6">
        <f>Salary[[#This Row],[Полный Налог]]/Salary[[#This Row],[Salary]]</f>
        <v>0.79586206896551748</v>
      </c>
      <c r="Q79" s="6">
        <f>Salary[[#This Row],[SalaryOfficial]]*INDEX(Tax[НДФЛ],MATCH(Salary[[#This Row],[PaymentMethod]],Tax[PaymentMethod], 0))</f>
        <v>8666.6666666666679</v>
      </c>
      <c r="R79" s="6">
        <f>Salary[[#This Row],[SalaryOfficial]]*INDEX(Tax[Взносы],MATCH(Salary[[#This Row],[PaymentMethod]],Tax[PaymentMethod],0))</f>
        <v>20133.333333333339</v>
      </c>
      <c r="S79" s="6">
        <f>Salary[[#This Row],[Salary]]+Salary[[#This Row],[НДФЛ]]+Salary[[#This Row],[Фонды]]</f>
        <v>86800.000000000015</v>
      </c>
      <c r="T79" s="6">
        <f>Salary[[#This Row],[ЗП+НДФЛ+Фонды]]/(1-INDEX(Tax[УСН или Прибыль],MATCH(Salary[[#This Row],[PaymentMethod]],Tax[PaymentMethod],0)))</f>
        <v>86800.000000000015</v>
      </c>
      <c r="U79" s="6">
        <f>Salary[[#This Row],[Прибыль]]*INDEX(Tax[УСН или Прибыль],MATCH(Salary[[#This Row],[PaymentMethod]],Tax[PaymentMethod],0))</f>
        <v>0</v>
      </c>
      <c r="V79" s="6">
        <f>Salary[[#This Row],[Прибыль]]*INDEX(Tax[НДС],MATCH(Salary[[#This Row],[PaymentMethod]],Tax[PaymentMethod],0))</f>
        <v>17360.000000000004</v>
      </c>
    </row>
    <row r="80" spans="1:22" x14ac:dyDescent="0.25">
      <c r="A80">
        <v>79</v>
      </c>
      <c r="B80" s="91">
        <v>44662</v>
      </c>
      <c r="C80" s="2" t="s">
        <v>430</v>
      </c>
      <c r="D80">
        <f>SUMIF(Positions[Positions],Salary[[#This Row],[Position]],Positions[Grade])</f>
        <v>303</v>
      </c>
      <c r="E80" t="s">
        <v>2787</v>
      </c>
      <c r="F80" s="31">
        <v>111500</v>
      </c>
      <c r="G80" s="135">
        <f>ROUND(Salary[[#This Row],[Salary]]/160,0)</f>
        <v>697</v>
      </c>
      <c r="H80">
        <v>0</v>
      </c>
      <c r="I80" s="31">
        <f>Salary[[#This Row],[FTE]]*Salary[[#This Row],[Salary]]</f>
        <v>0</v>
      </c>
      <c r="J80" s="494">
        <f>INDEX(GradesAndSalaries[],MATCH(Salary[[#This Row],[Grade]],GradesAndSalaries[Grade],0),MATCH(Employee[[#Headers],[Base Budgeting COST]],GradesAndSalaries[#Headers],0))</f>
        <v>2323</v>
      </c>
      <c r="L80" s="6">
        <f>Salary[[#This Row],[Salary]]/(1-INDEX(Tax[НДФЛ],MATCH(Salary[[#This Row],[PaymentMethod]],Tax[PaymentMethod])))</f>
        <v>128160.91954022988</v>
      </c>
      <c r="M80" t="s">
        <v>1623</v>
      </c>
      <c r="N80" s="6">
        <f>Salary[[#This Row],[НДФЛ]]+Salary[[#This Row],[Фонды]]+Salary[[#This Row],[Налог на прибыль]]+Salary[[#This Row],[НДС]]</f>
        <v>88738.620689655188</v>
      </c>
      <c r="O80" s="6">
        <f>Salary[[#This Row],[Salary]]+Salary[[#This Row],[Полный Налог]]</f>
        <v>200238.62068965519</v>
      </c>
      <c r="P80" s="6">
        <f>Salary[[#This Row],[Полный Налог]]/Salary[[#This Row],[Salary]]</f>
        <v>0.79586206896551737</v>
      </c>
      <c r="Q80" s="6">
        <f>Salary[[#This Row],[SalaryOfficial]]*INDEX(Tax[НДФЛ],MATCH(Salary[[#This Row],[PaymentMethod]],Tax[PaymentMethod], 0))</f>
        <v>16660.919540229886</v>
      </c>
      <c r="R80" s="6">
        <f>Salary[[#This Row],[SalaryOfficial]]*INDEX(Tax[Взносы],MATCH(Salary[[#This Row],[PaymentMethod]],Tax[PaymentMethod],0))</f>
        <v>38704.597701149432</v>
      </c>
      <c r="S80" s="6">
        <f>Salary[[#This Row],[Salary]]+Salary[[#This Row],[НДФЛ]]+Salary[[#This Row],[Фонды]]</f>
        <v>166865.51724137933</v>
      </c>
      <c r="T80" s="6">
        <f>Salary[[#This Row],[ЗП+НДФЛ+Фонды]]/(1-INDEX(Tax[УСН или Прибыль],MATCH(Salary[[#This Row],[PaymentMethod]],Tax[PaymentMethod],0)))</f>
        <v>166865.51724137933</v>
      </c>
      <c r="U80" s="6">
        <f>Salary[[#This Row],[Прибыль]]*INDEX(Tax[УСН или Прибыль],MATCH(Salary[[#This Row],[PaymentMethod]],Tax[PaymentMethod],0))</f>
        <v>0</v>
      </c>
      <c r="V80" s="6">
        <f>Salary[[#This Row],[Прибыль]]*INDEX(Tax[НДС],MATCH(Salary[[#This Row],[PaymentMethod]],Tax[PaymentMethod],0))</f>
        <v>33373.10344827587</v>
      </c>
    </row>
    <row r="81" spans="1:22" x14ac:dyDescent="0.25">
      <c r="A81">
        <v>80</v>
      </c>
      <c r="B81" s="91">
        <v>44666</v>
      </c>
      <c r="C81" s="2" t="s">
        <v>419</v>
      </c>
      <c r="D81" s="666">
        <f>SUMIF(Positions[Positions],Salary[[#This Row],[Position]],Positions[Grade])</f>
        <v>100</v>
      </c>
      <c r="E81" t="s">
        <v>2787</v>
      </c>
      <c r="F81" s="31"/>
      <c r="G81" s="135">
        <f>ROUND(Salary[[#This Row],[Salary]]/160,0)</f>
        <v>0</v>
      </c>
      <c r="I81" s="31">
        <f>Salary[[#This Row],[FTE]]*Salary[[#This Row],[Salary]]</f>
        <v>0</v>
      </c>
      <c r="J81" s="741">
        <f>INDEX(GradesAndSalaries[],MATCH(Salary[[#This Row],[Grade]],GradesAndSalaries[Grade],0),MATCH(Employee[[#Headers],[Base Budgeting COST]],GradesAndSalaries[#Headers],0))</f>
        <v>0</v>
      </c>
      <c r="L81" s="6" t="e">
        <f>Salary[[#This Row],[Salary]]/(1-INDEX(Tax[НДФЛ],MATCH(Salary[[#This Row],[PaymentMethod]],Tax[PaymentMethod])))</f>
        <v>#N/A</v>
      </c>
      <c r="N81" t="e">
        <f>Salary[[#This Row],[НДФЛ]]+Salary[[#This Row],[Фонды]]+Salary[[#This Row],[Налог на прибыль]]+Salary[[#This Row],[НДС]]</f>
        <v>#N/A</v>
      </c>
      <c r="O81" t="e">
        <f>Salary[[#This Row],[Salary]]+Salary[[#This Row],[Полный Налог]]</f>
        <v>#N/A</v>
      </c>
      <c r="P81" t="e">
        <f>Salary[[#This Row],[Полный Налог]]/Salary[[#This Row],[Salary]]</f>
        <v>#N/A</v>
      </c>
      <c r="Q81" t="e">
        <f>Salary[[#This Row],[SalaryOfficial]]*INDEX(Tax[НДФЛ],MATCH(Salary[[#This Row],[PaymentMethod]],Tax[PaymentMethod], 0))</f>
        <v>#N/A</v>
      </c>
      <c r="R81" t="e">
        <f>Salary[[#This Row],[SalaryOfficial]]*INDEX(Tax[Взносы],MATCH(Salary[[#This Row],[PaymentMethod]],Tax[PaymentMethod],0))</f>
        <v>#N/A</v>
      </c>
      <c r="S81" t="e">
        <f>Salary[[#This Row],[Salary]]+Salary[[#This Row],[НДФЛ]]+Salary[[#This Row],[Фонды]]</f>
        <v>#N/A</v>
      </c>
      <c r="T81" t="e">
        <f>Salary[[#This Row],[ЗП+НДФЛ+Фонды]]/(1-INDEX(Tax[УСН или Прибыль],MATCH(Salary[[#This Row],[PaymentMethod]],Tax[PaymentMethod],0)))</f>
        <v>#N/A</v>
      </c>
      <c r="U81" t="e">
        <f>Salary[[#This Row],[Прибыль]]*INDEX(Tax[УСН или Прибыль],MATCH(Salary[[#This Row],[PaymentMethod]],Tax[PaymentMethod],0))</f>
        <v>#N/A</v>
      </c>
      <c r="V81" t="e">
        <f>Salary[[#This Row],[Прибыль]]*INDEX(Tax[НДС],MATCH(Salary[[#This Row],[PaymentMethod]],Tax[PaymentMethod],0))</f>
        <v>#N/A</v>
      </c>
    </row>
    <row r="82" spans="1:22" x14ac:dyDescent="0.25">
      <c r="A82">
        <v>81</v>
      </c>
      <c r="B82" s="91">
        <v>44682</v>
      </c>
      <c r="C82" s="2" t="s">
        <v>95</v>
      </c>
      <c r="D82">
        <f>SUMIF(Positions[Positions],Salary[[#This Row],[Position]],Positions[Grade])</f>
        <v>101</v>
      </c>
      <c r="E82" t="s">
        <v>2815</v>
      </c>
      <c r="F82" s="31">
        <v>30000</v>
      </c>
      <c r="G82" s="135">
        <f>ROUND(Salary[[#This Row],[Salary]]/160,0)</f>
        <v>188</v>
      </c>
      <c r="H82">
        <v>0.4</v>
      </c>
      <c r="I82" s="31">
        <f>Salary[[#This Row],[FTE]]*Salary[[#This Row],[Salary]]</f>
        <v>12000</v>
      </c>
      <c r="J82" s="31">
        <f>INDEX(GradesAndSalaries[],MATCH(Salary[[#This Row],[Grade]],GradesAndSalaries[Grade],0),MATCH(Employee[[#Headers],[Base Budgeting COST]],GradesAndSalaries[#Headers],0))</f>
        <v>625</v>
      </c>
      <c r="L82" s="6">
        <f>Salary[[#This Row],[Salary]]/(1-INDEX(Tax[НДФЛ],MATCH(Salary[[#This Row],[PaymentMethod]],Tax[PaymentMethod])))</f>
        <v>34482.758620689652</v>
      </c>
      <c r="M82" t="s">
        <v>1623</v>
      </c>
      <c r="N82" s="6">
        <f>Salary[[#This Row],[НДФЛ]]+Salary[[#This Row],[Фонды]]+Salary[[#This Row],[Налог на прибыль]]+Salary[[#This Row],[НДС]]</f>
        <v>23875.862068965514</v>
      </c>
      <c r="O82" s="6">
        <f>Salary[[#This Row],[Salary]]+Salary[[#This Row],[Полный Налог]]</f>
        <v>53875.862068965514</v>
      </c>
      <c r="P82" s="6">
        <f>Salary[[#This Row],[Полный Налог]]/Salary[[#This Row],[Salary]]</f>
        <v>0.79586206896551714</v>
      </c>
      <c r="Q82" s="6">
        <f>Salary[[#This Row],[SalaryOfficial]]*INDEX(Tax[НДФЛ],MATCH(Salary[[#This Row],[PaymentMethod]],Tax[PaymentMethod], 0))</f>
        <v>4482.7586206896549</v>
      </c>
      <c r="R82" s="6">
        <f>Salary[[#This Row],[SalaryOfficial]]*INDEX(Tax[Взносы],MATCH(Salary[[#This Row],[PaymentMethod]],Tax[PaymentMethod],0))</f>
        <v>10413.793103448277</v>
      </c>
      <c r="S82" s="6">
        <f>Salary[[#This Row],[Salary]]+Salary[[#This Row],[НДФЛ]]+Salary[[#This Row],[Фонды]]</f>
        <v>44896.551724137928</v>
      </c>
      <c r="T82" s="6">
        <f>Salary[[#This Row],[ЗП+НДФЛ+Фонды]]/(1-INDEX(Tax[УСН или Прибыль],MATCH(Salary[[#This Row],[PaymentMethod]],Tax[PaymentMethod],0)))</f>
        <v>44896.551724137928</v>
      </c>
      <c r="U82" s="6">
        <f>Salary[[#This Row],[Прибыль]]*INDEX(Tax[УСН или Прибыль],MATCH(Salary[[#This Row],[PaymentMethod]],Tax[PaymentMethod],0))</f>
        <v>0</v>
      </c>
      <c r="V82" s="6">
        <f>Salary[[#This Row],[Прибыль]]*INDEX(Tax[НДС],MATCH(Salary[[#This Row],[PaymentMethod]],Tax[PaymentMethod],0))</f>
        <v>8979.3103448275851</v>
      </c>
    </row>
    <row r="83" spans="1:22" x14ac:dyDescent="0.25">
      <c r="A83">
        <v>82</v>
      </c>
      <c r="B83" s="91">
        <v>44682</v>
      </c>
      <c r="C83" s="2" t="s">
        <v>95</v>
      </c>
      <c r="D83">
        <f>SUMIF(Positions[Positions],Salary[[#This Row],[Position]],Positions[Grade])</f>
        <v>101</v>
      </c>
      <c r="E83" t="s">
        <v>2634</v>
      </c>
      <c r="F83" s="31">
        <v>34000</v>
      </c>
      <c r="G83" s="135">
        <f>ROUND(Salary[[#This Row],[Salary]]/160,0)</f>
        <v>213</v>
      </c>
      <c r="H83">
        <v>0.4</v>
      </c>
      <c r="I83" s="31">
        <f>Salary[[#This Row],[FTE]]*Salary[[#This Row],[Salary]]</f>
        <v>13600</v>
      </c>
      <c r="J83" s="31">
        <f>INDEX(GradesAndSalaries[],MATCH(Salary[[#This Row],[Grade]],GradesAndSalaries[Grade],0),MATCH(Employee[[#Headers],[Base Budgeting COST]],GradesAndSalaries[#Headers],0))</f>
        <v>625</v>
      </c>
      <c r="L83" s="6">
        <f>Salary[[#This Row],[Salary]]/(1-INDEX(Tax[НДФЛ],MATCH(Salary[[#This Row],[PaymentMethod]],Tax[PaymentMethod])))</f>
        <v>39080.45977011494</v>
      </c>
      <c r="M83" t="s">
        <v>1623</v>
      </c>
      <c r="N83" s="6">
        <f>Salary[[#This Row],[НДФЛ]]+Salary[[#This Row],[Фонды]]+Salary[[#This Row],[Налог на прибыль]]+Salary[[#This Row],[НДС]]</f>
        <v>27059.310344827587</v>
      </c>
      <c r="O83" s="6">
        <f>Salary[[#This Row],[Salary]]+Salary[[#This Row],[Полный Налог]]</f>
        <v>61059.310344827587</v>
      </c>
      <c r="P83" s="6">
        <f>Salary[[#This Row],[Полный Налог]]/Salary[[#This Row],[Salary]]</f>
        <v>0.79586206896551726</v>
      </c>
      <c r="Q83" s="6">
        <f>Salary[[#This Row],[SalaryOfficial]]*INDEX(Tax[НДФЛ],MATCH(Salary[[#This Row],[PaymentMethod]],Tax[PaymentMethod], 0))</f>
        <v>5080.4597701149423</v>
      </c>
      <c r="R83" s="6">
        <f>Salary[[#This Row],[SalaryOfficial]]*INDEX(Tax[Взносы],MATCH(Salary[[#This Row],[PaymentMethod]],Tax[PaymentMethod],0))</f>
        <v>11802.298850574714</v>
      </c>
      <c r="S83" s="6">
        <f>Salary[[#This Row],[Salary]]+Salary[[#This Row],[НДФЛ]]+Salary[[#This Row],[Фонды]]</f>
        <v>50882.758620689652</v>
      </c>
      <c r="T83" s="6">
        <f>Salary[[#This Row],[ЗП+НДФЛ+Фонды]]/(1-INDEX(Tax[УСН или Прибыль],MATCH(Salary[[#This Row],[PaymentMethod]],Tax[PaymentMethod],0)))</f>
        <v>50882.758620689652</v>
      </c>
      <c r="U83" s="6">
        <f>Salary[[#This Row],[Прибыль]]*INDEX(Tax[УСН или Прибыль],MATCH(Salary[[#This Row],[PaymentMethod]],Tax[PaymentMethod],0))</f>
        <v>0</v>
      </c>
      <c r="V83" s="6">
        <f>Salary[[#This Row],[Прибыль]]*INDEX(Tax[НДС],MATCH(Salary[[#This Row],[PaymentMethod]],Tax[PaymentMethod],0))</f>
        <v>10176.551724137931</v>
      </c>
    </row>
    <row r="84" spans="1:22" x14ac:dyDescent="0.25">
      <c r="A84">
        <v>83</v>
      </c>
      <c r="B84" s="91">
        <v>44738</v>
      </c>
      <c r="C84" s="2" t="s">
        <v>146</v>
      </c>
      <c r="D84">
        <f>SUMIF(Positions[Positions],Salary[[#This Row],[Position]],Positions[Grade])</f>
        <v>301</v>
      </c>
      <c r="E84" t="s">
        <v>2928</v>
      </c>
      <c r="F84" s="31">
        <v>67250</v>
      </c>
      <c r="G84" s="135">
        <f>ROUND(Salary[[#This Row],[Salary]]/160,0)</f>
        <v>420</v>
      </c>
      <c r="H84">
        <v>1</v>
      </c>
      <c r="I84" s="31">
        <f>Salary[[#This Row],[FTE]]*Salary[[#This Row],[Salary]]</f>
        <v>67250</v>
      </c>
      <c r="J84" s="521">
        <f>INDEX(GradesAndSalaries[],MATCH(Salary[[#This Row],[Grade]],GradesAndSalaries[Grade],0),MATCH(Employee[[#Headers],[Base Budgeting COST]],GradesAndSalaries[#Headers],0))</f>
        <v>1596</v>
      </c>
      <c r="L84" s="6">
        <f>Salary[[#This Row],[Salary]]/(1-INDEX(Tax[НДФЛ],MATCH(Salary[[#This Row],[PaymentMethod]],Tax[PaymentMethod])))</f>
        <v>77298.850574712647</v>
      </c>
      <c r="M84" t="s">
        <v>1623</v>
      </c>
      <c r="N84" s="6">
        <f>Salary[[#This Row],[НДФЛ]]+Salary[[#This Row],[Фонды]]+Salary[[#This Row],[Налог на прибыль]]+Salary[[#This Row],[НДС]]</f>
        <v>53521.724137931044</v>
      </c>
      <c r="O84" s="6">
        <f>Salary[[#This Row],[Salary]]+Salary[[#This Row],[Полный Налог]]</f>
        <v>120771.72413793104</v>
      </c>
      <c r="P84" s="6">
        <f>Salary[[#This Row],[Полный Налог]]/Salary[[#This Row],[Salary]]</f>
        <v>0.79586206896551737</v>
      </c>
      <c r="Q84" s="6">
        <f>Salary[[#This Row],[SalaryOfficial]]*INDEX(Tax[НДФЛ],MATCH(Salary[[#This Row],[PaymentMethod]],Tax[PaymentMethod], 0))</f>
        <v>10048.850574712644</v>
      </c>
      <c r="R84" s="6">
        <f>Salary[[#This Row],[SalaryOfficial]]*INDEX(Tax[Взносы],MATCH(Salary[[#This Row],[PaymentMethod]],Tax[PaymentMethod],0))</f>
        <v>23344.252873563222</v>
      </c>
      <c r="S84" s="6">
        <f>Salary[[#This Row],[Salary]]+Salary[[#This Row],[НДФЛ]]+Salary[[#This Row],[Фонды]]</f>
        <v>100643.10344827587</v>
      </c>
      <c r="T84" s="6">
        <f>Salary[[#This Row],[ЗП+НДФЛ+Фонды]]/(1-INDEX(Tax[УСН или Прибыль],MATCH(Salary[[#This Row],[PaymentMethod]],Tax[PaymentMethod],0)))</f>
        <v>100643.10344827587</v>
      </c>
      <c r="U84" s="6">
        <f>Salary[[#This Row],[Прибыль]]*INDEX(Tax[УСН или Прибыль],MATCH(Salary[[#This Row],[PaymentMethod]],Tax[PaymentMethod],0))</f>
        <v>0</v>
      </c>
      <c r="V84" s="6">
        <f>Salary[[#This Row],[Прибыль]]*INDEX(Tax[НДС],MATCH(Salary[[#This Row],[PaymentMethod]],Tax[PaymentMethod],0))</f>
        <v>20128.620689655174</v>
      </c>
    </row>
    <row r="85" spans="1:22" x14ac:dyDescent="0.25">
      <c r="A85">
        <v>84</v>
      </c>
      <c r="B85" s="91">
        <v>44742</v>
      </c>
      <c r="C85" s="2" t="s">
        <v>430</v>
      </c>
      <c r="D85">
        <f>SUMIF(Positions[Positions],Salary[[#This Row],[Position]],Positions[Grade])</f>
        <v>303</v>
      </c>
      <c r="E85" t="s">
        <v>2899</v>
      </c>
      <c r="F85" s="31">
        <v>132500</v>
      </c>
      <c r="G85" s="135">
        <f>ROUND(Salary[[#This Row],[Salary]]/160,0)</f>
        <v>828</v>
      </c>
      <c r="H85">
        <v>1</v>
      </c>
      <c r="I85" s="31">
        <f>Salary[[#This Row],[FTE]]*Salary[[#This Row],[Salary]]</f>
        <v>132500</v>
      </c>
      <c r="J85" s="521">
        <f>INDEX(GradesAndSalaries[],MATCH(Salary[[#This Row],[Grade]],GradesAndSalaries[Grade],0),MATCH(Employee[[#Headers],[Base Budgeting COST]],GradesAndSalaries[#Headers],0))</f>
        <v>2323</v>
      </c>
      <c r="L85" s="6">
        <f>Salary[[#This Row],[Salary]]/(1-INDEX(Tax[НДФЛ],MATCH(Salary[[#This Row],[PaymentMethod]],Tax[PaymentMethod])))</f>
        <v>152298.85057471265</v>
      </c>
      <c r="M85" t="s">
        <v>1623</v>
      </c>
      <c r="N85" s="6">
        <f>Salary[[#This Row],[НДФЛ]]+Salary[[#This Row],[Фонды]]+Salary[[#This Row],[Налог на прибыль]]+Salary[[#This Row],[НДС]]</f>
        <v>105451.72413793104</v>
      </c>
      <c r="O85" s="6">
        <f>Salary[[#This Row],[Salary]]+Salary[[#This Row],[Полный Налог]]</f>
        <v>237951.72413793104</v>
      </c>
      <c r="P85" s="6">
        <f>Salary[[#This Row],[Полный Налог]]/Salary[[#This Row],[Salary]]</f>
        <v>0.79586206896551726</v>
      </c>
      <c r="Q85" s="6">
        <f>Salary[[#This Row],[SalaryOfficial]]*INDEX(Tax[НДФЛ],MATCH(Salary[[#This Row],[PaymentMethod]],Tax[PaymentMethod], 0))</f>
        <v>19798.850574712644</v>
      </c>
      <c r="R85" s="6">
        <f>Salary[[#This Row],[SalaryOfficial]]*INDEX(Tax[Взносы],MATCH(Salary[[#This Row],[PaymentMethod]],Tax[PaymentMethod],0))</f>
        <v>45994.25287356323</v>
      </c>
      <c r="S85" s="6">
        <f>Salary[[#This Row],[Salary]]+Salary[[#This Row],[НДФЛ]]+Salary[[#This Row],[Фонды]]</f>
        <v>198293.10344827588</v>
      </c>
      <c r="T85" s="6">
        <f>Salary[[#This Row],[ЗП+НДФЛ+Фонды]]/(1-INDEX(Tax[УСН или Прибыль],MATCH(Salary[[#This Row],[PaymentMethod]],Tax[PaymentMethod],0)))</f>
        <v>198293.10344827588</v>
      </c>
      <c r="U85" s="6">
        <f>Salary[[#This Row],[Прибыль]]*INDEX(Tax[УСН или Прибыль],MATCH(Salary[[#This Row],[PaymentMethod]],Tax[PaymentMethod],0))</f>
        <v>0</v>
      </c>
      <c r="V85" s="6">
        <f>Salary[[#This Row],[Прибыль]]*INDEX(Tax[НДС],MATCH(Salary[[#This Row],[PaymentMethod]],Tax[PaymentMethod],0))</f>
        <v>39658.620689655181</v>
      </c>
    </row>
    <row r="86" spans="1:22" x14ac:dyDescent="0.25">
      <c r="A86">
        <v>85</v>
      </c>
      <c r="B86" s="91">
        <v>44743</v>
      </c>
      <c r="C86" s="2" t="s">
        <v>95</v>
      </c>
      <c r="D86">
        <f>SUMIF(Positions[Positions],Salary[[#This Row],[Position]],Positions[Grade])</f>
        <v>101</v>
      </c>
      <c r="E86" t="s">
        <v>2815</v>
      </c>
      <c r="F86" s="31">
        <v>30000</v>
      </c>
      <c r="G86" s="135">
        <f>ROUND(Salary[[#This Row],[Salary]]/160,0)</f>
        <v>188</v>
      </c>
      <c r="H86">
        <v>1</v>
      </c>
      <c r="I86" s="31">
        <f>Salary[[#This Row],[FTE]]*Salary[[#This Row],[Salary]]</f>
        <v>30000</v>
      </c>
      <c r="J86" s="521">
        <f>INDEX(GradesAndSalaries[],MATCH(Salary[[#This Row],[Grade]],GradesAndSalaries[Grade],0),MATCH(Employee[[#Headers],[Base Budgeting COST]],GradesAndSalaries[#Headers],0))</f>
        <v>625</v>
      </c>
      <c r="L86" s="6">
        <f>Salary[[#This Row],[Salary]]/(1-INDEX(Tax[НДФЛ],MATCH(Salary[[#This Row],[PaymentMethod]],Tax[PaymentMethod])))</f>
        <v>34482.758620689652</v>
      </c>
      <c r="M86" t="s">
        <v>1623</v>
      </c>
      <c r="N86" s="6">
        <f>Salary[[#This Row],[НДФЛ]]+Salary[[#This Row],[Фонды]]+Salary[[#This Row],[Налог на прибыль]]+Salary[[#This Row],[НДС]]</f>
        <v>23875.862068965514</v>
      </c>
      <c r="O86" s="6">
        <f>Salary[[#This Row],[Salary]]+Salary[[#This Row],[Полный Налог]]</f>
        <v>53875.862068965514</v>
      </c>
      <c r="P86" s="6">
        <f>Salary[[#This Row],[Полный Налог]]/Salary[[#This Row],[Salary]]</f>
        <v>0.79586206896551714</v>
      </c>
      <c r="Q86" s="6">
        <f>Salary[[#This Row],[SalaryOfficial]]*INDEX(Tax[НДФЛ],MATCH(Salary[[#This Row],[PaymentMethod]],Tax[PaymentMethod], 0))</f>
        <v>4482.7586206896549</v>
      </c>
      <c r="R86" s="6">
        <f>Salary[[#This Row],[SalaryOfficial]]*INDEX(Tax[Взносы],MATCH(Salary[[#This Row],[PaymentMethod]],Tax[PaymentMethod],0))</f>
        <v>10413.793103448277</v>
      </c>
      <c r="S86" s="6">
        <f>Salary[[#This Row],[Salary]]+Salary[[#This Row],[НДФЛ]]+Salary[[#This Row],[Фонды]]</f>
        <v>44896.551724137928</v>
      </c>
      <c r="T86" s="6">
        <f>Salary[[#This Row],[ЗП+НДФЛ+Фонды]]/(1-INDEX(Tax[УСН или Прибыль],MATCH(Salary[[#This Row],[PaymentMethod]],Tax[PaymentMethod],0)))</f>
        <v>44896.551724137928</v>
      </c>
      <c r="U86" s="6">
        <f>Salary[[#This Row],[Прибыль]]*INDEX(Tax[УСН или Прибыль],MATCH(Salary[[#This Row],[PaymentMethod]],Tax[PaymentMethod],0))</f>
        <v>0</v>
      </c>
      <c r="V86" s="6">
        <f>Salary[[#This Row],[Прибыль]]*INDEX(Tax[НДС],MATCH(Salary[[#This Row],[PaymentMethod]],Tax[PaymentMethod],0))</f>
        <v>8979.3103448275851</v>
      </c>
    </row>
    <row r="87" spans="1:22" x14ac:dyDescent="0.25">
      <c r="A87">
        <v>86</v>
      </c>
      <c r="B87" s="91">
        <v>44743</v>
      </c>
      <c r="C87" s="2" t="s">
        <v>95</v>
      </c>
      <c r="D87">
        <f>SUMIF(Positions[Positions],Salary[[#This Row],[Position]],Positions[Grade])</f>
        <v>101</v>
      </c>
      <c r="E87" t="s">
        <v>2634</v>
      </c>
      <c r="F87" s="31">
        <v>34000</v>
      </c>
      <c r="G87" s="135">
        <f>ROUND(Salary[[#This Row],[Salary]]/160,0)</f>
        <v>213</v>
      </c>
      <c r="H87">
        <v>1</v>
      </c>
      <c r="I87" s="31">
        <f>Salary[[#This Row],[FTE]]*Salary[[#This Row],[Salary]]</f>
        <v>34000</v>
      </c>
      <c r="J87" s="521">
        <f>INDEX(GradesAndSalaries[],MATCH(Salary[[#This Row],[Grade]],GradesAndSalaries[Grade],0),MATCH(Employee[[#Headers],[Base Budgeting COST]],GradesAndSalaries[#Headers],0))</f>
        <v>625</v>
      </c>
      <c r="L87" s="6">
        <f>Salary[[#This Row],[Salary]]/(1-INDEX(Tax[НДФЛ],MATCH(Salary[[#This Row],[PaymentMethod]],Tax[PaymentMethod])))</f>
        <v>39080.45977011494</v>
      </c>
      <c r="M87" t="s">
        <v>1623</v>
      </c>
      <c r="N87" s="6">
        <f>Salary[[#This Row],[НДФЛ]]+Salary[[#This Row],[Фонды]]+Salary[[#This Row],[Налог на прибыль]]+Salary[[#This Row],[НДС]]</f>
        <v>27059.310344827587</v>
      </c>
      <c r="O87" s="6">
        <f>Salary[[#This Row],[Salary]]+Salary[[#This Row],[Полный Налог]]</f>
        <v>61059.310344827587</v>
      </c>
      <c r="P87" s="6">
        <f>Salary[[#This Row],[Полный Налог]]/Salary[[#This Row],[Salary]]</f>
        <v>0.79586206896551726</v>
      </c>
      <c r="Q87" s="6">
        <f>Salary[[#This Row],[SalaryOfficial]]*INDEX(Tax[НДФЛ],MATCH(Salary[[#This Row],[PaymentMethod]],Tax[PaymentMethod], 0))</f>
        <v>5080.4597701149423</v>
      </c>
      <c r="R87" s="6">
        <f>Salary[[#This Row],[SalaryOfficial]]*INDEX(Tax[Взносы],MATCH(Salary[[#This Row],[PaymentMethod]],Tax[PaymentMethod],0))</f>
        <v>11802.298850574714</v>
      </c>
      <c r="S87" s="6">
        <f>Salary[[#This Row],[Salary]]+Salary[[#This Row],[НДФЛ]]+Salary[[#This Row],[Фонды]]</f>
        <v>50882.758620689652</v>
      </c>
      <c r="T87" s="6">
        <f>Salary[[#This Row],[ЗП+НДФЛ+Фонды]]/(1-INDEX(Tax[УСН или Прибыль],MATCH(Salary[[#This Row],[PaymentMethod]],Tax[PaymentMethod],0)))</f>
        <v>50882.758620689652</v>
      </c>
      <c r="U87" s="6">
        <f>Salary[[#This Row],[Прибыль]]*INDEX(Tax[УСН или Прибыль],MATCH(Salary[[#This Row],[PaymentMethod]],Tax[PaymentMethod],0))</f>
        <v>0</v>
      </c>
      <c r="V87" s="6">
        <f>Salary[[#This Row],[Прибыль]]*INDEX(Tax[НДС],MATCH(Salary[[#This Row],[PaymentMethod]],Tax[PaymentMethod],0))</f>
        <v>10176.551724137931</v>
      </c>
    </row>
    <row r="88" spans="1:22" x14ac:dyDescent="0.25">
      <c r="A88">
        <v>87</v>
      </c>
      <c r="B88" s="91">
        <v>44750</v>
      </c>
      <c r="C88" s="2" t="s">
        <v>419</v>
      </c>
      <c r="D88" s="666">
        <f>SUMIF(Positions[Positions],Salary[[#This Row],[Position]],Positions[Grade])</f>
        <v>100</v>
      </c>
      <c r="E88" t="s">
        <v>2709</v>
      </c>
      <c r="F88" s="31">
        <v>58000</v>
      </c>
      <c r="G88" s="135">
        <f>ROUND(Salary[[#This Row],[Salary]]/160,0)</f>
        <v>363</v>
      </c>
      <c r="H88">
        <v>1</v>
      </c>
      <c r="I88" s="31">
        <f>Salary[[#This Row],[FTE]]*Salary[[#This Row],[Salary]]</f>
        <v>58000</v>
      </c>
      <c r="J88" s="741">
        <f>INDEX(GradesAndSalaries[],MATCH(Salary[[#This Row],[Grade]],GradesAndSalaries[Grade],0),MATCH(Employee[[#Headers],[Base Budgeting COST]],GradesAndSalaries[#Headers],0))</f>
        <v>0</v>
      </c>
      <c r="L88" s="6" t="e">
        <f>Salary[[#This Row],[Salary]]/(1-INDEX(Tax[НДФЛ],MATCH(Salary[[#This Row],[PaymentMethod]],Tax[PaymentMethod])))</f>
        <v>#N/A</v>
      </c>
      <c r="N88" t="e">
        <f>Salary[[#This Row],[НДФЛ]]+Salary[[#This Row],[Фонды]]+Salary[[#This Row],[Налог на прибыль]]+Salary[[#This Row],[НДС]]</f>
        <v>#N/A</v>
      </c>
      <c r="O88" t="e">
        <f>Salary[[#This Row],[Salary]]+Salary[[#This Row],[Полный Налог]]</f>
        <v>#N/A</v>
      </c>
      <c r="P88" t="e">
        <f>Salary[[#This Row],[Полный Налог]]/Salary[[#This Row],[Salary]]</f>
        <v>#N/A</v>
      </c>
      <c r="Q88" t="e">
        <f>Salary[[#This Row],[SalaryOfficial]]*INDEX(Tax[НДФЛ],MATCH(Salary[[#This Row],[PaymentMethod]],Tax[PaymentMethod], 0))</f>
        <v>#N/A</v>
      </c>
      <c r="R88" t="e">
        <f>Salary[[#This Row],[SalaryOfficial]]*INDEX(Tax[Взносы],MATCH(Salary[[#This Row],[PaymentMethod]],Tax[PaymentMethod],0))</f>
        <v>#N/A</v>
      </c>
      <c r="S88" t="e">
        <f>Salary[[#This Row],[Salary]]+Salary[[#This Row],[НДФЛ]]+Salary[[#This Row],[Фонды]]</f>
        <v>#N/A</v>
      </c>
      <c r="T88" t="e">
        <f>Salary[[#This Row],[ЗП+НДФЛ+Фонды]]/(1-INDEX(Tax[УСН или Прибыль],MATCH(Salary[[#This Row],[PaymentMethod]],Tax[PaymentMethod],0)))</f>
        <v>#N/A</v>
      </c>
      <c r="U88" t="e">
        <f>Salary[[#This Row],[Прибыль]]*INDEX(Tax[УСН или Прибыль],MATCH(Salary[[#This Row],[PaymentMethod]],Tax[PaymentMethod],0))</f>
        <v>#N/A</v>
      </c>
      <c r="V88" t="e">
        <f>Salary[[#This Row],[Прибыль]]*INDEX(Tax[НДС],MATCH(Salary[[#This Row],[PaymentMethod]],Tax[PaymentMethod],0))</f>
        <v>#N/A</v>
      </c>
    </row>
    <row r="89" spans="1:22" x14ac:dyDescent="0.25">
      <c r="A89">
        <v>88</v>
      </c>
      <c r="B89" s="91">
        <v>44768</v>
      </c>
      <c r="C89" s="2" t="s">
        <v>419</v>
      </c>
      <c r="D89" s="666">
        <f>SUMIF(Positions[Positions],Salary[[#This Row],[Position]],Positions[Grade])</f>
        <v>100</v>
      </c>
      <c r="E89" t="s">
        <v>888</v>
      </c>
      <c r="F89" s="6">
        <v>80000</v>
      </c>
      <c r="G89" s="135">
        <f>ROUND(Salary[[#This Row],[Salary]]/160,0)</f>
        <v>500</v>
      </c>
      <c r="H89">
        <v>0.5</v>
      </c>
      <c r="I89" s="31">
        <f>Salary[[#This Row],[FTE]]*Salary[[#This Row],[Salary]]</f>
        <v>40000</v>
      </c>
      <c r="J89" s="741">
        <f>INDEX(GradesAndSalaries[],MATCH(Salary[[#This Row],[Grade]],GradesAndSalaries[Grade],0),MATCH(Employee[[#Headers],[Base Budgeting COST]],GradesAndSalaries[#Headers],0))</f>
        <v>0</v>
      </c>
      <c r="L89" s="6" t="e">
        <f>Salary[[#This Row],[Salary]]/(1-INDEX(Tax[НДФЛ],MATCH(Salary[[#This Row],[PaymentMethod]],Tax[PaymentMethod])))</f>
        <v>#N/A</v>
      </c>
      <c r="N89" t="e">
        <f>Salary[[#This Row],[НДФЛ]]+Salary[[#This Row],[Фонды]]+Salary[[#This Row],[Налог на прибыль]]+Salary[[#This Row],[НДС]]</f>
        <v>#N/A</v>
      </c>
      <c r="O89" t="e">
        <f>Salary[[#This Row],[Salary]]+Salary[[#This Row],[Полный Налог]]</f>
        <v>#N/A</v>
      </c>
      <c r="P89" t="e">
        <f>Salary[[#This Row],[Полный Налог]]/Salary[[#This Row],[Salary]]</f>
        <v>#N/A</v>
      </c>
      <c r="Q89" t="e">
        <f>Salary[[#This Row],[SalaryOfficial]]*INDEX(Tax[НДФЛ],MATCH(Salary[[#This Row],[PaymentMethod]],Tax[PaymentMethod], 0))</f>
        <v>#N/A</v>
      </c>
      <c r="R89" t="e">
        <f>Salary[[#This Row],[SalaryOfficial]]*INDEX(Tax[Взносы],MATCH(Salary[[#This Row],[PaymentMethod]],Tax[PaymentMethod],0))</f>
        <v>#N/A</v>
      </c>
      <c r="S89" t="e">
        <f>Salary[[#This Row],[Salary]]+Salary[[#This Row],[НДФЛ]]+Salary[[#This Row],[Фонды]]</f>
        <v>#N/A</v>
      </c>
      <c r="T89" t="e">
        <f>Salary[[#This Row],[ЗП+НДФЛ+Фонды]]/(1-INDEX(Tax[УСН или Прибыль],MATCH(Salary[[#This Row],[PaymentMethod]],Tax[PaymentMethod],0)))</f>
        <v>#N/A</v>
      </c>
      <c r="U89" t="e">
        <f>Salary[[#This Row],[Прибыль]]*INDEX(Tax[УСН или Прибыль],MATCH(Salary[[#This Row],[PaymentMethod]],Tax[PaymentMethod],0))</f>
        <v>#N/A</v>
      </c>
      <c r="V89" t="e">
        <f>Salary[[#This Row],[Прибыль]]*INDEX(Tax[НДС],MATCH(Salary[[#This Row],[PaymentMethod]],Tax[PaymentMethod],0))</f>
        <v>#N/A</v>
      </c>
    </row>
    <row r="90" spans="1:22" x14ac:dyDescent="0.25">
      <c r="A90">
        <v>89</v>
      </c>
      <c r="B90" s="91">
        <v>44805</v>
      </c>
      <c r="C90" s="2" t="s">
        <v>95</v>
      </c>
      <c r="D90">
        <f>SUMIF(Positions[Positions],Salary[[#This Row],[Position]],Positions[Grade])</f>
        <v>101</v>
      </c>
      <c r="E90" t="s">
        <v>2634</v>
      </c>
      <c r="F90" s="31">
        <v>34000</v>
      </c>
      <c r="G90" s="135">
        <f>ROUND(Salary[[#This Row],[Salary]]/160,0)</f>
        <v>213</v>
      </c>
      <c r="H90">
        <v>0.7</v>
      </c>
      <c r="I90" s="31">
        <f>Salary[[#This Row],[FTE]]*Salary[[#This Row],[Salary]]</f>
        <v>23800</v>
      </c>
      <c r="J90" s="521">
        <f>INDEX(GradesAndSalaries[],MATCH(Salary[[#This Row],[Grade]],GradesAndSalaries[Grade],0),MATCH(Employee[[#Headers],[Base Budgeting COST]],GradesAndSalaries[#Headers],0))</f>
        <v>625</v>
      </c>
      <c r="L90" s="6">
        <f>Salary[[#This Row],[Salary]]/(1-INDEX(Tax[НДФЛ],MATCH(Salary[[#This Row],[PaymentMethod]],Tax[PaymentMethod])))</f>
        <v>39080.45977011494</v>
      </c>
      <c r="M90" t="s">
        <v>1623</v>
      </c>
      <c r="N90" s="6">
        <f>Salary[[#This Row],[НДФЛ]]+Salary[[#This Row],[Фонды]]+Salary[[#This Row],[Налог на прибыль]]+Salary[[#This Row],[НДС]]</f>
        <v>27059.310344827587</v>
      </c>
      <c r="O90" s="6">
        <f>Salary[[#This Row],[Salary]]+Salary[[#This Row],[Полный Налог]]</f>
        <v>61059.310344827587</v>
      </c>
      <c r="P90" s="6">
        <f>Salary[[#This Row],[Полный Налог]]/Salary[[#This Row],[Salary]]</f>
        <v>0.79586206896551726</v>
      </c>
      <c r="Q90" s="6">
        <f>Salary[[#This Row],[SalaryOfficial]]*INDEX(Tax[НДФЛ],MATCH(Salary[[#This Row],[PaymentMethod]],Tax[PaymentMethod], 0))</f>
        <v>5080.4597701149423</v>
      </c>
      <c r="R90" s="6">
        <f>Salary[[#This Row],[SalaryOfficial]]*INDEX(Tax[Взносы],MATCH(Salary[[#This Row],[PaymentMethod]],Tax[PaymentMethod],0))</f>
        <v>11802.298850574714</v>
      </c>
      <c r="S90" s="6">
        <f>Salary[[#This Row],[Salary]]+Salary[[#This Row],[НДФЛ]]+Salary[[#This Row],[Фонды]]</f>
        <v>50882.758620689652</v>
      </c>
      <c r="T90" s="6">
        <f>Salary[[#This Row],[ЗП+НДФЛ+Фонды]]/(1-INDEX(Tax[УСН или Прибыль],MATCH(Salary[[#This Row],[PaymentMethod]],Tax[PaymentMethod],0)))</f>
        <v>50882.758620689652</v>
      </c>
      <c r="U90" s="6">
        <f>Salary[[#This Row],[Прибыль]]*INDEX(Tax[УСН или Прибыль],MATCH(Salary[[#This Row],[PaymentMethod]],Tax[PaymentMethod],0))</f>
        <v>0</v>
      </c>
      <c r="V90" s="6">
        <f>Salary[[#This Row],[Прибыль]]*INDEX(Tax[НДС],MATCH(Salary[[#This Row],[PaymentMethod]],Tax[PaymentMethod],0))</f>
        <v>10176.551724137931</v>
      </c>
    </row>
    <row r="91" spans="1:22" x14ac:dyDescent="0.25">
      <c r="A91">
        <v>90</v>
      </c>
      <c r="B91" s="91">
        <v>44819</v>
      </c>
      <c r="C91" s="2" t="s">
        <v>419</v>
      </c>
      <c r="D91">
        <f>SUMIF(Positions[Positions],Salary[[#This Row],[Position]],Positions[Grade])</f>
        <v>100</v>
      </c>
      <c r="E91" s="1" t="s">
        <v>1563</v>
      </c>
      <c r="F91" s="31">
        <v>0</v>
      </c>
      <c r="G91" s="135">
        <f>ROUND(Salary[[#This Row],[Salary]]/160,0)</f>
        <v>0</v>
      </c>
      <c r="H91">
        <v>0</v>
      </c>
      <c r="I91" s="31">
        <f>Salary[[#This Row],[FTE]]*Salary[[#This Row],[Salary]]</f>
        <v>0</v>
      </c>
      <c r="J91" s="741">
        <f>INDEX(GradesAndSalaries[],MATCH(Salary[[#This Row],[Grade]],GradesAndSalaries[Grade],0),MATCH(Employee[[#Headers],[Base Budgeting COST]],GradesAndSalaries[#Headers],0))</f>
        <v>0</v>
      </c>
      <c r="L91" s="6">
        <f>Salary[[#This Row],[Salary]]/(1-INDEX(Tax[НДФЛ],MATCH(Salary[[#This Row],[PaymentMethod]],Tax[PaymentMethod])))</f>
        <v>0</v>
      </c>
      <c r="M91" t="s">
        <v>1623</v>
      </c>
      <c r="N91">
        <f>Salary[[#This Row],[НДФЛ]]+Salary[[#This Row],[Фонды]]+Salary[[#This Row],[Налог на прибыль]]+Salary[[#This Row],[НДС]]</f>
        <v>0</v>
      </c>
      <c r="O91">
        <f>Salary[[#This Row],[Salary]]+Salary[[#This Row],[Полный Налог]]</f>
        <v>0</v>
      </c>
      <c r="P91" t="e">
        <f>Salary[[#This Row],[Полный Налог]]/Salary[[#This Row],[Salary]]</f>
        <v>#DIV/0!</v>
      </c>
      <c r="Q91">
        <f>Salary[[#This Row],[SalaryOfficial]]*INDEX(Tax[НДФЛ],MATCH(Salary[[#This Row],[PaymentMethod]],Tax[PaymentMethod], 0))</f>
        <v>0</v>
      </c>
      <c r="R91">
        <f>Salary[[#This Row],[SalaryOfficial]]*INDEX(Tax[Взносы],MATCH(Salary[[#This Row],[PaymentMethod]],Tax[PaymentMethod],0))</f>
        <v>0</v>
      </c>
      <c r="S91">
        <f>Salary[[#This Row],[Salary]]+Salary[[#This Row],[НДФЛ]]+Salary[[#This Row],[Фонды]]</f>
        <v>0</v>
      </c>
      <c r="T91">
        <f>Salary[[#This Row],[ЗП+НДФЛ+Фонды]]/(1-INDEX(Tax[УСН или Прибыль],MATCH(Salary[[#This Row],[PaymentMethod]],Tax[PaymentMethod],0)))</f>
        <v>0</v>
      </c>
      <c r="U91">
        <f>Salary[[#This Row],[Прибыль]]*INDEX(Tax[УСН или Прибыль],MATCH(Salary[[#This Row],[PaymentMethod]],Tax[PaymentMethod],0))</f>
        <v>0</v>
      </c>
      <c r="V91">
        <f>Salary[[#This Row],[Прибыль]]*INDEX(Tax[НДС],MATCH(Salary[[#This Row],[PaymentMethod]],Tax[PaymentMethod],0))</f>
        <v>0</v>
      </c>
    </row>
    <row r="92" spans="1:22" x14ac:dyDescent="0.25">
      <c r="A92">
        <v>91</v>
      </c>
      <c r="B92" s="91">
        <v>44835</v>
      </c>
      <c r="C92" s="2" t="s">
        <v>430</v>
      </c>
      <c r="D92">
        <f>SUMIF(Positions[Positions],Salary[[#This Row],[Position]],Positions[Grade])</f>
        <v>303</v>
      </c>
      <c r="E92" t="s">
        <v>2899</v>
      </c>
      <c r="F92" s="31">
        <v>105000</v>
      </c>
      <c r="G92" s="135">
        <f>ROUND(Salary[[#This Row],[Salary]]/160,0)</f>
        <v>656</v>
      </c>
      <c r="H92">
        <v>1</v>
      </c>
      <c r="I92" s="31">
        <f>Salary[[#This Row],[FTE]]*Salary[[#This Row],[Salary]]</f>
        <v>105000</v>
      </c>
      <c r="J92" s="521">
        <f>INDEX(GradesAndSalaries[],MATCH(Salary[[#This Row],[Grade]],GradesAndSalaries[Grade],0),MATCH(Employee[[#Headers],[Base Budgeting COST]],GradesAndSalaries[#Headers],0))</f>
        <v>2323</v>
      </c>
      <c r="L92" s="6">
        <f>Salary[[#This Row],[Salary]]/(1-INDEX(Tax[НДФЛ],MATCH(Salary[[#This Row],[PaymentMethod]],Tax[PaymentMethod])))</f>
        <v>120689.6551724138</v>
      </c>
      <c r="M92" t="s">
        <v>1623</v>
      </c>
      <c r="N92" s="6">
        <f>Salary[[#This Row],[НДФЛ]]+Salary[[#This Row],[Фонды]]+Salary[[#This Row],[Налог на прибыль]]+Salary[[#This Row],[НДС]]</f>
        <v>83565.517241379333</v>
      </c>
      <c r="O92" s="6">
        <f>Salary[[#This Row],[Salary]]+Salary[[#This Row],[Полный Налог]]</f>
        <v>188565.51724137933</v>
      </c>
      <c r="P92" s="6">
        <f>Salary[[#This Row],[Полный Налог]]/Salary[[#This Row],[Salary]]</f>
        <v>0.79586206896551748</v>
      </c>
      <c r="Q92" s="6">
        <f>Salary[[#This Row],[SalaryOfficial]]*INDEX(Tax[НДФЛ],MATCH(Salary[[#This Row],[PaymentMethod]],Tax[PaymentMethod], 0))</f>
        <v>15689.655172413793</v>
      </c>
      <c r="R92" s="6">
        <f>Salary[[#This Row],[SalaryOfficial]]*INDEX(Tax[Взносы],MATCH(Salary[[#This Row],[PaymentMethod]],Tax[PaymentMethod],0))</f>
        <v>36448.275862068971</v>
      </c>
      <c r="S92" s="6">
        <f>Salary[[#This Row],[Salary]]+Salary[[#This Row],[НДФЛ]]+Salary[[#This Row],[Фонды]]</f>
        <v>157137.93103448278</v>
      </c>
      <c r="T92" s="6">
        <f>Salary[[#This Row],[ЗП+НДФЛ+Фонды]]/(1-INDEX(Tax[УСН или Прибыль],MATCH(Salary[[#This Row],[PaymentMethod]],Tax[PaymentMethod],0)))</f>
        <v>157137.93103448278</v>
      </c>
      <c r="U92" s="6">
        <f>Salary[[#This Row],[Прибыль]]*INDEX(Tax[УСН или Прибыль],MATCH(Salary[[#This Row],[PaymentMethod]],Tax[PaymentMethod],0))</f>
        <v>0</v>
      </c>
      <c r="V92" s="6">
        <f>Salary[[#This Row],[Прибыль]]*INDEX(Tax[НДС],MATCH(Salary[[#This Row],[PaymentMethod]],Tax[PaymentMethod],0))</f>
        <v>31427.586206896558</v>
      </c>
    </row>
    <row r="93" spans="1:22" x14ac:dyDescent="0.25">
      <c r="A93">
        <v>92</v>
      </c>
      <c r="B93" s="91">
        <v>44907</v>
      </c>
      <c r="C93" s="2" t="s">
        <v>95</v>
      </c>
      <c r="D93">
        <f>SUMIF(Positions[Positions],Salary[[#This Row],[Position]],Positions[Grade])</f>
        <v>101</v>
      </c>
      <c r="E93" t="s">
        <v>2815</v>
      </c>
      <c r="F93" s="31">
        <v>30000</v>
      </c>
      <c r="G93" s="135">
        <f>ROUND(Salary[[#This Row],[Salary]]/160,0)</f>
        <v>188</v>
      </c>
      <c r="H93">
        <v>0.4</v>
      </c>
      <c r="I93" s="31">
        <f>Salary[[#This Row],[FTE]]*Salary[[#This Row],[Salary]]</f>
        <v>12000</v>
      </c>
      <c r="J93" s="556">
        <f>INDEX(GradesAndSalaries[],MATCH(Salary[[#This Row],[Grade]],GradesAndSalaries[Grade],0),MATCH(Employee[[#Headers],[Base Budgeting COST]],GradesAndSalaries[#Headers],0))</f>
        <v>625</v>
      </c>
      <c r="L93" s="6">
        <f>Salary[[#This Row],[Salary]]/(1-INDEX(Tax[НДФЛ],MATCH(Salary[[#This Row],[PaymentMethod]],Tax[PaymentMethod])))</f>
        <v>34482.758620689652</v>
      </c>
      <c r="M93" t="s">
        <v>1623</v>
      </c>
      <c r="N93" s="6">
        <f>Salary[[#This Row],[НДФЛ]]+Salary[[#This Row],[Фонды]]+Salary[[#This Row],[Налог на прибыль]]+Salary[[#This Row],[НДС]]</f>
        <v>23875.862068965514</v>
      </c>
      <c r="O93" s="6">
        <f>Salary[[#This Row],[Salary]]+Salary[[#This Row],[Полный Налог]]</f>
        <v>53875.862068965514</v>
      </c>
      <c r="P93" s="6">
        <f>Salary[[#This Row],[Полный Налог]]/Salary[[#This Row],[Salary]]</f>
        <v>0.79586206896551714</v>
      </c>
      <c r="Q93" s="6">
        <f>Salary[[#This Row],[SalaryOfficial]]*INDEX(Tax[НДФЛ],MATCH(Salary[[#This Row],[PaymentMethod]],Tax[PaymentMethod], 0))</f>
        <v>4482.7586206896549</v>
      </c>
      <c r="R93" s="6">
        <f>Salary[[#This Row],[SalaryOfficial]]*INDEX(Tax[Взносы],MATCH(Salary[[#This Row],[PaymentMethod]],Tax[PaymentMethod],0))</f>
        <v>10413.793103448277</v>
      </c>
      <c r="S93" s="6">
        <f>Salary[[#This Row],[Salary]]+Salary[[#This Row],[НДФЛ]]+Salary[[#This Row],[Фонды]]</f>
        <v>44896.551724137928</v>
      </c>
      <c r="T93" s="6">
        <f>Salary[[#This Row],[ЗП+НДФЛ+Фонды]]/(1-INDEX(Tax[УСН или Прибыль],MATCH(Salary[[#This Row],[PaymentMethod]],Tax[PaymentMethod],0)))</f>
        <v>44896.551724137928</v>
      </c>
      <c r="U93" s="6">
        <f>Salary[[#This Row],[Прибыль]]*INDEX(Tax[УСН или Прибыль],MATCH(Salary[[#This Row],[PaymentMethod]],Tax[PaymentMethod],0))</f>
        <v>0</v>
      </c>
      <c r="V93" s="6">
        <f>Salary[[#This Row],[Прибыль]]*INDEX(Tax[НДС],MATCH(Salary[[#This Row],[PaymentMethod]],Tax[PaymentMethod],0))</f>
        <v>8979.3103448275851</v>
      </c>
    </row>
    <row r="94" spans="1:22" x14ac:dyDescent="0.25">
      <c r="A94">
        <v>93</v>
      </c>
      <c r="B94" s="91">
        <v>44958</v>
      </c>
      <c r="C94" s="2" t="s">
        <v>419</v>
      </c>
      <c r="D94" s="666">
        <f>SUMIF(Positions[Positions],Salary[[#This Row],[Position]],Positions[Grade])</f>
        <v>100</v>
      </c>
      <c r="E94" t="s">
        <v>2815</v>
      </c>
      <c r="F94" s="31">
        <v>0</v>
      </c>
      <c r="G94" s="135">
        <f>ROUND(Salary[[#This Row],[Salary]]/160,0)</f>
        <v>0</v>
      </c>
      <c r="H94">
        <v>0</v>
      </c>
      <c r="I94" s="31">
        <f>Salary[[#This Row],[FTE]]*Salary[[#This Row],[Salary]]</f>
        <v>0</v>
      </c>
      <c r="J94" s="741">
        <f>INDEX(GradesAndSalaries[],MATCH(Salary[[#This Row],[Grade]],GradesAndSalaries[Grade],0),MATCH(Employee[[#Headers],[Base Budgeting COST]],GradesAndSalaries[#Headers],0))</f>
        <v>0</v>
      </c>
      <c r="L94" s="6" t="e">
        <f>Salary[[#This Row],[Salary]]/(1-INDEX(Tax[НДФЛ],MATCH(Salary[[#This Row],[PaymentMethod]],Tax[PaymentMethod])))</f>
        <v>#N/A</v>
      </c>
      <c r="N94" t="e">
        <f>Salary[[#This Row],[НДФЛ]]+Salary[[#This Row],[Фонды]]+Salary[[#This Row],[Налог на прибыль]]+Salary[[#This Row],[НДС]]</f>
        <v>#N/A</v>
      </c>
      <c r="O94" t="e">
        <f>Salary[[#This Row],[Salary]]+Salary[[#This Row],[Полный Налог]]</f>
        <v>#N/A</v>
      </c>
      <c r="P94" t="e">
        <f>Salary[[#This Row],[Полный Налог]]/Salary[[#This Row],[Salary]]</f>
        <v>#N/A</v>
      </c>
      <c r="Q94" t="e">
        <f>Salary[[#This Row],[SalaryOfficial]]*INDEX(Tax[НДФЛ],MATCH(Salary[[#This Row],[PaymentMethod]],Tax[PaymentMethod], 0))</f>
        <v>#N/A</v>
      </c>
      <c r="R94" t="e">
        <f>Salary[[#This Row],[SalaryOfficial]]*INDEX(Tax[Взносы],MATCH(Salary[[#This Row],[PaymentMethod]],Tax[PaymentMethod],0))</f>
        <v>#N/A</v>
      </c>
      <c r="S94" t="e">
        <f>Salary[[#This Row],[Salary]]+Salary[[#This Row],[НДФЛ]]+Salary[[#This Row],[Фонды]]</f>
        <v>#N/A</v>
      </c>
      <c r="T94" t="e">
        <f>Salary[[#This Row],[ЗП+НДФЛ+Фонды]]/(1-INDEX(Tax[УСН или Прибыль],MATCH(Salary[[#This Row],[PaymentMethod]],Tax[PaymentMethod],0)))</f>
        <v>#N/A</v>
      </c>
      <c r="U94" t="e">
        <f>Salary[[#This Row],[Прибыль]]*INDEX(Tax[УСН или Прибыль],MATCH(Salary[[#This Row],[PaymentMethod]],Tax[PaymentMethod],0))</f>
        <v>#N/A</v>
      </c>
      <c r="V94" t="e">
        <f>Salary[[#This Row],[Прибыль]]*INDEX(Tax[НДС],MATCH(Salary[[#This Row],[PaymentMethod]],Tax[PaymentMethod],0))</f>
        <v>#N/A</v>
      </c>
    </row>
    <row r="95" spans="1:22" x14ac:dyDescent="0.25">
      <c r="A95">
        <v>94</v>
      </c>
      <c r="B95" s="91">
        <v>44973</v>
      </c>
      <c r="C95" s="2" t="s">
        <v>419</v>
      </c>
      <c r="D95">
        <f>SUMIF(Positions[Positions],Salary[[#This Row],[Position]],Positions[Grade])</f>
        <v>100</v>
      </c>
      <c r="E95" t="s">
        <v>2899</v>
      </c>
      <c r="F95" s="31">
        <v>0</v>
      </c>
      <c r="G95" s="135">
        <f>ROUND(Salary[[#This Row],[Salary]]/160,0)</f>
        <v>0</v>
      </c>
      <c r="H95">
        <v>0</v>
      </c>
      <c r="I95" s="31">
        <f>Salary[[#This Row],[FTE]]*Salary[[#This Row],[Salary]]</f>
        <v>0</v>
      </c>
      <c r="J95" s="575">
        <f>INDEX(GradesAndSalaries[],MATCH(Salary[[#This Row],[Grade]],GradesAndSalaries[Grade],0),MATCH(Employee[[#Headers],[Base Budgeting COST]],GradesAndSalaries[#Headers],0))</f>
        <v>0</v>
      </c>
      <c r="L95" s="6" t="e">
        <f>Salary[[#This Row],[Salary]]/(1-INDEX(Tax[НДФЛ],MATCH(Salary[[#This Row],[PaymentMethod]],Tax[PaymentMethod])))</f>
        <v>#N/A</v>
      </c>
      <c r="N95" s="6" t="e">
        <f>Salary[[#This Row],[НДФЛ]]+Salary[[#This Row],[Фонды]]+Salary[[#This Row],[Налог на прибыль]]+Salary[[#This Row],[НДС]]</f>
        <v>#N/A</v>
      </c>
      <c r="O95" s="6" t="e">
        <f>Salary[[#This Row],[Salary]]+Salary[[#This Row],[Полный Налог]]</f>
        <v>#N/A</v>
      </c>
      <c r="P95" s="6" t="e">
        <f>Salary[[#This Row],[Полный Налог]]/Salary[[#This Row],[Salary]]</f>
        <v>#N/A</v>
      </c>
      <c r="Q95" s="6" t="e">
        <f>Salary[[#This Row],[SalaryOfficial]]*INDEX(Tax[НДФЛ],MATCH(Salary[[#This Row],[PaymentMethod]],Tax[PaymentMethod], 0))</f>
        <v>#N/A</v>
      </c>
      <c r="R95" s="6" t="e">
        <f>Salary[[#This Row],[SalaryOfficial]]*INDEX(Tax[Взносы],MATCH(Salary[[#This Row],[PaymentMethod]],Tax[PaymentMethod],0))</f>
        <v>#N/A</v>
      </c>
      <c r="S95" s="6" t="e">
        <f>Salary[[#This Row],[Salary]]+Salary[[#This Row],[НДФЛ]]+Salary[[#This Row],[Фонды]]</f>
        <v>#N/A</v>
      </c>
      <c r="T95" s="6" t="e">
        <f>Salary[[#This Row],[ЗП+НДФЛ+Фонды]]/(1-INDEX(Tax[УСН или Прибыль],MATCH(Salary[[#This Row],[PaymentMethod]],Tax[PaymentMethod],0)))</f>
        <v>#N/A</v>
      </c>
      <c r="U95" s="6" t="e">
        <f>Salary[[#This Row],[Прибыль]]*INDEX(Tax[УСН или Прибыль],MATCH(Salary[[#This Row],[PaymentMethod]],Tax[PaymentMethod],0))</f>
        <v>#N/A</v>
      </c>
      <c r="V95" s="6" t="e">
        <f>Salary[[#This Row],[Прибыль]]*INDEX(Tax[НДС],MATCH(Salary[[#This Row],[PaymentMethod]],Tax[PaymentMethod],0))</f>
        <v>#N/A</v>
      </c>
    </row>
    <row r="96" spans="1:22" x14ac:dyDescent="0.25">
      <c r="A96">
        <v>95</v>
      </c>
      <c r="B96" s="91">
        <v>44984</v>
      </c>
      <c r="C96" s="2" t="s">
        <v>417</v>
      </c>
      <c r="D96">
        <f>SUMIF(Positions[Positions],Salary[[#This Row],[Position]],Positions[Grade])</f>
        <v>201</v>
      </c>
      <c r="E96" t="s">
        <v>3113</v>
      </c>
      <c r="F96" s="31">
        <v>41000</v>
      </c>
      <c r="G96" s="135">
        <f>ROUND(Salary[[#This Row],[Salary]]/160,0)</f>
        <v>256</v>
      </c>
      <c r="H96">
        <v>1</v>
      </c>
      <c r="I96" s="31">
        <f>Salary[[#This Row],[FTE]]*Salary[[#This Row],[Salary]]</f>
        <v>41000</v>
      </c>
      <c r="J96" s="575">
        <f>INDEX(GradesAndSalaries[],MATCH(Salary[[#This Row],[Grade]],GradesAndSalaries[Grade],0),MATCH(Employee[[#Headers],[Base Budgeting COST]],GradesAndSalaries[#Headers],0))</f>
        <v>733</v>
      </c>
      <c r="L96" s="6">
        <f>Salary[[#This Row],[Salary]]/(1-INDEX(Tax[НДФЛ],MATCH(Salary[[#This Row],[PaymentMethod]],Tax[PaymentMethod])))</f>
        <v>47126.436781609198</v>
      </c>
      <c r="M96" t="s">
        <v>1623</v>
      </c>
      <c r="N96" s="6">
        <f>Salary[[#This Row],[НДФЛ]]+Salary[[#This Row],[Фонды]]+Salary[[#This Row],[Налог на прибыль]]+Salary[[#This Row],[НДС]]</f>
        <v>32630.34482758621</v>
      </c>
      <c r="O96" s="6">
        <f>Salary[[#This Row],[Salary]]+Salary[[#This Row],[Полный Налог]]</f>
        <v>73630.344827586203</v>
      </c>
      <c r="P96" s="6">
        <f>Salary[[#This Row],[Полный Налог]]/Salary[[#This Row],[Salary]]</f>
        <v>0.79586206896551737</v>
      </c>
      <c r="Q96" s="6">
        <f>Salary[[#This Row],[SalaryOfficial]]*INDEX(Tax[НДФЛ],MATCH(Salary[[#This Row],[PaymentMethod]],Tax[PaymentMethod], 0))</f>
        <v>6126.4367816091963</v>
      </c>
      <c r="R96" s="6">
        <f>Salary[[#This Row],[SalaryOfficial]]*INDEX(Tax[Взносы],MATCH(Salary[[#This Row],[PaymentMethod]],Tax[PaymentMethod],0))</f>
        <v>14232.183908045979</v>
      </c>
      <c r="S96" s="6">
        <f>Salary[[#This Row],[Salary]]+Salary[[#This Row],[НДФЛ]]+Salary[[#This Row],[Фонды]]</f>
        <v>61358.620689655174</v>
      </c>
      <c r="T96" s="6">
        <f>Salary[[#This Row],[ЗП+НДФЛ+Фонды]]/(1-INDEX(Tax[УСН или Прибыль],MATCH(Salary[[#This Row],[PaymentMethod]],Tax[PaymentMethod],0)))</f>
        <v>61358.620689655174</v>
      </c>
      <c r="U96" s="6">
        <f>Salary[[#This Row],[Прибыль]]*INDEX(Tax[УСН или Прибыль],MATCH(Salary[[#This Row],[PaymentMethod]],Tax[PaymentMethod],0))</f>
        <v>0</v>
      </c>
      <c r="V96" s="6">
        <f>Salary[[#This Row],[Прибыль]]*INDEX(Tax[НДС],MATCH(Salary[[#This Row],[PaymentMethod]],Tax[PaymentMethod],0))</f>
        <v>12271.724137931036</v>
      </c>
    </row>
    <row r="97" spans="1:22" x14ac:dyDescent="0.25">
      <c r="A97">
        <v>96</v>
      </c>
      <c r="B97" s="91">
        <v>44986</v>
      </c>
      <c r="C97" s="2" t="s">
        <v>146</v>
      </c>
      <c r="D97">
        <f>SUMIF(Positions[Positions],Salary[[#This Row],[Position]],Positions[Grade])</f>
        <v>301</v>
      </c>
      <c r="E97" t="s">
        <v>2634</v>
      </c>
      <c r="F97" s="31">
        <v>79750</v>
      </c>
      <c r="G97" s="135">
        <f>ROUND(Salary[[#This Row],[Salary]]/160,0)</f>
        <v>498</v>
      </c>
      <c r="H97">
        <v>1</v>
      </c>
      <c r="I97" s="31">
        <f>Salary[[#This Row],[FTE]]*Salary[[#This Row],[Salary]]</f>
        <v>79750</v>
      </c>
      <c r="J97" s="575">
        <f>INDEX(GradesAndSalaries[],MATCH(Salary[[#This Row],[Grade]],GradesAndSalaries[Grade],0),MATCH(Employee[[#Headers],[Base Budgeting COST]],GradesAndSalaries[#Headers],0))</f>
        <v>1596</v>
      </c>
      <c r="L97" s="6">
        <f>Salary[[#This Row],[Salary]]/(1-INDEX(Tax[НДФЛ],MATCH(Salary[[#This Row],[PaymentMethod]],Tax[PaymentMethod])))</f>
        <v>91666.666666666672</v>
      </c>
      <c r="M97" t="s">
        <v>1623</v>
      </c>
      <c r="N97" s="6">
        <f>Salary[[#This Row],[НДФЛ]]+Salary[[#This Row],[Фонды]]+Salary[[#This Row],[Налог на прибыль]]+Salary[[#This Row],[НДС]]</f>
        <v>63470.000000000015</v>
      </c>
      <c r="O97" s="6">
        <f>Salary[[#This Row],[Salary]]+Salary[[#This Row],[Полный Налог]]</f>
        <v>143220</v>
      </c>
      <c r="P97" s="6">
        <f>Salary[[#This Row],[Полный Налог]]/Salary[[#This Row],[Salary]]</f>
        <v>0.79586206896551748</v>
      </c>
      <c r="Q97" s="6">
        <f>Salary[[#This Row],[SalaryOfficial]]*INDEX(Tax[НДФЛ],MATCH(Salary[[#This Row],[PaymentMethod]],Tax[PaymentMethod], 0))</f>
        <v>11916.666666666668</v>
      </c>
      <c r="R97" s="6">
        <f>Salary[[#This Row],[SalaryOfficial]]*INDEX(Tax[Взносы],MATCH(Salary[[#This Row],[PaymentMethod]],Tax[PaymentMethod],0))</f>
        <v>27683.333333333339</v>
      </c>
      <c r="S97" s="6">
        <f>Salary[[#This Row],[Salary]]+Salary[[#This Row],[НДФЛ]]+Salary[[#This Row],[Фонды]]</f>
        <v>119350.00000000001</v>
      </c>
      <c r="T97" s="6">
        <f>Salary[[#This Row],[ЗП+НДФЛ+Фонды]]/(1-INDEX(Tax[УСН или Прибыль],MATCH(Salary[[#This Row],[PaymentMethod]],Tax[PaymentMethod],0)))</f>
        <v>119350.00000000001</v>
      </c>
      <c r="U97" s="6">
        <f>Salary[[#This Row],[Прибыль]]*INDEX(Tax[УСН или Прибыль],MATCH(Salary[[#This Row],[PaymentMethod]],Tax[PaymentMethod],0))</f>
        <v>0</v>
      </c>
      <c r="V97" s="6">
        <f>Salary[[#This Row],[Прибыль]]*INDEX(Tax[НДС],MATCH(Salary[[#This Row],[PaymentMethod]],Tax[PaymentMethod],0))</f>
        <v>23870.000000000004</v>
      </c>
    </row>
    <row r="98" spans="1:22" x14ac:dyDescent="0.25">
      <c r="A98">
        <v>97</v>
      </c>
      <c r="B98" s="91">
        <v>44986</v>
      </c>
      <c r="C98" t="s">
        <v>146</v>
      </c>
      <c r="D98">
        <f>SUMIF(Positions[Positions],Salary[[#This Row],[Position]],Positions[Grade])</f>
        <v>301</v>
      </c>
      <c r="E98" t="s">
        <v>2623</v>
      </c>
      <c r="F98" s="31">
        <v>80000</v>
      </c>
      <c r="G98" s="135">
        <f>ROUND(Salary[[#This Row],[Salary]]/160,0)</f>
        <v>500</v>
      </c>
      <c r="H98">
        <v>0.2</v>
      </c>
      <c r="I98" s="31">
        <f>Salary[[#This Row],[FTE]]*Salary[[#This Row],[Salary]]</f>
        <v>16000</v>
      </c>
      <c r="J98" s="575">
        <f>INDEX(GradesAndSalaries[],MATCH(Salary[[#This Row],[Grade]],GradesAndSalaries[Grade],0),MATCH(Employee[[#Headers],[Base Budgeting COST]],GradesAndSalaries[#Headers],0))</f>
        <v>1596</v>
      </c>
      <c r="L98" s="6">
        <f>Salary[[#This Row],[Salary]]/(1-INDEX(Tax[НДФЛ],MATCH(Salary[[#This Row],[PaymentMethod]],Tax[PaymentMethod])))</f>
        <v>91954.022988505749</v>
      </c>
      <c r="M98" t="s">
        <v>1623</v>
      </c>
      <c r="N98" s="6">
        <f>Salary[[#This Row],[НДФЛ]]+Salary[[#This Row],[Фонды]]+Salary[[#This Row],[Налог на прибыль]]+Salary[[#This Row],[НДС]]</f>
        <v>63668.965517241384</v>
      </c>
      <c r="O98" s="6">
        <f>Salary[[#This Row],[Salary]]+Salary[[#This Row],[Полный Налог]]</f>
        <v>143668.96551724139</v>
      </c>
      <c r="P98" s="6">
        <f>Salary[[#This Row],[Полный Налог]]/Salary[[#This Row],[Salary]]</f>
        <v>0.79586206896551726</v>
      </c>
      <c r="Q98" s="6">
        <f>Salary[[#This Row],[SalaryOfficial]]*INDEX(Tax[НДФЛ],MATCH(Salary[[#This Row],[PaymentMethod]],Tax[PaymentMethod], 0))</f>
        <v>11954.022988505747</v>
      </c>
      <c r="R98" s="6">
        <f>Salary[[#This Row],[SalaryOfficial]]*INDEX(Tax[Взносы],MATCH(Salary[[#This Row],[PaymentMethod]],Tax[PaymentMethod],0))</f>
        <v>27770.11494252874</v>
      </c>
      <c r="S98" s="6">
        <f>Salary[[#This Row],[Salary]]+Salary[[#This Row],[НДФЛ]]+Salary[[#This Row],[Фонды]]</f>
        <v>119724.13793103449</v>
      </c>
      <c r="T98" s="6">
        <f>Salary[[#This Row],[ЗП+НДФЛ+Фонды]]/(1-INDEX(Tax[УСН или Прибыль],MATCH(Salary[[#This Row],[PaymentMethod]],Tax[PaymentMethod],0)))</f>
        <v>119724.13793103449</v>
      </c>
      <c r="U98" s="6">
        <f>Salary[[#This Row],[Прибыль]]*INDEX(Tax[УСН или Прибыль],MATCH(Salary[[#This Row],[PaymentMethod]],Tax[PaymentMethod],0))</f>
        <v>0</v>
      </c>
      <c r="V98" s="6">
        <f>Salary[[#This Row],[Прибыль]]*INDEX(Tax[НДС],MATCH(Salary[[#This Row],[PaymentMethod]],Tax[PaymentMethod],0))</f>
        <v>23944.827586206899</v>
      </c>
    </row>
    <row r="99" spans="1:22" x14ac:dyDescent="0.25">
      <c r="A99">
        <v>98</v>
      </c>
      <c r="B99" s="91">
        <v>44986</v>
      </c>
      <c r="C99" t="s">
        <v>148</v>
      </c>
      <c r="D99">
        <f>SUMIF(Positions[Positions],Salary[[#This Row],[Position]],Positions[Grade])</f>
        <v>401</v>
      </c>
      <c r="E99" t="s">
        <v>2622</v>
      </c>
      <c r="F99" s="31">
        <v>140000</v>
      </c>
      <c r="G99" s="135">
        <f>ROUND(Salary[[#This Row],[Salary]]/160,0)</f>
        <v>875</v>
      </c>
      <c r="H99">
        <v>0.2</v>
      </c>
      <c r="I99" s="31">
        <f>Salary[[#This Row],[FTE]]*Salary[[#This Row],[Salary]]</f>
        <v>28000</v>
      </c>
      <c r="J99" s="575">
        <f>INDEX(GradesAndSalaries[],MATCH(Salary[[#This Row],[Grade]],GradesAndSalaries[Grade],0),MATCH(Employee[[#Headers],[Base Budgeting COST]],GradesAndSalaries[#Headers],0))</f>
        <v>3238</v>
      </c>
      <c r="L99" s="6">
        <f>Salary[[#This Row],[Salary]]/(1-INDEX(Tax[НДФЛ],MATCH(Salary[[#This Row],[PaymentMethod]],Tax[PaymentMethod])))</f>
        <v>160919.54022988505</v>
      </c>
      <c r="M99" t="s">
        <v>1623</v>
      </c>
      <c r="N99" s="6">
        <f>Salary[[#This Row],[НДФЛ]]+Salary[[#This Row],[Фонды]]+Salary[[#This Row],[Налог на прибыль]]+Salary[[#This Row],[НДС]]</f>
        <v>111420.68965517242</v>
      </c>
      <c r="O99" s="6">
        <f>Salary[[#This Row],[Salary]]+Salary[[#This Row],[Полный Налог]]</f>
        <v>251420.68965517241</v>
      </c>
      <c r="P99" s="6">
        <f>Salary[[#This Row],[Полный Налог]]/Salary[[#This Row],[Salary]]</f>
        <v>0.79586206896551726</v>
      </c>
      <c r="Q99" s="6">
        <f>Salary[[#This Row],[SalaryOfficial]]*INDEX(Tax[НДФЛ],MATCH(Salary[[#This Row],[PaymentMethod]],Tax[PaymentMethod], 0))</f>
        <v>20919.540229885057</v>
      </c>
      <c r="R99" s="6">
        <f>Salary[[#This Row],[SalaryOfficial]]*INDEX(Tax[Взносы],MATCH(Salary[[#This Row],[PaymentMethod]],Tax[PaymentMethod],0))</f>
        <v>48597.701149425295</v>
      </c>
      <c r="S99" s="6">
        <f>Salary[[#This Row],[Salary]]+Salary[[#This Row],[НДФЛ]]+Salary[[#This Row],[Фонды]]</f>
        <v>209517.24137931035</v>
      </c>
      <c r="T99" s="6">
        <f>Salary[[#This Row],[ЗП+НДФЛ+Фонды]]/(1-INDEX(Tax[УСН или Прибыль],MATCH(Salary[[#This Row],[PaymentMethod]],Tax[PaymentMethod],0)))</f>
        <v>209517.24137931035</v>
      </c>
      <c r="U99" s="6">
        <f>Salary[[#This Row],[Прибыль]]*INDEX(Tax[УСН или Прибыль],MATCH(Salary[[#This Row],[PaymentMethod]],Tax[PaymentMethod],0))</f>
        <v>0</v>
      </c>
      <c r="V99" s="6">
        <f>Salary[[#This Row],[Прибыль]]*INDEX(Tax[НДС],MATCH(Salary[[#This Row],[PaymentMethod]],Tax[PaymentMethod],0))</f>
        <v>41903.448275862072</v>
      </c>
    </row>
    <row r="100" spans="1:22" x14ac:dyDescent="0.25">
      <c r="A100">
        <v>99</v>
      </c>
      <c r="B100" s="91">
        <v>44986</v>
      </c>
      <c r="C100" s="2" t="s">
        <v>432</v>
      </c>
      <c r="D100" s="666">
        <f>SUMIF(Positions[Positions],Salary[[#This Row],[Position]],Positions[Grade])</f>
        <v>402</v>
      </c>
      <c r="E100" t="s">
        <v>262</v>
      </c>
      <c r="F100" s="31">
        <v>202750</v>
      </c>
      <c r="G100" s="135">
        <f>ROUND(Salary[[#This Row],[Salary]]/160,0)</f>
        <v>1267</v>
      </c>
      <c r="H100">
        <v>1</v>
      </c>
      <c r="I100" s="31">
        <f>Salary[[#This Row],[FTE]]*Salary[[#This Row],[Salary]]</f>
        <v>202750</v>
      </c>
      <c r="J100" s="639">
        <f>INDEX(GradesAndSalaries[],MATCH(Salary[[#This Row],[Grade]],GradesAndSalaries[Grade],0),MATCH(Employee[[#Headers],[Base Budgeting COST]],GradesAndSalaries[#Headers],0))</f>
        <v>4449</v>
      </c>
      <c r="L100" s="6">
        <f>Salary[[#This Row],[Salary]]/(1-INDEX(Tax[НДФЛ],MATCH(Salary[[#This Row],[PaymentMethod]],Tax[PaymentMethod])))</f>
        <v>202750</v>
      </c>
      <c r="M100" t="s">
        <v>710</v>
      </c>
      <c r="N100" s="6">
        <f>Salary[[#This Row],[НДФЛ]]+Salary[[#This Row],[Фонды]]+Salary[[#This Row],[Налог на прибыль]]+Salary[[#This Row],[НДС]]</f>
        <v>58862.903225806462</v>
      </c>
      <c r="O100" s="6">
        <f>Salary[[#This Row],[Salary]]+Salary[[#This Row],[Полный Налог]]</f>
        <v>261612.90322580645</v>
      </c>
      <c r="P100">
        <f>Salary[[#This Row],[Полный Налог]]/Salary[[#This Row],[Salary]]</f>
        <v>0.29032258064516137</v>
      </c>
      <c r="Q100">
        <f>Salary[[#This Row],[SalaryOfficial]]*INDEX(Tax[НДФЛ],MATCH(Salary[[#This Row],[PaymentMethod]],Tax[PaymentMethod], 0))</f>
        <v>0</v>
      </c>
      <c r="R100">
        <f>Salary[[#This Row],[SalaryOfficial]]*INDEX(Tax[Взносы],MATCH(Salary[[#This Row],[PaymentMethod]],Tax[PaymentMethod],0))</f>
        <v>0</v>
      </c>
      <c r="S100">
        <f>Salary[[#This Row],[Salary]]+Salary[[#This Row],[НДФЛ]]+Salary[[#This Row],[Фонды]]</f>
        <v>202750</v>
      </c>
      <c r="T100">
        <f>Salary[[#This Row],[ЗП+НДФЛ+Фонды]]/(1-INDEX(Tax[УСН или Прибыль],MATCH(Salary[[#This Row],[PaymentMethod]],Tax[PaymentMethod],0)))</f>
        <v>218010.75268817207</v>
      </c>
      <c r="U100">
        <f>Salary[[#This Row],[Прибыль]]*INDEX(Tax[УСН или Прибыль],MATCH(Salary[[#This Row],[PaymentMethod]],Tax[PaymentMethod],0))</f>
        <v>15260.752688172046</v>
      </c>
      <c r="V100">
        <f>Salary[[#This Row],[Прибыль]]*INDEX(Tax[НДС],MATCH(Salary[[#This Row],[PaymentMethod]],Tax[PaymentMethod],0))</f>
        <v>43602.150537634414</v>
      </c>
    </row>
    <row r="101" spans="1:22" x14ac:dyDescent="0.25">
      <c r="A101">
        <v>100</v>
      </c>
      <c r="B101" s="91">
        <v>44986</v>
      </c>
      <c r="C101" s="2" t="s">
        <v>433</v>
      </c>
      <c r="D101" s="666">
        <f>SUMIF(Positions[Positions],Salary[[#This Row],[Position]],Positions[Grade])</f>
        <v>403</v>
      </c>
      <c r="E101" t="s">
        <v>72</v>
      </c>
      <c r="F101" s="31">
        <v>250000</v>
      </c>
      <c r="G101" s="135">
        <f>ROUND(Salary[[#This Row],[Salary]]/160,0)</f>
        <v>1563</v>
      </c>
      <c r="H101">
        <v>1</v>
      </c>
      <c r="I101" s="31">
        <f>Salary[[#This Row],[FTE]]*Salary[[#This Row],[Salary]]</f>
        <v>250000</v>
      </c>
      <c r="J101" s="741">
        <f>INDEX(GradesAndSalaries[],MATCH(Salary[[#This Row],[Grade]],GradesAndSalaries[Grade],0),MATCH(Employee[[#Headers],[Base Budgeting COST]],GradesAndSalaries[#Headers],0))</f>
        <v>6125</v>
      </c>
      <c r="L101" s="6">
        <f>Salary[[#This Row],[Salary]]/(1-INDEX(Tax[НДФЛ],MATCH(Salary[[#This Row],[PaymentMethod]],Tax[PaymentMethod])))</f>
        <v>250000</v>
      </c>
      <c r="M101" t="s">
        <v>710</v>
      </c>
      <c r="N101" s="6">
        <f>Salary[[#This Row],[НДФЛ]]+Salary[[#This Row],[Фонды]]+Salary[[#This Row],[Налог на прибыль]]+Salary[[#This Row],[НДС]]</f>
        <v>72580.645161290333</v>
      </c>
      <c r="O101" s="6">
        <f>Salary[[#This Row],[Salary]]+Salary[[#This Row],[Полный Налог]]</f>
        <v>322580.6451612903</v>
      </c>
      <c r="P101">
        <f>Salary[[#This Row],[Полный Налог]]/Salary[[#This Row],[Salary]]</f>
        <v>0.29032258064516131</v>
      </c>
      <c r="Q101">
        <f>Salary[[#This Row],[SalaryOfficial]]*INDEX(Tax[НДФЛ],MATCH(Salary[[#This Row],[PaymentMethod]],Tax[PaymentMethod], 0))</f>
        <v>0</v>
      </c>
      <c r="R101">
        <f>Salary[[#This Row],[SalaryOfficial]]*INDEX(Tax[Взносы],MATCH(Salary[[#This Row],[PaymentMethod]],Tax[PaymentMethod],0))</f>
        <v>0</v>
      </c>
      <c r="S101">
        <f>Salary[[#This Row],[Salary]]+Salary[[#This Row],[НДФЛ]]+Salary[[#This Row],[Фонды]]</f>
        <v>250000</v>
      </c>
      <c r="T101">
        <f>Salary[[#This Row],[ЗП+НДФЛ+Фонды]]/(1-INDEX(Tax[УСН или Прибыль],MATCH(Salary[[#This Row],[PaymentMethod]],Tax[PaymentMethod],0)))</f>
        <v>268817.20430107531</v>
      </c>
      <c r="U101">
        <f>Salary[[#This Row],[Прибыль]]*INDEX(Tax[УСН или Прибыль],MATCH(Salary[[#This Row],[PaymentMethod]],Tax[PaymentMethod],0))</f>
        <v>18817.204301075275</v>
      </c>
      <c r="V101">
        <f>Salary[[#This Row],[Прибыль]]*INDEX(Tax[НДС],MATCH(Salary[[#This Row],[PaymentMethod]],Tax[PaymentMethod],0))</f>
        <v>53763.440860215065</v>
      </c>
    </row>
    <row r="102" spans="1:22" x14ac:dyDescent="0.25">
      <c r="A102">
        <v>101</v>
      </c>
      <c r="B102" s="91">
        <v>44998</v>
      </c>
      <c r="C102" s="2" t="s">
        <v>149</v>
      </c>
      <c r="D102">
        <f>SUMIF(Positions[Positions],Salary[[#This Row],[Position]],Positions[Grade])</f>
        <v>402</v>
      </c>
      <c r="E102" t="s">
        <v>3119</v>
      </c>
      <c r="F102" s="31">
        <v>180000</v>
      </c>
      <c r="G102" s="135">
        <f>ROUND(Salary[[#This Row],[Salary]]/160,0)</f>
        <v>1125</v>
      </c>
      <c r="H102">
        <v>1</v>
      </c>
      <c r="I102" s="31">
        <f>Salary[[#This Row],[FTE]]*Salary[[#This Row],[Salary]]</f>
        <v>180000</v>
      </c>
      <c r="J102" s="575">
        <f>INDEX(GradesAndSalaries[],MATCH(Salary[[#This Row],[Grade]],GradesAndSalaries[Grade],0),MATCH(Employee[[#Headers],[Base Budgeting COST]],GradesAndSalaries[#Headers],0))</f>
        <v>4449</v>
      </c>
      <c r="L102" s="6">
        <f>Salary[[#This Row],[Salary]]/(1-INDEX(Tax[НДФЛ],MATCH(Salary[[#This Row],[PaymentMethod]],Tax[PaymentMethod])))</f>
        <v>206896.55172413794</v>
      </c>
      <c r="M102" t="s">
        <v>1623</v>
      </c>
      <c r="N102" s="6">
        <f>Salary[[#This Row],[НДФЛ]]+Salary[[#This Row],[Фонды]]+Salary[[#This Row],[Налог на прибыль]]+Salary[[#This Row],[НДС]]</f>
        <v>143255.1724137931</v>
      </c>
      <c r="O102" s="6">
        <f>Salary[[#This Row],[Salary]]+Salary[[#This Row],[Полный Налог]]</f>
        <v>323255.1724137931</v>
      </c>
      <c r="P102" s="6">
        <f>Salary[[#This Row],[Полный Налог]]/Salary[[#This Row],[Salary]]</f>
        <v>0.79586206896551726</v>
      </c>
      <c r="Q102" s="6">
        <f>Salary[[#This Row],[SalaryOfficial]]*INDEX(Tax[НДФЛ],MATCH(Salary[[#This Row],[PaymentMethod]],Tax[PaymentMethod], 0))</f>
        <v>26896.551724137935</v>
      </c>
      <c r="R102" s="6">
        <f>Salary[[#This Row],[SalaryOfficial]]*INDEX(Tax[Взносы],MATCH(Salary[[#This Row],[PaymentMethod]],Tax[PaymentMethod],0))</f>
        <v>62482.758620689667</v>
      </c>
      <c r="S102" s="6">
        <f>Salary[[#This Row],[Salary]]+Salary[[#This Row],[НДФЛ]]+Salary[[#This Row],[Фонды]]</f>
        <v>269379.31034482759</v>
      </c>
      <c r="T102" s="6">
        <f>Salary[[#This Row],[ЗП+НДФЛ+Фонды]]/(1-INDEX(Tax[УСН или Прибыль],MATCH(Salary[[#This Row],[PaymentMethod]],Tax[PaymentMethod],0)))</f>
        <v>269379.31034482759</v>
      </c>
      <c r="U102" s="6">
        <f>Salary[[#This Row],[Прибыль]]*INDEX(Tax[УСН или Прибыль],MATCH(Salary[[#This Row],[PaymentMethod]],Tax[PaymentMethod],0))</f>
        <v>0</v>
      </c>
      <c r="V102" s="6">
        <f>Salary[[#This Row],[Прибыль]]*INDEX(Tax[НДС],MATCH(Salary[[#This Row],[PaymentMethod]],Tax[PaymentMethod],0))</f>
        <v>53875.862068965522</v>
      </c>
    </row>
    <row r="103" spans="1:22" x14ac:dyDescent="0.25">
      <c r="A103">
        <v>102</v>
      </c>
      <c r="B103" s="91">
        <v>45016</v>
      </c>
      <c r="C103" s="2" t="s">
        <v>419</v>
      </c>
      <c r="D103" s="666">
        <f>SUMIF(Positions[Positions],Salary[[#This Row],[Position]],Positions[Grade])</f>
        <v>100</v>
      </c>
      <c r="E103" t="s">
        <v>2928</v>
      </c>
      <c r="F103" s="31">
        <v>0</v>
      </c>
      <c r="G103" s="135">
        <f>ROUND(Salary[[#This Row],[Salary]]/160,0)</f>
        <v>0</v>
      </c>
      <c r="H103">
        <v>0</v>
      </c>
      <c r="I103" s="31">
        <f>Salary[[#This Row],[FTE]]*Salary[[#This Row],[Salary]]</f>
        <v>0</v>
      </c>
      <c r="J103" s="741">
        <f>INDEX(GradesAndSalaries[],MATCH(Salary[[#This Row],[Grade]],GradesAndSalaries[Grade],0),MATCH(Employee[[#Headers],[Base Budgeting COST]],GradesAndSalaries[#Headers],0))</f>
        <v>0</v>
      </c>
      <c r="L103" s="6" t="e">
        <f>Salary[[#This Row],[Salary]]/(1-INDEX(Tax[НДФЛ],MATCH(Salary[[#This Row],[PaymentMethod]],Tax[PaymentMethod])))</f>
        <v>#N/A</v>
      </c>
      <c r="N103" t="e">
        <f>Salary[[#This Row],[НДФЛ]]+Salary[[#This Row],[Фонды]]+Salary[[#This Row],[Налог на прибыль]]+Salary[[#This Row],[НДС]]</f>
        <v>#N/A</v>
      </c>
      <c r="O103" t="e">
        <f>Salary[[#This Row],[Salary]]+Salary[[#This Row],[Полный Налог]]</f>
        <v>#N/A</v>
      </c>
      <c r="P103" t="e">
        <f>Salary[[#This Row],[Полный Налог]]/Salary[[#This Row],[Salary]]</f>
        <v>#N/A</v>
      </c>
      <c r="Q103" t="e">
        <f>Salary[[#This Row],[SalaryOfficial]]*INDEX(Tax[НДФЛ],MATCH(Salary[[#This Row],[PaymentMethod]],Tax[PaymentMethod], 0))</f>
        <v>#N/A</v>
      </c>
      <c r="R103" t="e">
        <f>Salary[[#This Row],[SalaryOfficial]]*INDEX(Tax[Взносы],MATCH(Salary[[#This Row],[PaymentMethod]],Tax[PaymentMethod],0))</f>
        <v>#N/A</v>
      </c>
      <c r="S103" t="e">
        <f>Salary[[#This Row],[Salary]]+Salary[[#This Row],[НДФЛ]]+Salary[[#This Row],[Фонды]]</f>
        <v>#N/A</v>
      </c>
      <c r="T103" t="e">
        <f>Salary[[#This Row],[ЗП+НДФЛ+Фонды]]/(1-INDEX(Tax[УСН или Прибыль],MATCH(Salary[[#This Row],[PaymentMethod]],Tax[PaymentMethod],0)))</f>
        <v>#N/A</v>
      </c>
      <c r="U103" t="e">
        <f>Salary[[#This Row],[Прибыль]]*INDEX(Tax[УСН или Прибыль],MATCH(Salary[[#This Row],[PaymentMethod]],Tax[PaymentMethod],0))</f>
        <v>#N/A</v>
      </c>
      <c r="V103" t="e">
        <f>Salary[[#This Row],[Прибыль]]*INDEX(Tax[НДС],MATCH(Salary[[#This Row],[PaymentMethod]],Tax[PaymentMethod],0))</f>
        <v>#N/A</v>
      </c>
    </row>
    <row r="104" spans="1:22" x14ac:dyDescent="0.25">
      <c r="A104">
        <v>103</v>
      </c>
      <c r="B104" s="91">
        <v>45017</v>
      </c>
      <c r="C104" s="2" t="s">
        <v>417</v>
      </c>
      <c r="D104">
        <f>SUMIF(Positions[Positions],Salary[[#This Row],[Position]],Positions[Grade])</f>
        <v>201</v>
      </c>
      <c r="E104" t="s">
        <v>3113</v>
      </c>
      <c r="F104" s="31">
        <v>41000</v>
      </c>
      <c r="G104" s="135">
        <f>ROUND(Salary[[#This Row],[Salary]]/160,0)</f>
        <v>256</v>
      </c>
      <c r="H104">
        <v>0.8</v>
      </c>
      <c r="I104" s="31">
        <f>Salary[[#This Row],[FTE]]*Salary[[#This Row],[Salary]]</f>
        <v>32800</v>
      </c>
      <c r="J104" s="639">
        <f>INDEX(GradesAndSalaries[],MATCH(Salary[[#This Row],[Grade]],GradesAndSalaries[Grade],0),MATCH(Employee[[#Headers],[Base Budgeting COST]],GradesAndSalaries[#Headers],0))</f>
        <v>733</v>
      </c>
      <c r="L104" s="6">
        <f>Salary[[#This Row],[Salary]]/(1-INDEX(Tax[НДФЛ],MATCH(Salary[[#This Row],[PaymentMethod]],Tax[PaymentMethod])))</f>
        <v>47126.436781609198</v>
      </c>
      <c r="M104" t="s">
        <v>1623</v>
      </c>
      <c r="N104" s="6">
        <f>Salary[[#This Row],[НДФЛ]]+Salary[[#This Row],[Фонды]]+Salary[[#This Row],[Налог на прибыль]]+Salary[[#This Row],[НДС]]</f>
        <v>32630.34482758621</v>
      </c>
      <c r="O104" s="6">
        <f>Salary[[#This Row],[Salary]]+Salary[[#This Row],[Полный Налог]]</f>
        <v>73630.344827586203</v>
      </c>
      <c r="P104" s="6">
        <f>Salary[[#This Row],[Полный Налог]]/Salary[[#This Row],[Salary]]</f>
        <v>0.79586206896551737</v>
      </c>
      <c r="Q104" s="6">
        <f>Salary[[#This Row],[SalaryOfficial]]*INDEX(Tax[НДФЛ],MATCH(Salary[[#This Row],[PaymentMethod]],Tax[PaymentMethod], 0))</f>
        <v>6126.4367816091963</v>
      </c>
      <c r="R104" s="6">
        <f>Salary[[#This Row],[SalaryOfficial]]*INDEX(Tax[Взносы],MATCH(Salary[[#This Row],[PaymentMethod]],Tax[PaymentMethod],0))</f>
        <v>14232.183908045979</v>
      </c>
      <c r="S104" s="6">
        <f>Salary[[#This Row],[Salary]]+Salary[[#This Row],[НДФЛ]]+Salary[[#This Row],[Фонды]]</f>
        <v>61358.620689655174</v>
      </c>
      <c r="T104" s="6">
        <f>Salary[[#This Row],[ЗП+НДФЛ+Фонды]]/(1-INDEX(Tax[УСН или Прибыль],MATCH(Salary[[#This Row],[PaymentMethod]],Tax[PaymentMethod],0)))</f>
        <v>61358.620689655174</v>
      </c>
      <c r="U104" s="6">
        <f>Salary[[#This Row],[Прибыль]]*INDEX(Tax[УСН или Прибыль],MATCH(Salary[[#This Row],[PaymentMethod]],Tax[PaymentMethod],0))</f>
        <v>0</v>
      </c>
      <c r="V104" s="6">
        <f>Salary[[#This Row],[Прибыль]]*INDEX(Tax[НДС],MATCH(Salary[[#This Row],[PaymentMethod]],Tax[PaymentMethod],0))</f>
        <v>12271.724137931036</v>
      </c>
    </row>
    <row r="105" spans="1:22" x14ac:dyDescent="0.25">
      <c r="A105">
        <v>104</v>
      </c>
      <c r="B105" s="91">
        <v>45019</v>
      </c>
      <c r="C105" s="2" t="s">
        <v>147</v>
      </c>
      <c r="D105">
        <f>SUMIF(Positions[Positions],Salary[[#This Row],[Position]],Positions[Grade])</f>
        <v>302</v>
      </c>
      <c r="E105" t="s">
        <v>3155</v>
      </c>
      <c r="F105" s="31">
        <v>150000</v>
      </c>
      <c r="G105" s="135">
        <f>ROUND(Salary[[#This Row],[Salary]]/160,0)</f>
        <v>938</v>
      </c>
      <c r="H105">
        <v>0.5</v>
      </c>
      <c r="I105" s="31">
        <f>Salary[[#This Row],[FTE]]*Salary[[#This Row],[Salary]]</f>
        <v>75000</v>
      </c>
      <c r="J105" s="639">
        <f>INDEX(GradesAndSalaries[],MATCH(Salary[[#This Row],[Grade]],GradesAndSalaries[Grade],0),MATCH(Employee[[#Headers],[Base Budgeting COST]],GradesAndSalaries[#Headers],0))</f>
        <v>1846</v>
      </c>
      <c r="L105" s="6">
        <f>Salary[[#This Row],[Salary]]/(1-INDEX(Tax[НДФЛ],MATCH(Salary[[#This Row],[PaymentMethod]],Tax[PaymentMethod])))</f>
        <v>172413.79310344829</v>
      </c>
      <c r="M105" t="s">
        <v>1623</v>
      </c>
      <c r="N105" s="6">
        <f>Salary[[#This Row],[НДФЛ]]+Salary[[#This Row],[Фонды]]+Salary[[#This Row],[Налог на прибыль]]+Salary[[#This Row],[НДС]]</f>
        <v>119379.31034482761</v>
      </c>
      <c r="O105" s="6">
        <f>Salary[[#This Row],[Salary]]+Salary[[#This Row],[Полный Налог]]</f>
        <v>269379.31034482759</v>
      </c>
      <c r="P105" s="6">
        <f>Salary[[#This Row],[Полный Налог]]/Salary[[#This Row],[Salary]]</f>
        <v>0.79586206896551737</v>
      </c>
      <c r="Q105" s="6">
        <f>Salary[[#This Row],[SalaryOfficial]]*INDEX(Tax[НДФЛ],MATCH(Salary[[#This Row],[PaymentMethod]],Tax[PaymentMethod], 0))</f>
        <v>22413.793103448279</v>
      </c>
      <c r="R105" s="6">
        <f>Salary[[#This Row],[SalaryOfficial]]*INDEX(Tax[Взносы],MATCH(Salary[[#This Row],[PaymentMethod]],Tax[PaymentMethod],0))</f>
        <v>52068.965517241391</v>
      </c>
      <c r="S105" s="6">
        <f>Salary[[#This Row],[Salary]]+Salary[[#This Row],[НДФЛ]]+Salary[[#This Row],[Фонды]]</f>
        <v>224482.75862068968</v>
      </c>
      <c r="T105" s="6">
        <f>Salary[[#This Row],[ЗП+НДФЛ+Фонды]]/(1-INDEX(Tax[УСН или Прибыль],MATCH(Salary[[#This Row],[PaymentMethod]],Tax[PaymentMethod],0)))</f>
        <v>224482.75862068968</v>
      </c>
      <c r="U105" s="6">
        <f>Salary[[#This Row],[Прибыль]]*INDEX(Tax[УСН или Прибыль],MATCH(Salary[[#This Row],[PaymentMethod]],Tax[PaymentMethod],0))</f>
        <v>0</v>
      </c>
      <c r="V105" s="6">
        <f>Salary[[#This Row],[Прибыль]]*INDEX(Tax[НДС],MATCH(Salary[[#This Row],[PaymentMethod]],Tax[PaymentMethod],0))</f>
        <v>44896.551724137942</v>
      </c>
    </row>
    <row r="106" spans="1:22" x14ac:dyDescent="0.25">
      <c r="A106">
        <v>105</v>
      </c>
      <c r="B106" s="91">
        <v>45026</v>
      </c>
      <c r="C106" s="2" t="s">
        <v>146</v>
      </c>
      <c r="D106">
        <f>SUMIF(Positions[Positions],Salary[[#This Row],[Position]],Positions[Grade])</f>
        <v>301</v>
      </c>
      <c r="E106" t="s">
        <v>3154</v>
      </c>
      <c r="F106" s="31">
        <v>86000</v>
      </c>
      <c r="G106" s="135">
        <f>ROUND(Salary[[#This Row],[Salary]]/160,0)</f>
        <v>538</v>
      </c>
      <c r="H106">
        <v>1</v>
      </c>
      <c r="I106" s="31">
        <f>Salary[[#This Row],[FTE]]*Salary[[#This Row],[Salary]]</f>
        <v>86000</v>
      </c>
      <c r="J106" s="639">
        <f>INDEX(GradesAndSalaries[],MATCH(Salary[[#This Row],[Grade]],GradesAndSalaries[Grade],0),MATCH(Employee[[#Headers],[Base Budgeting COST]],GradesAndSalaries[#Headers],0))</f>
        <v>1596</v>
      </c>
      <c r="L106" s="6">
        <f>Salary[[#This Row],[Salary]]/(1-INDEX(Tax[НДФЛ],MATCH(Salary[[#This Row],[PaymentMethod]],Tax[PaymentMethod])))</f>
        <v>98850.574712643676</v>
      </c>
      <c r="M106" t="s">
        <v>1623</v>
      </c>
      <c r="N106" s="6">
        <f>Salary[[#This Row],[НДФЛ]]+Salary[[#This Row],[Фонды]]+Salary[[#This Row],[Налог на прибыль]]+Salary[[#This Row],[НДС]]</f>
        <v>68444.137931034493</v>
      </c>
      <c r="O106" s="6">
        <f>Salary[[#This Row],[Salary]]+Salary[[#This Row],[Полный Налог]]</f>
        <v>154444.13793103449</v>
      </c>
      <c r="P106" s="6">
        <f>Salary[[#This Row],[Полный Налог]]/Salary[[#This Row],[Salary]]</f>
        <v>0.79586206896551737</v>
      </c>
      <c r="Q106" s="6">
        <f>Salary[[#This Row],[SalaryOfficial]]*INDEX(Tax[НДФЛ],MATCH(Salary[[#This Row],[PaymentMethod]],Tax[PaymentMethod], 0))</f>
        <v>12850.574712643678</v>
      </c>
      <c r="R106" s="6">
        <f>Salary[[#This Row],[SalaryOfficial]]*INDEX(Tax[Взносы],MATCH(Salary[[#This Row],[PaymentMethod]],Tax[PaymentMethod],0))</f>
        <v>29852.873563218396</v>
      </c>
      <c r="S106" s="6">
        <f>Salary[[#This Row],[Salary]]+Salary[[#This Row],[НДФЛ]]+Salary[[#This Row],[Фонды]]</f>
        <v>128703.44827586207</v>
      </c>
      <c r="T106" s="6">
        <f>Salary[[#This Row],[ЗП+НДФЛ+Фонды]]/(1-INDEX(Tax[УСН или Прибыль],MATCH(Salary[[#This Row],[PaymentMethod]],Tax[PaymentMethod],0)))</f>
        <v>128703.44827586207</v>
      </c>
      <c r="U106" s="6">
        <f>Salary[[#This Row],[Прибыль]]*INDEX(Tax[УСН или Прибыль],MATCH(Salary[[#This Row],[PaymentMethod]],Tax[PaymentMethod],0))</f>
        <v>0</v>
      </c>
      <c r="V106" s="6">
        <f>Salary[[#This Row],[Прибыль]]*INDEX(Tax[НДС],MATCH(Salary[[#This Row],[PaymentMethod]],Tax[PaymentMethod],0))</f>
        <v>25740.689655172417</v>
      </c>
    </row>
    <row r="107" spans="1:22" x14ac:dyDescent="0.25">
      <c r="A107">
        <v>106</v>
      </c>
      <c r="B107" s="91">
        <v>45042</v>
      </c>
      <c r="C107" s="2" t="s">
        <v>147</v>
      </c>
      <c r="D107">
        <f>SUMIF(Positions[Positions],Salary[[#This Row],[Position]],Positions[Grade])</f>
        <v>302</v>
      </c>
      <c r="E107" t="s">
        <v>3212</v>
      </c>
      <c r="F107" s="31">
        <v>103750</v>
      </c>
      <c r="G107" s="135">
        <f>ROUND(Salary[[#This Row],[Salary]]/160,0)</f>
        <v>648</v>
      </c>
      <c r="H107">
        <v>1</v>
      </c>
      <c r="I107" s="31">
        <f>Salary[[#This Row],[FTE]]*Salary[[#This Row],[Salary]]</f>
        <v>103750</v>
      </c>
      <c r="J107" s="639">
        <f>INDEX(GradesAndSalaries[],MATCH(Salary[[#This Row],[Grade]],GradesAndSalaries[Grade],0),MATCH(Employee[[#Headers],[Base Budgeting COST]],GradesAndSalaries[#Headers],0))</f>
        <v>1846</v>
      </c>
      <c r="L107" s="6">
        <f>Salary[[#This Row],[Salary]]/(1-INDEX(Tax[НДФЛ],MATCH(Salary[[#This Row],[PaymentMethod]],Tax[PaymentMethod])))</f>
        <v>119252.8735632184</v>
      </c>
      <c r="M107" t="s">
        <v>1623</v>
      </c>
      <c r="N107" s="6">
        <f>Salary[[#This Row],[НДФЛ]]+Salary[[#This Row],[Фонды]]+Salary[[#This Row],[Налог на прибыль]]+Salary[[#This Row],[НДС]]</f>
        <v>82570.68965517242</v>
      </c>
      <c r="O107" s="6">
        <f>Salary[[#This Row],[Salary]]+Salary[[#This Row],[Полный Налог]]</f>
        <v>186320.68965517241</v>
      </c>
      <c r="P107" s="6">
        <f>Salary[[#This Row],[Полный Налог]]/Salary[[#This Row],[Salary]]</f>
        <v>0.79586206896551726</v>
      </c>
      <c r="Q107" s="6">
        <f>Salary[[#This Row],[SalaryOfficial]]*INDEX(Tax[НДФЛ],MATCH(Salary[[#This Row],[PaymentMethod]],Tax[PaymentMethod], 0))</f>
        <v>15502.873563218393</v>
      </c>
      <c r="R107" s="6">
        <f>Salary[[#This Row],[SalaryOfficial]]*INDEX(Tax[Взносы],MATCH(Salary[[#This Row],[PaymentMethod]],Tax[PaymentMethod],0))</f>
        <v>36014.367816091959</v>
      </c>
      <c r="S107" s="6">
        <f>Salary[[#This Row],[Salary]]+Salary[[#This Row],[НДФЛ]]+Salary[[#This Row],[Фонды]]</f>
        <v>155267.24137931035</v>
      </c>
      <c r="T107" s="6">
        <f>Salary[[#This Row],[ЗП+НДФЛ+Фонды]]/(1-INDEX(Tax[УСН или Прибыль],MATCH(Salary[[#This Row],[PaymentMethod]],Tax[PaymentMethod],0)))</f>
        <v>155267.24137931035</v>
      </c>
      <c r="U107" s="6">
        <f>Salary[[#This Row],[Прибыль]]*INDEX(Tax[УСН или Прибыль],MATCH(Salary[[#This Row],[PaymentMethod]],Tax[PaymentMethod],0))</f>
        <v>0</v>
      </c>
      <c r="V107" s="6">
        <f>Salary[[#This Row],[Прибыль]]*INDEX(Tax[НДС],MATCH(Salary[[#This Row],[PaymentMethod]],Tax[PaymentMethod],0))</f>
        <v>31053.448275862072</v>
      </c>
    </row>
    <row r="108" spans="1:22" x14ac:dyDescent="0.25">
      <c r="A108">
        <v>107</v>
      </c>
      <c r="B108" s="91">
        <v>45047</v>
      </c>
      <c r="C108" s="2" t="s">
        <v>147</v>
      </c>
      <c r="D108">
        <f>SUMIF(Positions[Positions],Salary[[#This Row],[Position]],Positions[Grade])</f>
        <v>302</v>
      </c>
      <c r="E108" t="s">
        <v>3155</v>
      </c>
      <c r="F108" s="31">
        <v>150000</v>
      </c>
      <c r="G108" s="135">
        <f>ROUND(Salary[[#This Row],[Salary]]/160,0)</f>
        <v>938</v>
      </c>
      <c r="H108">
        <v>1</v>
      </c>
      <c r="I108" s="31">
        <f>Salary[[#This Row],[FTE]]*Salary[[#This Row],[Salary]]</f>
        <v>150000</v>
      </c>
      <c r="J108" s="639">
        <f>INDEX(GradesAndSalaries[],MATCH(Salary[[#This Row],[Grade]],GradesAndSalaries[Grade],0),MATCH(Employee[[#Headers],[Base Budgeting COST]],GradesAndSalaries[#Headers],0))</f>
        <v>1846</v>
      </c>
      <c r="L108" s="6">
        <f>Salary[[#This Row],[Salary]]/(1-INDEX(Tax[НДФЛ],MATCH(Salary[[#This Row],[PaymentMethod]],Tax[PaymentMethod])))</f>
        <v>172413.79310344829</v>
      </c>
      <c r="M108" t="s">
        <v>1623</v>
      </c>
      <c r="N108" s="6">
        <f>Salary[[#This Row],[НДФЛ]]+Salary[[#This Row],[Фонды]]+Salary[[#This Row],[Налог на прибыль]]+Salary[[#This Row],[НДС]]</f>
        <v>119379.31034482761</v>
      </c>
      <c r="O108" s="6">
        <f>Salary[[#This Row],[Salary]]+Salary[[#This Row],[Полный Налог]]</f>
        <v>269379.31034482759</v>
      </c>
      <c r="P108" s="6">
        <f>Salary[[#This Row],[Полный Налог]]/Salary[[#This Row],[Salary]]</f>
        <v>0.79586206896551737</v>
      </c>
      <c r="Q108" s="6">
        <f>Salary[[#This Row],[SalaryOfficial]]*INDEX(Tax[НДФЛ],MATCH(Salary[[#This Row],[PaymentMethod]],Tax[PaymentMethod], 0))</f>
        <v>22413.793103448279</v>
      </c>
      <c r="R108" s="6">
        <f>Salary[[#This Row],[SalaryOfficial]]*INDEX(Tax[Взносы],MATCH(Salary[[#This Row],[PaymentMethod]],Tax[PaymentMethod],0))</f>
        <v>52068.965517241391</v>
      </c>
      <c r="S108" s="6">
        <f>Salary[[#This Row],[Salary]]+Salary[[#This Row],[НДФЛ]]+Salary[[#This Row],[Фонды]]</f>
        <v>224482.75862068968</v>
      </c>
      <c r="T108" s="6">
        <f>Salary[[#This Row],[ЗП+НДФЛ+Фонды]]/(1-INDEX(Tax[УСН или Прибыль],MATCH(Salary[[#This Row],[PaymentMethod]],Tax[PaymentMethod],0)))</f>
        <v>224482.75862068968</v>
      </c>
      <c r="U108" s="6">
        <f>Salary[[#This Row],[Прибыль]]*INDEX(Tax[УСН или Прибыль],MATCH(Salary[[#This Row],[PaymentMethod]],Tax[PaymentMethod],0))</f>
        <v>0</v>
      </c>
      <c r="V108" s="6">
        <f>Salary[[#This Row],[Прибыль]]*INDEX(Tax[НДС],MATCH(Salary[[#This Row],[PaymentMethod]],Tax[PaymentMethod],0))</f>
        <v>44896.551724137942</v>
      </c>
    </row>
    <row r="109" spans="1:22" x14ac:dyDescent="0.25">
      <c r="A109">
        <v>108</v>
      </c>
      <c r="B109" s="91">
        <v>45047</v>
      </c>
      <c r="C109" s="2" t="s">
        <v>417</v>
      </c>
      <c r="D109">
        <f>SUMIF(Positions[Positions],Salary[[#This Row],[Position]],Positions[Grade])</f>
        <v>201</v>
      </c>
      <c r="E109" t="s">
        <v>3113</v>
      </c>
      <c r="F109" s="31">
        <v>41000</v>
      </c>
      <c r="G109" s="135">
        <f>ROUND(Salary[[#This Row],[Salary]]/160,0)</f>
        <v>256</v>
      </c>
      <c r="H109">
        <v>0.4</v>
      </c>
      <c r="I109" s="31">
        <f>Salary[[#This Row],[FTE]]*Salary[[#This Row],[Salary]]</f>
        <v>16400</v>
      </c>
      <c r="J109" s="639">
        <f>INDEX(GradesAndSalaries[],MATCH(Salary[[#This Row],[Grade]],GradesAndSalaries[Grade],0),MATCH(Employee[[#Headers],[Base Budgeting COST]],GradesAndSalaries[#Headers],0))</f>
        <v>733</v>
      </c>
      <c r="L109" s="6">
        <f>Salary[[#This Row],[Salary]]/(1-INDEX(Tax[НДФЛ],MATCH(Salary[[#This Row],[PaymentMethod]],Tax[PaymentMethod])))</f>
        <v>47126.436781609198</v>
      </c>
      <c r="M109" t="s">
        <v>1623</v>
      </c>
      <c r="N109" s="6">
        <f>Salary[[#This Row],[НДФЛ]]+Salary[[#This Row],[Фонды]]+Salary[[#This Row],[Налог на прибыль]]+Salary[[#This Row],[НДС]]</f>
        <v>32630.34482758621</v>
      </c>
      <c r="O109" s="6">
        <f>Salary[[#This Row],[Salary]]+Salary[[#This Row],[Полный Налог]]</f>
        <v>73630.344827586203</v>
      </c>
      <c r="P109" s="6">
        <f>Salary[[#This Row],[Полный Налог]]/Salary[[#This Row],[Salary]]</f>
        <v>0.79586206896551737</v>
      </c>
      <c r="Q109" s="6">
        <f>Salary[[#This Row],[SalaryOfficial]]*INDEX(Tax[НДФЛ],MATCH(Salary[[#This Row],[PaymentMethod]],Tax[PaymentMethod], 0))</f>
        <v>6126.4367816091963</v>
      </c>
      <c r="R109" s="6">
        <f>Salary[[#This Row],[SalaryOfficial]]*INDEX(Tax[Взносы],MATCH(Salary[[#This Row],[PaymentMethod]],Tax[PaymentMethod],0))</f>
        <v>14232.183908045979</v>
      </c>
      <c r="S109" s="6">
        <f>Salary[[#This Row],[Salary]]+Salary[[#This Row],[НДФЛ]]+Salary[[#This Row],[Фонды]]</f>
        <v>61358.620689655174</v>
      </c>
      <c r="T109" s="6">
        <f>Salary[[#This Row],[ЗП+НДФЛ+Фонды]]/(1-INDEX(Tax[УСН или Прибыль],MATCH(Salary[[#This Row],[PaymentMethod]],Tax[PaymentMethod],0)))</f>
        <v>61358.620689655174</v>
      </c>
      <c r="U109" s="6">
        <f>Salary[[#This Row],[Прибыль]]*INDEX(Tax[УСН или Прибыль],MATCH(Salary[[#This Row],[PaymentMethod]],Tax[PaymentMethod],0))</f>
        <v>0</v>
      </c>
      <c r="V109" s="6">
        <f>Salary[[#This Row],[Прибыль]]*INDEX(Tax[НДС],MATCH(Salary[[#This Row],[PaymentMethod]],Tax[PaymentMethod],0))</f>
        <v>12271.724137931036</v>
      </c>
    </row>
    <row r="110" spans="1:22" x14ac:dyDescent="0.25">
      <c r="A110">
        <v>109</v>
      </c>
      <c r="B110" s="91">
        <v>45047</v>
      </c>
      <c r="C110" s="2" t="s">
        <v>146</v>
      </c>
      <c r="D110">
        <f>SUMIF(Positions[Positions],Salary[[#This Row],[Position]],Positions[Grade])</f>
        <v>301</v>
      </c>
      <c r="E110" s="653" t="s">
        <v>2634</v>
      </c>
      <c r="F110" s="31">
        <v>79750</v>
      </c>
      <c r="G110" s="135">
        <f>ROUND(Salary[[#This Row],[Salary]]/160,0)</f>
        <v>498</v>
      </c>
      <c r="H110">
        <v>0.4</v>
      </c>
      <c r="I110" s="31">
        <f>Salary[[#This Row],[FTE]]*Salary[[#This Row],[Salary]]</f>
        <v>31900</v>
      </c>
      <c r="J110" s="639">
        <f>INDEX(GradesAndSalaries[],MATCH(Salary[[#This Row],[Grade]],GradesAndSalaries[Grade],0),MATCH(Employee[[#Headers],[Base Budgeting COST]],GradesAndSalaries[#Headers],0))</f>
        <v>1596</v>
      </c>
      <c r="L110" s="6">
        <f>Salary[[#This Row],[Salary]]/(1-INDEX(Tax[НДФЛ],MATCH(Salary[[#This Row],[PaymentMethod]],Tax[PaymentMethod])))</f>
        <v>91666.666666666672</v>
      </c>
      <c r="M110" t="s">
        <v>1623</v>
      </c>
      <c r="N110" s="6">
        <f>Salary[[#This Row],[НДФЛ]]+Salary[[#This Row],[Фонды]]+Salary[[#This Row],[Налог на прибыль]]+Salary[[#This Row],[НДС]]</f>
        <v>63470.000000000015</v>
      </c>
      <c r="O110" s="6">
        <f>Salary[[#This Row],[Salary]]+Salary[[#This Row],[Полный Налог]]</f>
        <v>143220</v>
      </c>
      <c r="P110" s="6">
        <f>Salary[[#This Row],[Полный Налог]]/Salary[[#This Row],[Salary]]</f>
        <v>0.79586206896551748</v>
      </c>
      <c r="Q110" s="6">
        <f>Salary[[#This Row],[SalaryOfficial]]*INDEX(Tax[НДФЛ],MATCH(Salary[[#This Row],[PaymentMethod]],Tax[PaymentMethod], 0))</f>
        <v>11916.666666666668</v>
      </c>
      <c r="R110" s="6">
        <f>Salary[[#This Row],[SalaryOfficial]]*INDEX(Tax[Взносы],MATCH(Salary[[#This Row],[PaymentMethod]],Tax[PaymentMethod],0))</f>
        <v>27683.333333333339</v>
      </c>
      <c r="S110" s="6">
        <f>Salary[[#This Row],[Salary]]+Salary[[#This Row],[НДФЛ]]+Salary[[#This Row],[Фонды]]</f>
        <v>119350.00000000001</v>
      </c>
      <c r="T110" s="6">
        <f>Salary[[#This Row],[ЗП+НДФЛ+Фонды]]/(1-INDEX(Tax[УСН или Прибыль],MATCH(Salary[[#This Row],[PaymentMethod]],Tax[PaymentMethod],0)))</f>
        <v>119350.00000000001</v>
      </c>
      <c r="U110" s="6">
        <f>Salary[[#This Row],[Прибыль]]*INDEX(Tax[УСН или Прибыль],MATCH(Salary[[#This Row],[PaymentMethod]],Tax[PaymentMethod],0))</f>
        <v>0</v>
      </c>
      <c r="V110" s="6">
        <f>Salary[[#This Row],[Прибыль]]*INDEX(Tax[НДС],MATCH(Salary[[#This Row],[PaymentMethod]],Tax[PaymentMethod],0))</f>
        <v>23870.000000000004</v>
      </c>
    </row>
    <row r="111" spans="1:22" x14ac:dyDescent="0.25">
      <c r="A111">
        <v>110</v>
      </c>
      <c r="B111" s="91">
        <v>45078</v>
      </c>
      <c r="C111" s="2" t="s">
        <v>147</v>
      </c>
      <c r="D111" s="666">
        <f>SUMIF(Positions[Positions],Salary[[#This Row],[Position]],Positions[Grade])</f>
        <v>302</v>
      </c>
      <c r="E111" t="s">
        <v>3155</v>
      </c>
      <c r="F111" s="31">
        <v>150000</v>
      </c>
      <c r="G111" s="135">
        <f>ROUND(Salary[[#This Row],[Salary]]/160,0)</f>
        <v>938</v>
      </c>
      <c r="H111">
        <v>0.5</v>
      </c>
      <c r="I111" s="31">
        <f>Salary[[#This Row],[FTE]]*Salary[[#This Row],[Salary]]</f>
        <v>75000</v>
      </c>
      <c r="J111" s="639">
        <f>INDEX(GradesAndSalaries[],MATCH(Salary[[#This Row],[Grade]],GradesAndSalaries[Grade],0),MATCH(Employee[[#Headers],[Base Budgeting COST]],GradesAndSalaries[#Headers],0))</f>
        <v>1846</v>
      </c>
      <c r="L111" s="6">
        <f>Salary[[#This Row],[Salary]]/(1-INDEX(Tax[НДФЛ],MATCH(Salary[[#This Row],[PaymentMethod]],Tax[PaymentMethod])))</f>
        <v>172413.79310344829</v>
      </c>
      <c r="M111" t="s">
        <v>1623</v>
      </c>
      <c r="N111" s="6">
        <f>Salary[[#This Row],[НДФЛ]]+Salary[[#This Row],[Фонды]]+Salary[[#This Row],[Налог на прибыль]]+Salary[[#This Row],[НДС]]</f>
        <v>119379.31034482761</v>
      </c>
      <c r="O111" s="6">
        <f>Salary[[#This Row],[Salary]]+Salary[[#This Row],[Полный Налог]]</f>
        <v>269379.31034482759</v>
      </c>
      <c r="P111">
        <f>Salary[[#This Row],[Полный Налог]]/Salary[[#This Row],[Salary]]</f>
        <v>0.79586206896551737</v>
      </c>
      <c r="Q111" s="6">
        <f>Salary[[#This Row],[SalaryOfficial]]*INDEX(Tax[НДФЛ],MATCH(Salary[[#This Row],[PaymentMethod]],Tax[PaymentMethod], 0))</f>
        <v>22413.793103448279</v>
      </c>
      <c r="R111" s="6">
        <f>Salary[[#This Row],[SalaryOfficial]]*INDEX(Tax[Взносы],MATCH(Salary[[#This Row],[PaymentMethod]],Tax[PaymentMethod],0))</f>
        <v>52068.965517241391</v>
      </c>
      <c r="S111" s="6">
        <f>Salary[[#This Row],[Salary]]+Salary[[#This Row],[НДФЛ]]+Salary[[#This Row],[Фонды]]</f>
        <v>224482.75862068968</v>
      </c>
      <c r="T111" s="6">
        <f>Salary[[#This Row],[ЗП+НДФЛ+Фонды]]/(1-INDEX(Tax[УСН или Прибыль],MATCH(Salary[[#This Row],[PaymentMethod]],Tax[PaymentMethod],0)))</f>
        <v>224482.75862068968</v>
      </c>
      <c r="U111" s="6">
        <f>Salary[[#This Row],[Прибыль]]*INDEX(Tax[УСН или Прибыль],MATCH(Salary[[#This Row],[PaymentMethod]],Tax[PaymentMethod],0))</f>
        <v>0</v>
      </c>
      <c r="V111" s="6">
        <f>Salary[[#This Row],[Прибыль]]*INDEX(Tax[НДС],MATCH(Salary[[#This Row],[PaymentMethod]],Tax[PaymentMethod],0))</f>
        <v>44896.551724137942</v>
      </c>
    </row>
    <row r="112" spans="1:22" x14ac:dyDescent="0.25">
      <c r="A112">
        <v>111</v>
      </c>
      <c r="B112" s="91">
        <v>45108</v>
      </c>
      <c r="C112" s="2" t="s">
        <v>417</v>
      </c>
      <c r="D112" s="666">
        <f>SUMIF(Positions[Positions],Salary[[#This Row],[Position]],Positions[Grade])</f>
        <v>201</v>
      </c>
      <c r="E112" t="s">
        <v>3113</v>
      </c>
      <c r="F112" s="31">
        <v>41000</v>
      </c>
      <c r="G112" s="135">
        <f>ROUND(Salary[[#This Row],[Salary]]/160,0)</f>
        <v>256</v>
      </c>
      <c r="H112">
        <v>1</v>
      </c>
      <c r="I112" s="31">
        <f>Salary[[#This Row],[FTE]]*Salary[[#This Row],[Salary]]</f>
        <v>41000</v>
      </c>
      <c r="J112" s="639">
        <f>INDEX(GradesAndSalaries[],MATCH(Salary[[#This Row],[Grade]],GradesAndSalaries[Grade],0),MATCH(Employee[[#Headers],[Base Budgeting COST]],GradesAndSalaries[#Headers],0))</f>
        <v>733</v>
      </c>
      <c r="L112" s="6">
        <f>Salary[[#This Row],[Salary]]/(1-INDEX(Tax[НДФЛ],MATCH(Salary[[#This Row],[PaymentMethod]],Tax[PaymentMethod])))</f>
        <v>47126.436781609198</v>
      </c>
      <c r="M112" t="s">
        <v>1623</v>
      </c>
      <c r="N112" s="6">
        <f>Salary[[#This Row],[НДФЛ]]+Salary[[#This Row],[Фонды]]+Salary[[#This Row],[Налог на прибыль]]+Salary[[#This Row],[НДС]]</f>
        <v>32630.34482758621</v>
      </c>
      <c r="O112" s="6">
        <f>Salary[[#This Row],[Salary]]+Salary[[#This Row],[Полный Налог]]</f>
        <v>73630.344827586203</v>
      </c>
      <c r="P112">
        <f>Salary[[#This Row],[Полный Налог]]/Salary[[#This Row],[Salary]]</f>
        <v>0.79586206896551737</v>
      </c>
      <c r="Q112" s="6">
        <f>Salary[[#This Row],[SalaryOfficial]]*INDEX(Tax[НДФЛ],MATCH(Salary[[#This Row],[PaymentMethod]],Tax[PaymentMethod], 0))</f>
        <v>6126.4367816091963</v>
      </c>
      <c r="R112" s="6">
        <f>Salary[[#This Row],[SalaryOfficial]]*INDEX(Tax[Взносы],MATCH(Salary[[#This Row],[PaymentMethod]],Tax[PaymentMethod],0))</f>
        <v>14232.183908045979</v>
      </c>
      <c r="S112" s="6">
        <f>Salary[[#This Row],[Salary]]+Salary[[#This Row],[НДФЛ]]+Salary[[#This Row],[Фонды]]</f>
        <v>61358.620689655174</v>
      </c>
      <c r="T112" s="6">
        <f>Salary[[#This Row],[ЗП+НДФЛ+Фонды]]/(1-INDEX(Tax[УСН или Прибыль],MATCH(Salary[[#This Row],[PaymentMethod]],Tax[PaymentMethod],0)))</f>
        <v>61358.620689655174</v>
      </c>
      <c r="U112" s="6">
        <f>Salary[[#This Row],[Прибыль]]*INDEX(Tax[УСН или Прибыль],MATCH(Salary[[#This Row],[PaymentMethod]],Tax[PaymentMethod],0))</f>
        <v>0</v>
      </c>
      <c r="V112" s="6">
        <f>Salary[[#This Row],[Прибыль]]*INDEX(Tax[НДС],MATCH(Salary[[#This Row],[PaymentMethod]],Tax[PaymentMethod],0))</f>
        <v>12271.724137931036</v>
      </c>
    </row>
    <row r="113" spans="1:22" x14ac:dyDescent="0.25">
      <c r="A113">
        <v>112</v>
      </c>
      <c r="B113" s="91">
        <v>45108</v>
      </c>
      <c r="C113" s="2" t="s">
        <v>146</v>
      </c>
      <c r="D113" s="666">
        <f>SUMIF(Positions[Positions],Salary[[#This Row],[Position]],Positions[Grade])</f>
        <v>301</v>
      </c>
      <c r="E113" s="653" t="s">
        <v>2634</v>
      </c>
      <c r="F113" s="31">
        <v>79750</v>
      </c>
      <c r="G113" s="135">
        <f>ROUND(Salary[[#This Row],[Salary]]/160,0)</f>
        <v>498</v>
      </c>
      <c r="H113">
        <v>1</v>
      </c>
      <c r="I113" s="31">
        <f>Salary[[#This Row],[FTE]]*Salary[[#This Row],[Salary]]</f>
        <v>79750</v>
      </c>
      <c r="J113" s="639">
        <f>INDEX(GradesAndSalaries[],MATCH(Salary[[#This Row],[Grade]],GradesAndSalaries[Grade],0),MATCH(Employee[[#Headers],[Base Budgeting COST]],GradesAndSalaries[#Headers],0))</f>
        <v>1596</v>
      </c>
      <c r="L113" s="6">
        <f>Salary[[#This Row],[Salary]]/(1-INDEX(Tax[НДФЛ],MATCH(Salary[[#This Row],[PaymentMethod]],Tax[PaymentMethod])))</f>
        <v>91666.666666666672</v>
      </c>
      <c r="M113" t="s">
        <v>1623</v>
      </c>
      <c r="N113" s="6">
        <f>Salary[[#This Row],[НДФЛ]]+Salary[[#This Row],[Фонды]]+Salary[[#This Row],[Налог на прибыль]]+Salary[[#This Row],[НДС]]</f>
        <v>63470.000000000015</v>
      </c>
      <c r="O113" s="6">
        <f>Salary[[#This Row],[Salary]]+Salary[[#This Row],[Полный Налог]]</f>
        <v>143220</v>
      </c>
      <c r="P113">
        <f>Salary[[#This Row],[Полный Налог]]/Salary[[#This Row],[Salary]]</f>
        <v>0.79586206896551748</v>
      </c>
      <c r="Q113" s="6">
        <f>Salary[[#This Row],[SalaryOfficial]]*INDEX(Tax[НДФЛ],MATCH(Salary[[#This Row],[PaymentMethod]],Tax[PaymentMethod], 0))</f>
        <v>11916.666666666668</v>
      </c>
      <c r="R113" s="6">
        <f>Salary[[#This Row],[SalaryOfficial]]*INDEX(Tax[Взносы],MATCH(Salary[[#This Row],[PaymentMethod]],Tax[PaymentMethod],0))</f>
        <v>27683.333333333339</v>
      </c>
      <c r="S113" s="6">
        <f>Salary[[#This Row],[Salary]]+Salary[[#This Row],[НДФЛ]]+Salary[[#This Row],[Фонды]]</f>
        <v>119350.00000000001</v>
      </c>
      <c r="T113" s="6">
        <f>Salary[[#This Row],[ЗП+НДФЛ+Фонды]]/(1-INDEX(Tax[УСН или Прибыль],MATCH(Salary[[#This Row],[PaymentMethod]],Tax[PaymentMethod],0)))</f>
        <v>119350.00000000001</v>
      </c>
      <c r="U113" s="6">
        <f>Salary[[#This Row],[Прибыль]]*INDEX(Tax[УСН или Прибыль],MATCH(Salary[[#This Row],[PaymentMethod]],Tax[PaymentMethod],0))</f>
        <v>0</v>
      </c>
      <c r="V113" s="6">
        <f>Salary[[#This Row],[Прибыль]]*INDEX(Tax[НДС],MATCH(Salary[[#This Row],[PaymentMethod]],Tax[PaymentMethod],0))</f>
        <v>23870.000000000004</v>
      </c>
    </row>
    <row r="114" spans="1:22" x14ac:dyDescent="0.25">
      <c r="A114">
        <v>113</v>
      </c>
      <c r="B114" s="91">
        <v>45108</v>
      </c>
      <c r="C114" s="2" t="s">
        <v>147</v>
      </c>
      <c r="D114" s="666">
        <f>SUMIF(Positions[Positions],Salary[[#This Row],[Position]],Positions[Grade])</f>
        <v>302</v>
      </c>
      <c r="E114" t="s">
        <v>3155</v>
      </c>
      <c r="F114" s="31">
        <v>150000</v>
      </c>
      <c r="G114" s="135">
        <f>ROUND(Salary[[#This Row],[Salary]]/160,0)</f>
        <v>938</v>
      </c>
      <c r="H114">
        <v>1</v>
      </c>
      <c r="I114" s="31">
        <f>Salary[[#This Row],[FTE]]*Salary[[#This Row],[Salary]]</f>
        <v>150000</v>
      </c>
      <c r="J114" s="639">
        <f>INDEX(GradesAndSalaries[],MATCH(Salary[[#This Row],[Grade]],GradesAndSalaries[Grade],0),MATCH(Employee[[#Headers],[Base Budgeting COST]],GradesAndSalaries[#Headers],0))</f>
        <v>1846</v>
      </c>
      <c r="L114" s="6">
        <f>Salary[[#This Row],[Salary]]/(1-INDEX(Tax[НДФЛ],MATCH(Salary[[#This Row],[PaymentMethod]],Tax[PaymentMethod])))</f>
        <v>172413.79310344829</v>
      </c>
      <c r="M114" t="s">
        <v>1623</v>
      </c>
      <c r="N114" s="6">
        <f>Salary[[#This Row],[НДФЛ]]+Salary[[#This Row],[Фонды]]+Salary[[#This Row],[Налог на прибыль]]+Salary[[#This Row],[НДС]]</f>
        <v>119379.31034482761</v>
      </c>
      <c r="O114" s="6">
        <f>Salary[[#This Row],[Salary]]+Salary[[#This Row],[Полный Налог]]</f>
        <v>269379.31034482759</v>
      </c>
      <c r="P114">
        <f>Salary[[#This Row],[Полный Налог]]/Salary[[#This Row],[Salary]]</f>
        <v>0.79586206896551737</v>
      </c>
      <c r="Q114" s="6">
        <f>Salary[[#This Row],[SalaryOfficial]]*INDEX(Tax[НДФЛ],MATCH(Salary[[#This Row],[PaymentMethod]],Tax[PaymentMethod], 0))</f>
        <v>22413.793103448279</v>
      </c>
      <c r="R114" s="6">
        <f>Salary[[#This Row],[SalaryOfficial]]*INDEX(Tax[Взносы],MATCH(Salary[[#This Row],[PaymentMethod]],Tax[PaymentMethod],0))</f>
        <v>52068.965517241391</v>
      </c>
      <c r="S114" s="6">
        <f>Salary[[#This Row],[Salary]]+Salary[[#This Row],[НДФЛ]]+Salary[[#This Row],[Фонды]]</f>
        <v>224482.75862068968</v>
      </c>
      <c r="T114" s="6">
        <f>Salary[[#This Row],[ЗП+НДФЛ+Фонды]]/(1-INDEX(Tax[УСН или Прибыль],MATCH(Salary[[#This Row],[PaymentMethod]],Tax[PaymentMethod],0)))</f>
        <v>224482.75862068968</v>
      </c>
      <c r="U114" s="6">
        <f>Salary[[#This Row],[Прибыль]]*INDEX(Tax[УСН или Прибыль],MATCH(Salary[[#This Row],[PaymentMethod]],Tax[PaymentMethod],0))</f>
        <v>0</v>
      </c>
      <c r="V114" s="6">
        <f>Salary[[#This Row],[Прибыль]]*INDEX(Tax[НДС],MATCH(Salary[[#This Row],[PaymentMethod]],Tax[PaymentMethod],0))</f>
        <v>44896.551724137942</v>
      </c>
    </row>
    <row r="115" spans="1:22" x14ac:dyDescent="0.25">
      <c r="A115">
        <v>114</v>
      </c>
      <c r="B115" s="91">
        <v>45217</v>
      </c>
      <c r="C115" s="2" t="s">
        <v>417</v>
      </c>
      <c r="D115" s="666">
        <f>SUMIF(Positions[Positions],Salary[[#This Row],[Position]],Positions[Grade])</f>
        <v>201</v>
      </c>
      <c r="E115" t="s">
        <v>3614</v>
      </c>
      <c r="F115" s="31">
        <v>41000</v>
      </c>
      <c r="G115" s="135">
        <f>ROUND(Salary[[#This Row],[Salary]]/160,0)</f>
        <v>256</v>
      </c>
      <c r="H115">
        <v>0.4</v>
      </c>
      <c r="I115" s="31">
        <f>Salary[[#This Row],[FTE]]*Salary[[#This Row],[Salary]]</f>
        <v>16400</v>
      </c>
      <c r="J115" s="733">
        <f>INDEX(GradesAndSalaries[],MATCH(Salary[[#This Row],[Grade]],GradesAndSalaries[Grade],0),MATCH(Employee[[#Headers],[Base Budgeting COST]],GradesAndSalaries[#Headers],0))</f>
        <v>733</v>
      </c>
      <c r="L115" s="6">
        <f>Salary[[#This Row],[Salary]]/(1-INDEX(Tax[НДФЛ],MATCH(Salary[[#This Row],[PaymentMethod]],Tax[PaymentMethod])))</f>
        <v>47126.436781609198</v>
      </c>
      <c r="M115" t="s">
        <v>1623</v>
      </c>
      <c r="N115" s="6">
        <f>Salary[[#This Row],[НДФЛ]]+Salary[[#This Row],[Фонды]]+Salary[[#This Row],[Налог на прибыль]]+Salary[[#This Row],[НДС]]</f>
        <v>32630.34482758621</v>
      </c>
      <c r="O115" s="6">
        <f>Salary[[#This Row],[Salary]]+Salary[[#This Row],[Полный Налог]]</f>
        <v>73630.344827586203</v>
      </c>
      <c r="P115">
        <f>Salary[[#This Row],[Полный Налог]]/Salary[[#This Row],[Salary]]</f>
        <v>0.79586206896551737</v>
      </c>
      <c r="Q115" s="6">
        <f>Salary[[#This Row],[SalaryOfficial]]*INDEX(Tax[НДФЛ],MATCH(Salary[[#This Row],[PaymentMethod]],Tax[PaymentMethod], 0))</f>
        <v>6126.4367816091963</v>
      </c>
      <c r="R115" s="6">
        <f>Salary[[#This Row],[SalaryOfficial]]*INDEX(Tax[Взносы],MATCH(Salary[[#This Row],[PaymentMethod]],Tax[PaymentMethod],0))</f>
        <v>14232.183908045979</v>
      </c>
      <c r="S115" s="6">
        <f>Salary[[#This Row],[Salary]]+Salary[[#This Row],[НДФЛ]]+Salary[[#This Row],[Фонды]]</f>
        <v>61358.620689655174</v>
      </c>
      <c r="T115" s="6">
        <f>Salary[[#This Row],[ЗП+НДФЛ+Фонды]]/(1-INDEX(Tax[УСН или Прибыль],MATCH(Salary[[#This Row],[PaymentMethod]],Tax[PaymentMethod],0)))</f>
        <v>61358.620689655174</v>
      </c>
      <c r="U115" s="6">
        <f>Salary[[#This Row],[Прибыль]]*INDEX(Tax[УСН или Прибыль],MATCH(Salary[[#This Row],[PaymentMethod]],Tax[PaymentMethod],0))</f>
        <v>0</v>
      </c>
      <c r="V115" s="6">
        <f>Salary[[#This Row],[Прибыль]]*INDEX(Tax[НДС],MATCH(Salary[[#This Row],[PaymentMethod]],Tax[PaymentMethod],0))</f>
        <v>12271.724137931036</v>
      </c>
    </row>
    <row r="116" spans="1:22" x14ac:dyDescent="0.25">
      <c r="A116">
        <v>115</v>
      </c>
      <c r="B116" s="91">
        <v>45231</v>
      </c>
      <c r="C116" s="2" t="s">
        <v>433</v>
      </c>
      <c r="D116" s="666">
        <f>SUMIF(Positions[Positions],Salary[[#This Row],[Position]],Positions[Grade])</f>
        <v>403</v>
      </c>
      <c r="E116">
        <v>2803</v>
      </c>
      <c r="F116" s="31">
        <v>225000</v>
      </c>
      <c r="G116" s="135">
        <f>ROUND(Salary[[#This Row],[Salary]]/160,0)</f>
        <v>1406</v>
      </c>
      <c r="H116">
        <v>0.2</v>
      </c>
      <c r="I116" s="31">
        <f>Salary[[#This Row],[FTE]]*Salary[[#This Row],[Salary]]</f>
        <v>45000</v>
      </c>
      <c r="J116" s="741">
        <f>INDEX(GradesAndSalaries[],MATCH(Salary[[#This Row],[Grade]],GradesAndSalaries[Grade],0),MATCH(Employee[[#Headers],[Base Budgeting COST]],GradesAndSalaries[#Headers],0))</f>
        <v>6125</v>
      </c>
      <c r="L116" s="6" t="e">
        <f>Salary[[#This Row],[Salary]]/(1-INDEX(Tax[НДФЛ],MATCH(Salary[[#This Row],[PaymentMethod]],Tax[PaymentMethod])))</f>
        <v>#N/A</v>
      </c>
      <c r="N116" t="e">
        <f>Salary[[#This Row],[НДФЛ]]+Salary[[#This Row],[Фонды]]+Salary[[#This Row],[Налог на прибыль]]+Salary[[#This Row],[НДС]]</f>
        <v>#N/A</v>
      </c>
      <c r="O116" t="e">
        <f>Salary[[#This Row],[Salary]]+Salary[[#This Row],[Полный Налог]]</f>
        <v>#N/A</v>
      </c>
      <c r="P116" t="e">
        <f>Salary[[#This Row],[Полный Налог]]/Salary[[#This Row],[Salary]]</f>
        <v>#N/A</v>
      </c>
      <c r="Q116" t="e">
        <f>Salary[[#This Row],[SalaryOfficial]]*INDEX(Tax[НДФЛ],MATCH(Salary[[#This Row],[PaymentMethod]],Tax[PaymentMethod], 0))</f>
        <v>#N/A</v>
      </c>
      <c r="R116" t="e">
        <f>Salary[[#This Row],[SalaryOfficial]]*INDEX(Tax[Взносы],MATCH(Salary[[#This Row],[PaymentMethod]],Tax[PaymentMethod],0))</f>
        <v>#N/A</v>
      </c>
      <c r="S116" t="e">
        <f>Salary[[#This Row],[Salary]]+Salary[[#This Row],[НДФЛ]]+Salary[[#This Row],[Фонды]]</f>
        <v>#N/A</v>
      </c>
      <c r="T116" t="e">
        <f>Salary[[#This Row],[ЗП+НДФЛ+Фонды]]/(1-INDEX(Tax[УСН или Прибыль],MATCH(Salary[[#This Row],[PaymentMethod]],Tax[PaymentMethod],0)))</f>
        <v>#N/A</v>
      </c>
      <c r="U116" t="e">
        <f>Salary[[#This Row],[Прибыль]]*INDEX(Tax[УСН или Прибыль],MATCH(Salary[[#This Row],[PaymentMethod]],Tax[PaymentMethod],0))</f>
        <v>#N/A</v>
      </c>
      <c r="V116" t="e">
        <f>Salary[[#This Row],[Прибыль]]*INDEX(Tax[НДС],MATCH(Salary[[#This Row],[PaymentMethod]],Tax[PaymentMethod],0))</f>
        <v>#N/A</v>
      </c>
    </row>
    <row r="117" spans="1:22" x14ac:dyDescent="0.25">
      <c r="A117">
        <v>116</v>
      </c>
      <c r="B117" s="91">
        <v>45261</v>
      </c>
      <c r="C117" s="2" t="s">
        <v>147</v>
      </c>
      <c r="D117" s="666">
        <f>SUMIF(Positions[Positions],Salary[[#This Row],[Position]],Positions[Grade])</f>
        <v>302</v>
      </c>
      <c r="E117" t="s">
        <v>3155</v>
      </c>
      <c r="F117" s="31">
        <v>150000</v>
      </c>
      <c r="G117" s="135">
        <f>ROUND(Salary[[#This Row],[Salary]]/160,0)</f>
        <v>938</v>
      </c>
      <c r="H117">
        <v>0.4</v>
      </c>
      <c r="I117" s="31">
        <f>Salary[[#This Row],[FTE]]*Salary[[#This Row],[Salary]]</f>
        <v>60000</v>
      </c>
      <c r="J117" s="741">
        <f>INDEX(GradesAndSalaries[],MATCH(Salary[[#This Row],[Grade]],GradesAndSalaries[Grade],0),MATCH(Employee[[#Headers],[Base Budgeting COST]],GradesAndSalaries[#Headers],0))</f>
        <v>1846</v>
      </c>
      <c r="L117" s="6">
        <f>Salary[[#This Row],[Salary]]/(1-INDEX(Tax[НДФЛ],MATCH(Salary[[#This Row],[PaymentMethod]],Tax[PaymentMethod])))</f>
        <v>172413.79310344829</v>
      </c>
      <c r="M117" t="s">
        <v>1623</v>
      </c>
      <c r="N117" s="6">
        <f>Salary[[#This Row],[НДФЛ]]+Salary[[#This Row],[Фонды]]+Salary[[#This Row],[Налог на прибыль]]+Salary[[#This Row],[НДС]]</f>
        <v>119379.31034482761</v>
      </c>
      <c r="O117" s="6">
        <f>Salary[[#This Row],[Salary]]+Salary[[#This Row],[Полный Налог]]</f>
        <v>269379.31034482759</v>
      </c>
      <c r="P117">
        <f>Salary[[#This Row],[Полный Налог]]/Salary[[#This Row],[Salary]]</f>
        <v>0.79586206896551737</v>
      </c>
      <c r="Q117">
        <f>Salary[[#This Row],[SalaryOfficial]]*INDEX(Tax[НДФЛ],MATCH(Salary[[#This Row],[PaymentMethod]],Tax[PaymentMethod], 0))</f>
        <v>22413.793103448279</v>
      </c>
      <c r="R117">
        <f>Salary[[#This Row],[SalaryOfficial]]*INDEX(Tax[Взносы],MATCH(Salary[[#This Row],[PaymentMethod]],Tax[PaymentMethod],0))</f>
        <v>52068.965517241391</v>
      </c>
      <c r="S117">
        <f>Salary[[#This Row],[Salary]]+Salary[[#This Row],[НДФЛ]]+Salary[[#This Row],[Фонды]]</f>
        <v>224482.75862068968</v>
      </c>
      <c r="T117">
        <f>Salary[[#This Row],[ЗП+НДФЛ+Фонды]]/(1-INDEX(Tax[УСН или Прибыль],MATCH(Salary[[#This Row],[PaymentMethod]],Tax[PaymentMethod],0)))</f>
        <v>224482.75862068968</v>
      </c>
      <c r="U117">
        <f>Salary[[#This Row],[Прибыль]]*INDEX(Tax[УСН или Прибыль],MATCH(Salary[[#This Row],[PaymentMethod]],Tax[PaymentMethod],0))</f>
        <v>0</v>
      </c>
      <c r="V117">
        <f>Salary[[#This Row],[Прибыль]]*INDEX(Tax[НДС],MATCH(Salary[[#This Row],[PaymentMethod]],Tax[PaymentMethod],0))</f>
        <v>44896.551724137942</v>
      </c>
    </row>
    <row r="118" spans="1:22" x14ac:dyDescent="0.25">
      <c r="A118">
        <v>117</v>
      </c>
      <c r="B118" s="91">
        <v>45288</v>
      </c>
      <c r="C118" s="2" t="s">
        <v>419</v>
      </c>
      <c r="D118" s="666">
        <f>SUMIF(Positions[Positions],Salary[[#This Row],[Position]],Positions[Grade])</f>
        <v>100</v>
      </c>
      <c r="E118" t="s">
        <v>3212</v>
      </c>
      <c r="F118" s="31">
        <v>0</v>
      </c>
      <c r="G118" s="135">
        <f>ROUND(Salary[[#This Row],[Salary]]/160,0)</f>
        <v>0</v>
      </c>
      <c r="H118">
        <v>0</v>
      </c>
      <c r="I118" s="31">
        <f>Salary[[#This Row],[FTE]]*Salary[[#This Row],[Salary]]</f>
        <v>0</v>
      </c>
      <c r="J118" s="741">
        <f>INDEX(GradesAndSalaries[],MATCH(Salary[[#This Row],[Grade]],GradesAndSalaries[Grade],0),MATCH(Employee[[#Headers],[Base Budgeting COST]],GradesAndSalaries[#Headers],0))</f>
        <v>0</v>
      </c>
      <c r="L118" s="6" t="e">
        <f>Salary[[#This Row],[Salary]]/(1-INDEX(Tax[НДФЛ],MATCH(Salary[[#This Row],[PaymentMethod]],Tax[PaymentMethod])))</f>
        <v>#N/A</v>
      </c>
      <c r="N118" t="e">
        <f>Salary[[#This Row],[НДФЛ]]+Salary[[#This Row],[Фонды]]+Salary[[#This Row],[Налог на прибыль]]+Salary[[#This Row],[НДС]]</f>
        <v>#N/A</v>
      </c>
      <c r="O118" t="e">
        <f>Salary[[#This Row],[Salary]]+Salary[[#This Row],[Полный Налог]]</f>
        <v>#N/A</v>
      </c>
      <c r="P118" t="e">
        <f>Salary[[#This Row],[Полный Налог]]/Salary[[#This Row],[Salary]]</f>
        <v>#N/A</v>
      </c>
      <c r="Q118" t="e">
        <f>Salary[[#This Row],[SalaryOfficial]]*INDEX(Tax[НДФЛ],MATCH(Salary[[#This Row],[PaymentMethod]],Tax[PaymentMethod], 0))</f>
        <v>#N/A</v>
      </c>
      <c r="R118" t="e">
        <f>Salary[[#This Row],[SalaryOfficial]]*INDEX(Tax[Взносы],MATCH(Salary[[#This Row],[PaymentMethod]],Tax[PaymentMethod],0))</f>
        <v>#N/A</v>
      </c>
      <c r="S118" t="e">
        <f>Salary[[#This Row],[Salary]]+Salary[[#This Row],[НДФЛ]]+Salary[[#This Row],[Фонды]]</f>
        <v>#N/A</v>
      </c>
      <c r="T118" t="e">
        <f>Salary[[#This Row],[ЗП+НДФЛ+Фонды]]/(1-INDEX(Tax[УСН или Прибыль],MATCH(Salary[[#This Row],[PaymentMethod]],Tax[PaymentMethod],0)))</f>
        <v>#N/A</v>
      </c>
      <c r="U118" t="e">
        <f>Salary[[#This Row],[Прибыль]]*INDEX(Tax[УСН или Прибыль],MATCH(Salary[[#This Row],[PaymentMethod]],Tax[PaymentMethod],0))</f>
        <v>#N/A</v>
      </c>
      <c r="V118" t="e">
        <f>Salary[[#This Row],[Прибыль]]*INDEX(Tax[НДС],MATCH(Salary[[#This Row],[PaymentMethod]],Tax[PaymentMethod],0))</f>
        <v>#N/A</v>
      </c>
    </row>
    <row r="119" spans="1:22" x14ac:dyDescent="0.25">
      <c r="A119">
        <v>118</v>
      </c>
      <c r="B119" s="91">
        <v>45292</v>
      </c>
      <c r="C119" s="2" t="s">
        <v>147</v>
      </c>
      <c r="D119" s="666">
        <f>SUMIF(Positions[Positions],Salary[[#This Row],[Position]],Positions[Grade])</f>
        <v>302</v>
      </c>
      <c r="E119" t="s">
        <v>3672</v>
      </c>
      <c r="F119" s="31">
        <v>92500</v>
      </c>
      <c r="G119" s="135">
        <f>ROUND(Salary[[#This Row],[Salary]]/160,0)</f>
        <v>578</v>
      </c>
      <c r="H119">
        <v>1</v>
      </c>
      <c r="I119" s="31">
        <f>Salary[[#This Row],[FTE]]*Salary[[#This Row],[Salary]]</f>
        <v>92500</v>
      </c>
      <c r="J119" s="733">
        <f>INDEX(GradesAndSalaries[],MATCH(Salary[[#This Row],[Grade]],GradesAndSalaries[Grade],0),MATCH(Employee[[#Headers],[Base Budgeting COST]],GradesAndSalaries[#Headers],0))</f>
        <v>1846</v>
      </c>
      <c r="L119" s="6">
        <f>Salary[[#This Row],[Salary]]/(1-INDEX(Tax[НДФЛ],MATCH(Salary[[#This Row],[PaymentMethod]],Tax[PaymentMethod])))</f>
        <v>106321.83908045977</v>
      </c>
      <c r="M119" t="s">
        <v>1623</v>
      </c>
      <c r="N119" s="6">
        <f>Salary[[#This Row],[НДФЛ]]+Salary[[#This Row],[Фонды]]+Salary[[#This Row],[Налог на прибыль]]+Salary[[#This Row],[НДС]]</f>
        <v>73617.241379310362</v>
      </c>
      <c r="O119" s="6">
        <f>Salary[[#This Row],[Salary]]+Salary[[#This Row],[Полный Налог]]</f>
        <v>166117.24137931038</v>
      </c>
      <c r="P119">
        <f>Salary[[#This Row],[Полный Налог]]/Salary[[#This Row],[Salary]]</f>
        <v>0.79586206896551748</v>
      </c>
      <c r="Q119">
        <f>Salary[[#This Row],[SalaryOfficial]]*INDEX(Tax[НДФЛ],MATCH(Salary[[#This Row],[PaymentMethod]],Tax[PaymentMethod], 0))</f>
        <v>13821.839080459771</v>
      </c>
      <c r="R119">
        <f>Salary[[#This Row],[SalaryOfficial]]*INDEX(Tax[Взносы],MATCH(Salary[[#This Row],[PaymentMethod]],Tax[PaymentMethod],0))</f>
        <v>32109.195402298858</v>
      </c>
      <c r="S119">
        <f>Salary[[#This Row],[Salary]]+Salary[[#This Row],[НДФЛ]]+Salary[[#This Row],[Фонды]]</f>
        <v>138431.03448275864</v>
      </c>
      <c r="T119">
        <f>Salary[[#This Row],[ЗП+НДФЛ+Фонды]]/(1-INDEX(Tax[УСН или Прибыль],MATCH(Salary[[#This Row],[PaymentMethod]],Tax[PaymentMethod],0)))</f>
        <v>138431.03448275864</v>
      </c>
      <c r="U119">
        <f>Salary[[#This Row],[Прибыль]]*INDEX(Tax[УСН или Прибыль],MATCH(Salary[[#This Row],[PaymentMethod]],Tax[PaymentMethod],0))</f>
        <v>0</v>
      </c>
      <c r="V119">
        <f>Salary[[#This Row],[Прибыль]]*INDEX(Tax[НДС],MATCH(Salary[[#This Row],[PaymentMethod]],Tax[PaymentMethod],0))</f>
        <v>27686.206896551728</v>
      </c>
    </row>
    <row r="120" spans="1:22" x14ac:dyDescent="0.25">
      <c r="A120">
        <v>119</v>
      </c>
      <c r="B120" s="91">
        <v>45323</v>
      </c>
      <c r="C120" s="2" t="s">
        <v>147</v>
      </c>
      <c r="D120" s="666">
        <f>SUMIF(Positions[Positions],Salary[[#This Row],[Position]],Positions[Grade])</f>
        <v>302</v>
      </c>
      <c r="E120" t="s">
        <v>3155</v>
      </c>
      <c r="F120" s="31">
        <v>150000</v>
      </c>
      <c r="G120" s="135">
        <f>ROUND(Salary[[#This Row],[Salary]]/160,0)</f>
        <v>938</v>
      </c>
      <c r="H120">
        <v>0.8</v>
      </c>
      <c r="I120" s="31">
        <f>Salary[[#This Row],[FTE]]*Salary[[#This Row],[Salary]]</f>
        <v>120000</v>
      </c>
      <c r="J120" s="741">
        <f>INDEX(GradesAndSalaries[],MATCH(Salary[[#This Row],[Grade]],GradesAndSalaries[Grade],0),MATCH(Employee[[#Headers],[Base Budgeting COST]],GradesAndSalaries[#Headers],0))</f>
        <v>1846</v>
      </c>
      <c r="L120" s="6">
        <f>Salary[[#This Row],[Salary]]/(1-INDEX(Tax[НДФЛ],MATCH(Salary[[#This Row],[PaymentMethod]],Tax[PaymentMethod])))</f>
        <v>172413.79310344829</v>
      </c>
      <c r="M120" t="s">
        <v>1623</v>
      </c>
      <c r="N120" s="6">
        <f>Salary[[#This Row],[НДФЛ]]+Salary[[#This Row],[Фонды]]+Salary[[#This Row],[Налог на прибыль]]+Salary[[#This Row],[НДС]]</f>
        <v>119379.31034482761</v>
      </c>
      <c r="O120" s="6">
        <f>Salary[[#This Row],[Salary]]+Salary[[#This Row],[Полный Налог]]</f>
        <v>269379.31034482759</v>
      </c>
      <c r="P120">
        <f>Salary[[#This Row],[Полный Налог]]/Salary[[#This Row],[Salary]]</f>
        <v>0.79586206896551737</v>
      </c>
      <c r="Q120">
        <f>Salary[[#This Row],[SalaryOfficial]]*INDEX(Tax[НДФЛ],MATCH(Salary[[#This Row],[PaymentMethod]],Tax[PaymentMethod], 0))</f>
        <v>22413.793103448279</v>
      </c>
      <c r="R120">
        <f>Salary[[#This Row],[SalaryOfficial]]*INDEX(Tax[Взносы],MATCH(Salary[[#This Row],[PaymentMethod]],Tax[PaymentMethod],0))</f>
        <v>52068.965517241391</v>
      </c>
      <c r="S120">
        <f>Salary[[#This Row],[Salary]]+Salary[[#This Row],[НДФЛ]]+Salary[[#This Row],[Фонды]]</f>
        <v>224482.75862068968</v>
      </c>
      <c r="T120">
        <f>Salary[[#This Row],[ЗП+НДФЛ+Фонды]]/(1-INDEX(Tax[УСН или Прибыль],MATCH(Salary[[#This Row],[PaymentMethod]],Tax[PaymentMethod],0)))</f>
        <v>224482.75862068968</v>
      </c>
      <c r="U120">
        <f>Salary[[#This Row],[Прибыль]]*INDEX(Tax[УСН или Прибыль],MATCH(Salary[[#This Row],[PaymentMethod]],Tax[PaymentMethod],0))</f>
        <v>0</v>
      </c>
      <c r="V120">
        <f>Salary[[#This Row],[Прибыль]]*INDEX(Tax[НДС],MATCH(Salary[[#This Row],[PaymentMethod]],Tax[PaymentMethod],0))</f>
        <v>44896.551724137942</v>
      </c>
    </row>
    <row r="121" spans="1:22" x14ac:dyDescent="0.25">
      <c r="A121">
        <v>120</v>
      </c>
      <c r="B121" s="91">
        <v>45341</v>
      </c>
      <c r="C121" s="2" t="s">
        <v>432</v>
      </c>
      <c r="D121" s="666">
        <f>SUMIF(Positions[Positions],Salary[[#This Row],[Position]],Positions[Grade])</f>
        <v>402</v>
      </c>
      <c r="E121" t="s">
        <v>3699</v>
      </c>
      <c r="F121" s="31">
        <v>186500</v>
      </c>
      <c r="G121" s="135">
        <f>ROUND(Salary[[#This Row],[Salary]]/160,0)</f>
        <v>1166</v>
      </c>
      <c r="H121">
        <v>1</v>
      </c>
      <c r="I121" s="31">
        <f>Salary[[#This Row],[FTE]]*Salary[[#This Row],[Salary]]</f>
        <v>186500</v>
      </c>
      <c r="J121" s="741">
        <f>INDEX(GradesAndSalaries[],MATCH(Salary[[#This Row],[Grade]],GradesAndSalaries[Grade],0),MATCH(Employee[[#Headers],[Base Budgeting COST]],GradesAndSalaries[#Headers],0))</f>
        <v>4449</v>
      </c>
      <c r="L121" s="6">
        <f>Salary[[#This Row],[Salary]]/(1-INDEX(Tax[НДФЛ],MATCH(Salary[[#This Row],[PaymentMethod]],Tax[PaymentMethod])))</f>
        <v>214367.81609195401</v>
      </c>
      <c r="M121" t="s">
        <v>1623</v>
      </c>
      <c r="N121" s="6">
        <f>Salary[[#This Row],[НДФЛ]]+Salary[[#This Row],[Фонды]]+Salary[[#This Row],[Налог на прибыль]]+Salary[[#This Row],[НДС]]</f>
        <v>148428.27586206899</v>
      </c>
      <c r="O121" s="6">
        <f>Salary[[#This Row],[Salary]]+Salary[[#This Row],[Полный Налог]]</f>
        <v>334928.27586206899</v>
      </c>
      <c r="P121">
        <f>Salary[[#This Row],[Полный Налог]]/Salary[[#This Row],[Salary]]</f>
        <v>0.79586206896551737</v>
      </c>
      <c r="Q121">
        <f>Salary[[#This Row],[SalaryOfficial]]*INDEX(Tax[НДФЛ],MATCH(Salary[[#This Row],[PaymentMethod]],Tax[PaymentMethod], 0))</f>
        <v>27867.816091954021</v>
      </c>
      <c r="R121">
        <f>Salary[[#This Row],[SalaryOfficial]]*INDEX(Tax[Взносы],MATCH(Salary[[#This Row],[PaymentMethod]],Tax[PaymentMethod],0))</f>
        <v>64739.080459770121</v>
      </c>
      <c r="S121">
        <f>Salary[[#This Row],[Salary]]+Salary[[#This Row],[НДФЛ]]+Salary[[#This Row],[Фонды]]</f>
        <v>279106.89655172412</v>
      </c>
      <c r="T121">
        <f>Salary[[#This Row],[ЗП+НДФЛ+Фонды]]/(1-INDEX(Tax[УСН или Прибыль],MATCH(Salary[[#This Row],[PaymentMethod]],Tax[PaymentMethod],0)))</f>
        <v>279106.89655172412</v>
      </c>
      <c r="U121">
        <f>Salary[[#This Row],[Прибыль]]*INDEX(Tax[УСН или Прибыль],MATCH(Salary[[#This Row],[PaymentMethod]],Tax[PaymentMethod],0))</f>
        <v>0</v>
      </c>
      <c r="V121">
        <f>Salary[[#This Row],[Прибыль]]*INDEX(Tax[НДС],MATCH(Salary[[#This Row],[PaymentMethod]],Tax[PaymentMethod],0))</f>
        <v>55821.379310344826</v>
      </c>
    </row>
    <row r="122" spans="1:22" x14ac:dyDescent="0.25">
      <c r="A122">
        <v>121</v>
      </c>
      <c r="B122" s="91">
        <v>45352</v>
      </c>
      <c r="C122" s="2" t="s">
        <v>430</v>
      </c>
      <c r="D122" s="666">
        <f>SUMIF(Positions[Positions],Salary[[#This Row],[Position]],Positions[Grade])</f>
        <v>303</v>
      </c>
      <c r="E122" s="653" t="s">
        <v>2634</v>
      </c>
      <c r="F122" s="31">
        <v>132500</v>
      </c>
      <c r="G122" s="135">
        <f>ROUND(Salary[[#This Row],[Salary]]/160,0)</f>
        <v>828</v>
      </c>
      <c r="H122">
        <v>1</v>
      </c>
      <c r="I122" s="31">
        <f>Salary[[#This Row],[FTE]]*Salary[[#This Row],[Salary]]</f>
        <v>132500</v>
      </c>
      <c r="J122" s="741">
        <f>INDEX(GradesAndSalaries[],MATCH(Salary[[#This Row],[Grade]],GradesAndSalaries[Grade],0),MATCH(Employee[[#Headers],[Base Budgeting COST]],GradesAndSalaries[#Headers],0))</f>
        <v>2323</v>
      </c>
      <c r="L122" s="6">
        <f>Salary[[#This Row],[Salary]]/(1-INDEX(Tax[НДФЛ],MATCH(Salary[[#This Row],[PaymentMethod]],Tax[PaymentMethod])))</f>
        <v>152298.85057471265</v>
      </c>
      <c r="M122" t="s">
        <v>1623</v>
      </c>
      <c r="N122" s="6">
        <f>Salary[[#This Row],[НДФЛ]]+Salary[[#This Row],[Фонды]]+Salary[[#This Row],[Налог на прибыль]]+Salary[[#This Row],[НДС]]</f>
        <v>105451.72413793104</v>
      </c>
      <c r="O122" s="6">
        <f>Salary[[#This Row],[Salary]]+Salary[[#This Row],[Полный Налог]]</f>
        <v>237951.72413793104</v>
      </c>
      <c r="P122">
        <f>Salary[[#This Row],[Полный Налог]]/Salary[[#This Row],[Salary]]</f>
        <v>0.79586206896551726</v>
      </c>
      <c r="Q122">
        <f>Salary[[#This Row],[SalaryOfficial]]*INDEX(Tax[НДФЛ],MATCH(Salary[[#This Row],[PaymentMethod]],Tax[PaymentMethod], 0))</f>
        <v>19798.850574712644</v>
      </c>
      <c r="R122">
        <f>Salary[[#This Row],[SalaryOfficial]]*INDEX(Tax[Взносы],MATCH(Salary[[#This Row],[PaymentMethod]],Tax[PaymentMethod],0))</f>
        <v>45994.25287356323</v>
      </c>
      <c r="S122">
        <f>Salary[[#This Row],[Salary]]+Salary[[#This Row],[НДФЛ]]+Salary[[#This Row],[Фонды]]</f>
        <v>198293.10344827588</v>
      </c>
      <c r="T122">
        <f>Salary[[#This Row],[ЗП+НДФЛ+Фонды]]/(1-INDEX(Tax[УСН или Прибыль],MATCH(Salary[[#This Row],[PaymentMethod]],Tax[PaymentMethod],0)))</f>
        <v>198293.10344827588</v>
      </c>
      <c r="U122">
        <f>Salary[[#This Row],[Прибыль]]*INDEX(Tax[УСН или Прибыль],MATCH(Salary[[#This Row],[PaymentMethod]],Tax[PaymentMethod],0))</f>
        <v>0</v>
      </c>
      <c r="V122">
        <f>Salary[[#This Row],[Прибыль]]*INDEX(Tax[НДС],MATCH(Salary[[#This Row],[PaymentMethod]],Tax[PaymentMethod],0))</f>
        <v>39658.620689655181</v>
      </c>
    </row>
    <row r="123" spans="1:22" x14ac:dyDescent="0.25">
      <c r="A123">
        <v>122</v>
      </c>
      <c r="B123" s="91">
        <v>45352</v>
      </c>
      <c r="C123" s="2" t="s">
        <v>432</v>
      </c>
      <c r="D123" s="666">
        <f>SUMIF(Positions[Positions],Salary[[#This Row],[Position]],Positions[Grade])</f>
        <v>402</v>
      </c>
      <c r="E123" t="s">
        <v>3119</v>
      </c>
      <c r="F123" s="31">
        <v>202750</v>
      </c>
      <c r="G123" s="135">
        <f>ROUND(Salary[[#This Row],[Salary]]/160,0)</f>
        <v>1267</v>
      </c>
      <c r="H123">
        <v>1</v>
      </c>
      <c r="I123" s="31">
        <f>Salary[[#This Row],[FTE]]*Salary[[#This Row],[Salary]]</f>
        <v>202750</v>
      </c>
      <c r="J123" s="741">
        <f>INDEX(GradesAndSalaries[],MATCH(Salary[[#This Row],[Grade]],GradesAndSalaries[Grade],0),MATCH(Employee[[#Headers],[Base Budgeting COST]],GradesAndSalaries[#Headers],0))</f>
        <v>4449</v>
      </c>
      <c r="L123" s="6">
        <f>Salary[[#This Row],[Salary]]/(1-INDEX(Tax[НДФЛ],MATCH(Salary[[#This Row],[PaymentMethod]],Tax[PaymentMethod])))</f>
        <v>233045.97701149425</v>
      </c>
      <c r="M123" t="s">
        <v>1623</v>
      </c>
      <c r="N123" s="6">
        <f>Salary[[#This Row],[НДФЛ]]+Salary[[#This Row],[Фонды]]+Salary[[#This Row],[Налог на прибыль]]+Salary[[#This Row],[НДС]]</f>
        <v>161361.03448275861</v>
      </c>
      <c r="O123" s="6">
        <f>Salary[[#This Row],[Salary]]+Salary[[#This Row],[Полный Налог]]</f>
        <v>364111.03448275861</v>
      </c>
      <c r="P123">
        <f>Salary[[#This Row],[Полный Налог]]/Salary[[#This Row],[Salary]]</f>
        <v>0.79586206896551714</v>
      </c>
      <c r="Q123">
        <f>Salary[[#This Row],[SalaryOfficial]]*INDEX(Tax[НДФЛ],MATCH(Salary[[#This Row],[PaymentMethod]],Tax[PaymentMethod], 0))</f>
        <v>30295.977011494255</v>
      </c>
      <c r="R123">
        <f>Salary[[#This Row],[SalaryOfficial]]*INDEX(Tax[Взносы],MATCH(Salary[[#This Row],[PaymentMethod]],Tax[PaymentMethod],0))</f>
        <v>70379.885057471271</v>
      </c>
      <c r="S123">
        <f>Salary[[#This Row],[Salary]]+Salary[[#This Row],[НДФЛ]]+Salary[[#This Row],[Фонды]]</f>
        <v>303425.86206896551</v>
      </c>
      <c r="T123">
        <f>Salary[[#This Row],[ЗП+НДФЛ+Фонды]]/(1-INDEX(Tax[УСН или Прибыль],MATCH(Salary[[#This Row],[PaymentMethod]],Tax[PaymentMethod],0)))</f>
        <v>303425.86206896551</v>
      </c>
      <c r="U123">
        <f>Salary[[#This Row],[Прибыль]]*INDEX(Tax[УСН или Прибыль],MATCH(Salary[[#This Row],[PaymentMethod]],Tax[PaymentMethod],0))</f>
        <v>0</v>
      </c>
      <c r="V123">
        <f>Salary[[#This Row],[Прибыль]]*INDEX(Tax[НДС],MATCH(Salary[[#This Row],[PaymentMethod]],Tax[PaymentMethod],0))</f>
        <v>60685.172413793101</v>
      </c>
    </row>
    <row r="124" spans="1:22" x14ac:dyDescent="0.25">
      <c r="A124">
        <v>123</v>
      </c>
      <c r="B124" s="91">
        <v>45352</v>
      </c>
      <c r="C124" s="2" t="s">
        <v>418</v>
      </c>
      <c r="D124" s="666">
        <f>SUMIF(Positions[Positions],Salary[[#This Row],[Position]],Positions[Grade])</f>
        <v>202</v>
      </c>
      <c r="E124" t="s">
        <v>3614</v>
      </c>
      <c r="F124" s="31">
        <v>44500</v>
      </c>
      <c r="G124" s="135">
        <f>ROUND(Salary[[#This Row],[Salary]]/160,0)</f>
        <v>278</v>
      </c>
      <c r="H124">
        <v>0.5</v>
      </c>
      <c r="I124" s="31">
        <f>Salary[[#This Row],[FTE]]*Salary[[#This Row],[Salary]]</f>
        <v>22250</v>
      </c>
      <c r="J124" s="741">
        <f>INDEX(GradesAndSalaries[],MATCH(Salary[[#This Row],[Grade]],GradesAndSalaries[Grade],0),MATCH(Employee[[#Headers],[Base Budgeting COST]],GradesAndSalaries[#Headers],0))</f>
        <v>875</v>
      </c>
      <c r="L124" s="6">
        <f>Salary[[#This Row],[Salary]]/(1-INDEX(Tax[НДФЛ],MATCH(Salary[[#This Row],[PaymentMethod]],Tax[PaymentMethod])))</f>
        <v>51149.425287356324</v>
      </c>
      <c r="M124" t="s">
        <v>1623</v>
      </c>
      <c r="N124" s="6">
        <f>Salary[[#This Row],[НДФЛ]]+Salary[[#This Row],[Фонды]]+Salary[[#This Row],[Налог на прибыль]]+Salary[[#This Row],[НДС]]</f>
        <v>35415.862068965522</v>
      </c>
      <c r="O124" s="6">
        <f>Salary[[#This Row],[Salary]]+Salary[[#This Row],[Полный Налог]]</f>
        <v>79915.862068965522</v>
      </c>
      <c r="P124">
        <f>Salary[[#This Row],[Полный Налог]]/Salary[[#This Row],[Salary]]</f>
        <v>0.79586206896551737</v>
      </c>
      <c r="Q124">
        <f>Salary[[#This Row],[SalaryOfficial]]*INDEX(Tax[НДФЛ],MATCH(Salary[[#This Row],[PaymentMethod]],Tax[PaymentMethod], 0))</f>
        <v>6649.4252873563219</v>
      </c>
      <c r="R124">
        <f>Salary[[#This Row],[SalaryOfficial]]*INDEX(Tax[Взносы],MATCH(Salary[[#This Row],[PaymentMethod]],Tax[PaymentMethod],0))</f>
        <v>15447.126436781613</v>
      </c>
      <c r="S124">
        <f>Salary[[#This Row],[Salary]]+Salary[[#This Row],[НДФЛ]]+Salary[[#This Row],[Фонды]]</f>
        <v>66596.551724137942</v>
      </c>
      <c r="T124">
        <f>Salary[[#This Row],[ЗП+НДФЛ+Фонды]]/(1-INDEX(Tax[УСН или Прибыль],MATCH(Salary[[#This Row],[PaymentMethod]],Tax[PaymentMethod],0)))</f>
        <v>66596.551724137942</v>
      </c>
      <c r="U124">
        <f>Salary[[#This Row],[Прибыль]]*INDEX(Tax[УСН или Прибыль],MATCH(Salary[[#This Row],[PaymentMethod]],Tax[PaymentMethod],0))</f>
        <v>0</v>
      </c>
      <c r="V124">
        <f>Salary[[#This Row],[Прибыль]]*INDEX(Tax[НДС],MATCH(Salary[[#This Row],[PaymentMethod]],Tax[PaymentMethod],0))</f>
        <v>13319.310344827589</v>
      </c>
    </row>
    <row r="125" spans="1:22" x14ac:dyDescent="0.25">
      <c r="A125">
        <v>124</v>
      </c>
      <c r="B125" s="91">
        <v>45352</v>
      </c>
      <c r="C125" s="2" t="s">
        <v>419</v>
      </c>
      <c r="D125" s="666">
        <f>SUMIF(Positions[Positions],Salary[[#This Row],[Position]],Positions[Grade])</f>
        <v>100</v>
      </c>
      <c r="E125" t="s">
        <v>3113</v>
      </c>
      <c r="F125" s="31">
        <v>41000</v>
      </c>
      <c r="G125" s="135">
        <f>ROUND(Salary[[#This Row],[Salary]]/160,0)</f>
        <v>256</v>
      </c>
      <c r="H125">
        <v>1</v>
      </c>
      <c r="I125" s="31">
        <f>Salary[[#This Row],[FTE]]*Salary[[#This Row],[Salary]]</f>
        <v>41000</v>
      </c>
      <c r="J125" s="741">
        <f>INDEX(GradesAndSalaries[],MATCH(Salary[[#This Row],[Grade]],GradesAndSalaries[Grade],0),MATCH(Employee[[#Headers],[Base Budgeting COST]],GradesAndSalaries[#Headers],0))</f>
        <v>0</v>
      </c>
      <c r="L125" s="6" t="e">
        <f>Salary[[#This Row],[Salary]]/(1-INDEX(Tax[НДФЛ],MATCH(Salary[[#This Row],[PaymentMethod]],Tax[PaymentMethod])))</f>
        <v>#N/A</v>
      </c>
      <c r="N125" t="e">
        <f>Salary[[#This Row],[НДФЛ]]+Salary[[#This Row],[Фонды]]+Salary[[#This Row],[Налог на прибыль]]+Salary[[#This Row],[НДС]]</f>
        <v>#N/A</v>
      </c>
      <c r="O125" t="e">
        <f>Salary[[#This Row],[Salary]]+Salary[[#This Row],[Полный Налог]]</f>
        <v>#N/A</v>
      </c>
      <c r="P125" t="e">
        <f>Salary[[#This Row],[Полный Налог]]/Salary[[#This Row],[Salary]]</f>
        <v>#N/A</v>
      </c>
      <c r="Q125" t="e">
        <f>Salary[[#This Row],[SalaryOfficial]]*INDEX(Tax[НДФЛ],MATCH(Salary[[#This Row],[PaymentMethod]],Tax[PaymentMethod], 0))</f>
        <v>#N/A</v>
      </c>
      <c r="R125" t="e">
        <f>Salary[[#This Row],[SalaryOfficial]]*INDEX(Tax[Взносы],MATCH(Salary[[#This Row],[PaymentMethod]],Tax[PaymentMethod],0))</f>
        <v>#N/A</v>
      </c>
      <c r="S125" t="e">
        <f>Salary[[#This Row],[Salary]]+Salary[[#This Row],[НДФЛ]]+Salary[[#This Row],[Фонды]]</f>
        <v>#N/A</v>
      </c>
      <c r="T125" t="e">
        <f>Salary[[#This Row],[ЗП+НДФЛ+Фонды]]/(1-INDEX(Tax[УСН или Прибыль],MATCH(Salary[[#This Row],[PaymentMethod]],Tax[PaymentMethod],0)))</f>
        <v>#N/A</v>
      </c>
      <c r="U125" t="e">
        <f>Salary[[#This Row],[Прибыль]]*INDEX(Tax[УСН или Прибыль],MATCH(Salary[[#This Row],[PaymentMethod]],Tax[PaymentMethod],0))</f>
        <v>#N/A</v>
      </c>
      <c r="V125" t="e">
        <f>Salary[[#This Row],[Прибыль]]*INDEX(Tax[НДС],MATCH(Salary[[#This Row],[PaymentMethod]],Tax[PaymentMethod],0))</f>
        <v>#N/A</v>
      </c>
    </row>
    <row r="126" spans="1:22" x14ac:dyDescent="0.25">
      <c r="A126">
        <v>125</v>
      </c>
      <c r="B126" s="91">
        <v>45352</v>
      </c>
      <c r="C126" s="2" t="s">
        <v>147</v>
      </c>
      <c r="D126" s="666">
        <f>SUMIF(Positions[Positions],Salary[[#This Row],[Position]],Positions[Grade])</f>
        <v>302</v>
      </c>
      <c r="E126" t="s">
        <v>3155</v>
      </c>
      <c r="F126" s="31">
        <v>150000</v>
      </c>
      <c r="G126" s="135">
        <f>ROUND(Salary[[#This Row],[Salary]]/160,0)</f>
        <v>938</v>
      </c>
      <c r="H126">
        <v>1</v>
      </c>
      <c r="I126" s="31">
        <f>Salary[[#This Row],[FTE]]*Salary[[#This Row],[Salary]]</f>
        <v>150000</v>
      </c>
      <c r="J126" s="741">
        <f>INDEX(GradesAndSalaries[],MATCH(Salary[[#This Row],[Grade]],GradesAndSalaries[Grade],0),MATCH(Employee[[#Headers],[Base Budgeting COST]],GradesAndSalaries[#Headers],0))</f>
        <v>1846</v>
      </c>
      <c r="L126" s="6">
        <f>Salary[[#This Row],[Salary]]/(1-INDEX(Tax[НДФЛ],MATCH(Salary[[#This Row],[PaymentMethod]],Tax[PaymentMethod])))</f>
        <v>172413.79310344829</v>
      </c>
      <c r="M126" t="s">
        <v>1623</v>
      </c>
      <c r="N126" s="6">
        <f>Salary[[#This Row],[НДФЛ]]+Salary[[#This Row],[Фонды]]+Salary[[#This Row],[Налог на прибыль]]+Salary[[#This Row],[НДС]]</f>
        <v>119379.31034482761</v>
      </c>
      <c r="O126" s="6">
        <f>Salary[[#This Row],[Salary]]+Salary[[#This Row],[Полный Налог]]</f>
        <v>269379.31034482759</v>
      </c>
      <c r="P126">
        <f>Salary[[#This Row],[Полный Налог]]/Salary[[#This Row],[Salary]]</f>
        <v>0.79586206896551737</v>
      </c>
      <c r="Q126">
        <f>Salary[[#This Row],[SalaryOfficial]]*INDEX(Tax[НДФЛ],MATCH(Salary[[#This Row],[PaymentMethod]],Tax[PaymentMethod], 0))</f>
        <v>22413.793103448279</v>
      </c>
      <c r="R126">
        <f>Salary[[#This Row],[SalaryOfficial]]*INDEX(Tax[Взносы],MATCH(Salary[[#This Row],[PaymentMethod]],Tax[PaymentMethod],0))</f>
        <v>52068.965517241391</v>
      </c>
      <c r="S126">
        <f>Salary[[#This Row],[Salary]]+Salary[[#This Row],[НДФЛ]]+Salary[[#This Row],[Фонды]]</f>
        <v>224482.75862068968</v>
      </c>
      <c r="T126">
        <f>Salary[[#This Row],[ЗП+НДФЛ+Фонды]]/(1-INDEX(Tax[УСН или Прибыль],MATCH(Salary[[#This Row],[PaymentMethod]],Tax[PaymentMethod],0)))</f>
        <v>224482.75862068968</v>
      </c>
      <c r="U126">
        <f>Salary[[#This Row],[Прибыль]]*INDEX(Tax[УСН или Прибыль],MATCH(Salary[[#This Row],[PaymentMethod]],Tax[PaymentMethod],0))</f>
        <v>0</v>
      </c>
      <c r="V126">
        <f>Salary[[#This Row],[Прибыль]]*INDEX(Tax[НДС],MATCH(Salary[[#This Row],[PaymentMethod]],Tax[PaymentMethod],0))</f>
        <v>44896.551724137942</v>
      </c>
    </row>
    <row r="127" spans="1:22" x14ac:dyDescent="0.25">
      <c r="A127">
        <v>126</v>
      </c>
      <c r="B127" s="91">
        <v>45366</v>
      </c>
      <c r="C127" s="2" t="s">
        <v>419</v>
      </c>
      <c r="D127" s="666">
        <f>SUMIF(Positions[Positions],Salary[[#This Row],[Position]],Positions[Grade])</f>
        <v>100</v>
      </c>
      <c r="E127" t="s">
        <v>3155</v>
      </c>
      <c r="F127" s="31">
        <v>150000</v>
      </c>
      <c r="G127" s="135">
        <f>ROUND(Salary[[#This Row],[Salary]]/160,0)</f>
        <v>938</v>
      </c>
      <c r="H127">
        <v>1</v>
      </c>
      <c r="I127" s="31">
        <f>Salary[[#This Row],[FTE]]*Salary[[#This Row],[Salary]]</f>
        <v>150000</v>
      </c>
      <c r="J127" s="741">
        <f>INDEX(GradesAndSalaries[],MATCH(Salary[[#This Row],[Grade]],GradesAndSalaries[Grade],0),MATCH(Employee[[#Headers],[Base Budgeting COST]],GradesAndSalaries[#Headers],0))</f>
        <v>0</v>
      </c>
      <c r="L127" s="6" t="e">
        <f>Salary[[#This Row],[Salary]]/(1-INDEX(Tax[НДФЛ],MATCH(Salary[[#This Row],[PaymentMethod]],Tax[PaymentMethod])))</f>
        <v>#N/A</v>
      </c>
      <c r="N127" t="e">
        <f>Salary[[#This Row],[НДФЛ]]+Salary[[#This Row],[Фонды]]+Salary[[#This Row],[Налог на прибыль]]+Salary[[#This Row],[НДС]]</f>
        <v>#N/A</v>
      </c>
      <c r="O127" t="e">
        <f>Salary[[#This Row],[Salary]]+Salary[[#This Row],[Полный Налог]]</f>
        <v>#N/A</v>
      </c>
      <c r="P127" t="e">
        <f>Salary[[#This Row],[Полный Налог]]/Salary[[#This Row],[Salary]]</f>
        <v>#N/A</v>
      </c>
      <c r="Q127" t="e">
        <f>Salary[[#This Row],[SalaryOfficial]]*INDEX(Tax[НДФЛ],MATCH(Salary[[#This Row],[PaymentMethod]],Tax[PaymentMethod], 0))</f>
        <v>#N/A</v>
      </c>
      <c r="R127" t="e">
        <f>Salary[[#This Row],[SalaryOfficial]]*INDEX(Tax[Взносы],MATCH(Salary[[#This Row],[PaymentMethod]],Tax[PaymentMethod],0))</f>
        <v>#N/A</v>
      </c>
      <c r="S127" t="e">
        <f>Salary[[#This Row],[Salary]]+Salary[[#This Row],[НДФЛ]]+Salary[[#This Row],[Фонды]]</f>
        <v>#N/A</v>
      </c>
      <c r="T127" t="e">
        <f>Salary[[#This Row],[ЗП+НДФЛ+Фонды]]/(1-INDEX(Tax[УСН или Прибыль],MATCH(Salary[[#This Row],[PaymentMethod]],Tax[PaymentMethod],0)))</f>
        <v>#N/A</v>
      </c>
      <c r="U127" t="e">
        <f>Salary[[#This Row],[Прибыль]]*INDEX(Tax[УСН или Прибыль],MATCH(Salary[[#This Row],[PaymentMethod]],Tax[PaymentMethod],0))</f>
        <v>#N/A</v>
      </c>
      <c r="V127" t="e">
        <f>Salary[[#This Row],[Прибыль]]*INDEX(Tax[НДС],MATCH(Salary[[#This Row],[PaymentMethod]],Tax[PaymentMethod],0))</f>
        <v>#N/A</v>
      </c>
    </row>
    <row r="128" spans="1:22" x14ac:dyDescent="0.25">
      <c r="A128">
        <v>127</v>
      </c>
      <c r="B128" s="91">
        <v>45383</v>
      </c>
      <c r="C128" s="2" t="s">
        <v>147</v>
      </c>
      <c r="D128" s="666">
        <f>SUMIF(Positions[Positions],Salary[[#This Row],[Position]],Positions[Grade])</f>
        <v>302</v>
      </c>
      <c r="E128" t="s">
        <v>3672</v>
      </c>
      <c r="F128" s="31">
        <v>103750</v>
      </c>
      <c r="G128" s="135">
        <f>ROUND(Salary[[#This Row],[Salary]]/160,0)</f>
        <v>648</v>
      </c>
      <c r="H128">
        <v>1</v>
      </c>
      <c r="I128" s="31">
        <f>Salary[[#This Row],[FTE]]*Salary[[#This Row],[Salary]]</f>
        <v>103750</v>
      </c>
      <c r="J128" s="741">
        <f>INDEX(GradesAndSalaries[],MATCH(Salary[[#This Row],[Grade]],GradesAndSalaries[Grade],0),MATCH(Employee[[#Headers],[Base Budgeting COST]],GradesAndSalaries[#Headers],0))</f>
        <v>1846</v>
      </c>
      <c r="L128" s="6">
        <f>Salary[[#This Row],[Salary]]/(1-INDEX(Tax[НДФЛ],MATCH(Salary[[#This Row],[PaymentMethod]],Tax[PaymentMethod])))</f>
        <v>119252.8735632184</v>
      </c>
      <c r="M128" t="s">
        <v>1623</v>
      </c>
      <c r="N128" s="6">
        <f>Salary[[#This Row],[НДФЛ]]+Salary[[#This Row],[Фонды]]+Salary[[#This Row],[Налог на прибыль]]+Salary[[#This Row],[НДС]]</f>
        <v>82570.68965517242</v>
      </c>
      <c r="O128" s="6">
        <f>Salary[[#This Row],[Salary]]+Salary[[#This Row],[Полный Налог]]</f>
        <v>186320.68965517241</v>
      </c>
      <c r="P128">
        <f>Salary[[#This Row],[Полный Налог]]/Salary[[#This Row],[Salary]]</f>
        <v>0.79586206896551726</v>
      </c>
      <c r="Q128">
        <f>Salary[[#This Row],[SalaryOfficial]]*INDEX(Tax[НДФЛ],MATCH(Salary[[#This Row],[PaymentMethod]],Tax[PaymentMethod], 0))</f>
        <v>15502.873563218393</v>
      </c>
      <c r="R128">
        <f>Salary[[#This Row],[SalaryOfficial]]*INDEX(Tax[Взносы],MATCH(Salary[[#This Row],[PaymentMethod]],Tax[PaymentMethod],0))</f>
        <v>36014.367816091959</v>
      </c>
      <c r="S128">
        <f>Salary[[#This Row],[Salary]]+Salary[[#This Row],[НДФЛ]]+Salary[[#This Row],[Фонды]]</f>
        <v>155267.24137931035</v>
      </c>
      <c r="T128">
        <f>Salary[[#This Row],[ЗП+НДФЛ+Фонды]]/(1-INDEX(Tax[УСН или Прибыль],MATCH(Salary[[#This Row],[PaymentMethod]],Tax[PaymentMethod],0)))</f>
        <v>155267.24137931035</v>
      </c>
      <c r="U128">
        <f>Salary[[#This Row],[Прибыль]]*INDEX(Tax[УСН или Прибыль],MATCH(Salary[[#This Row],[PaymentMethod]],Tax[PaymentMethod],0))</f>
        <v>0</v>
      </c>
      <c r="V128">
        <f>Salary[[#This Row],[Прибыль]]*INDEX(Tax[НДС],MATCH(Salary[[#This Row],[PaymentMethod]],Tax[PaymentMethod],0))</f>
        <v>31053.448275862072</v>
      </c>
    </row>
    <row r="129" spans="1:24" x14ac:dyDescent="0.25">
      <c r="A129">
        <v>128</v>
      </c>
      <c r="B129" s="91">
        <v>45390</v>
      </c>
      <c r="C129" s="2" t="s">
        <v>418</v>
      </c>
      <c r="D129" s="666">
        <f>SUMIF(Positions[Positions],Salary[[#This Row],[Position]],Positions[Grade])</f>
        <v>202</v>
      </c>
      <c r="E129" t="s">
        <v>3735</v>
      </c>
      <c r="F129" s="31">
        <v>65000</v>
      </c>
      <c r="G129" s="135">
        <f>ROUND(Salary[[#This Row],[Salary]]/160,0)</f>
        <v>406</v>
      </c>
      <c r="H129">
        <v>0.8</v>
      </c>
      <c r="I129" s="31">
        <f>Salary[[#This Row],[FTE]]*Salary[[#This Row],[Salary]]</f>
        <v>52000</v>
      </c>
      <c r="J129" s="733">
        <f>INDEX(GradesAndSalaries[],MATCH(Salary[[#This Row],[Grade]],GradesAndSalaries[Grade],0),MATCH(Employee[[#Headers],[Base Budgeting COST]],GradesAndSalaries[#Headers],0))</f>
        <v>875</v>
      </c>
      <c r="L129" s="6">
        <f>Salary[[#This Row],[Salary]]/(1-INDEX(Tax[НДФЛ],MATCH(Salary[[#This Row],[PaymentMethod]],Tax[PaymentMethod])))</f>
        <v>74712.643678160923</v>
      </c>
      <c r="M129" t="s">
        <v>1623</v>
      </c>
      <c r="N129" s="6">
        <f>Salary[[#This Row],[НДФЛ]]+Salary[[#This Row],[Фонды]]+Salary[[#This Row],[Налог на прибыль]]+Salary[[#This Row],[НДС]]</f>
        <v>51731.034482758623</v>
      </c>
      <c r="O129" s="6">
        <f>Salary[[#This Row],[Salary]]+Salary[[#This Row],[Полный Налог]]</f>
        <v>116731.03448275862</v>
      </c>
      <c r="P129">
        <f>Salary[[#This Row],[Полный Налог]]/Salary[[#This Row],[Salary]]</f>
        <v>0.79586206896551726</v>
      </c>
      <c r="Q129">
        <f>Salary[[#This Row],[SalaryOfficial]]*INDEX(Tax[НДФЛ],MATCH(Salary[[#This Row],[PaymentMethod]],Tax[PaymentMethod], 0))</f>
        <v>9712.6436781609209</v>
      </c>
      <c r="R129">
        <f>Salary[[#This Row],[SalaryOfficial]]*INDEX(Tax[Взносы],MATCH(Salary[[#This Row],[PaymentMethod]],Tax[PaymentMethod],0))</f>
        <v>22563.218390804603</v>
      </c>
      <c r="S129">
        <f>Salary[[#This Row],[Salary]]+Salary[[#This Row],[НДФЛ]]+Salary[[#This Row],[Фонды]]</f>
        <v>97275.862068965522</v>
      </c>
      <c r="T129">
        <f>Salary[[#This Row],[ЗП+НДФЛ+Фонды]]/(1-INDEX(Tax[УСН или Прибыль],MATCH(Salary[[#This Row],[PaymentMethod]],Tax[PaymentMethod],0)))</f>
        <v>97275.862068965522</v>
      </c>
      <c r="U129">
        <f>Salary[[#This Row],[Прибыль]]*INDEX(Tax[УСН или Прибыль],MATCH(Salary[[#This Row],[PaymentMethod]],Tax[PaymentMethod],0))</f>
        <v>0</v>
      </c>
      <c r="V129">
        <f>Salary[[#This Row],[Прибыль]]*INDEX(Tax[НДС],MATCH(Salary[[#This Row],[PaymentMethod]],Tax[PaymentMethod],0))</f>
        <v>19455.172413793105</v>
      </c>
    </row>
    <row r="130" spans="1:24" x14ac:dyDescent="0.25">
      <c r="A130">
        <v>129</v>
      </c>
      <c r="B130" s="91">
        <v>45397</v>
      </c>
      <c r="C130" s="2" t="s">
        <v>418</v>
      </c>
      <c r="D130" s="666">
        <f>SUMIF(Positions[Positions],Salary[[#This Row],[Position]],Positions[Grade])</f>
        <v>202</v>
      </c>
      <c r="E130" t="s">
        <v>3745</v>
      </c>
      <c r="F130" s="31">
        <v>65000</v>
      </c>
      <c r="G130" s="135">
        <f>ROUND(Salary[[#This Row],[Salary]]/160,0)</f>
        <v>406</v>
      </c>
      <c r="H130">
        <v>0.8</v>
      </c>
      <c r="I130" s="31">
        <f>Salary[[#This Row],[FTE]]*Salary[[#This Row],[Salary]]</f>
        <v>52000</v>
      </c>
      <c r="J130" s="741">
        <f>INDEX(GradesAndSalaries[],MATCH(Salary[[#This Row],[Grade]],GradesAndSalaries[Grade],0),MATCH(Employee[[#Headers],[Base Budgeting COST]],GradesAndSalaries[#Headers],0))</f>
        <v>875</v>
      </c>
      <c r="L130" s="6">
        <f>Salary[[#This Row],[Salary]]/(1-INDEX(Tax[НДФЛ],MATCH(Salary[[#This Row],[PaymentMethod]],Tax[PaymentMethod])))</f>
        <v>74712.643678160923</v>
      </c>
      <c r="M130" t="s">
        <v>1623</v>
      </c>
      <c r="N130" s="6">
        <f>Salary[[#This Row],[НДФЛ]]+Salary[[#This Row],[Фонды]]+Salary[[#This Row],[Налог на прибыль]]+Salary[[#This Row],[НДС]]</f>
        <v>51731.034482758623</v>
      </c>
      <c r="O130" s="6">
        <f>Salary[[#This Row],[Salary]]+Salary[[#This Row],[Полный Налог]]</f>
        <v>116731.03448275862</v>
      </c>
      <c r="P130">
        <f>Salary[[#This Row],[Полный Налог]]/Salary[[#This Row],[Salary]]</f>
        <v>0.79586206896551726</v>
      </c>
      <c r="Q130">
        <f>Salary[[#This Row],[SalaryOfficial]]*INDEX(Tax[НДФЛ],MATCH(Salary[[#This Row],[PaymentMethod]],Tax[PaymentMethod], 0))</f>
        <v>9712.6436781609209</v>
      </c>
      <c r="R130">
        <f>Salary[[#This Row],[SalaryOfficial]]*INDEX(Tax[Взносы],MATCH(Salary[[#This Row],[PaymentMethod]],Tax[PaymentMethod],0))</f>
        <v>22563.218390804603</v>
      </c>
      <c r="S130">
        <f>Salary[[#This Row],[Salary]]+Salary[[#This Row],[НДФЛ]]+Salary[[#This Row],[Фонды]]</f>
        <v>97275.862068965522</v>
      </c>
      <c r="T130">
        <f>Salary[[#This Row],[ЗП+НДФЛ+Фонды]]/(1-INDEX(Tax[УСН или Прибыль],MATCH(Salary[[#This Row],[PaymentMethod]],Tax[PaymentMethod],0)))</f>
        <v>97275.862068965522</v>
      </c>
      <c r="U130">
        <f>Salary[[#This Row],[Прибыль]]*INDEX(Tax[УСН или Прибыль],MATCH(Salary[[#This Row],[PaymentMethod]],Tax[PaymentMethod],0))</f>
        <v>0</v>
      </c>
      <c r="V130">
        <f>Salary[[#This Row],[Прибыль]]*INDEX(Tax[НДС],MATCH(Salary[[#This Row],[PaymentMethod]],Tax[PaymentMethod],0))</f>
        <v>19455.172413793105</v>
      </c>
    </row>
    <row r="131" spans="1:24" x14ac:dyDescent="0.25">
      <c r="A131">
        <v>130</v>
      </c>
      <c r="B131" s="91">
        <v>45352</v>
      </c>
      <c r="C131" s="2" t="s">
        <v>437</v>
      </c>
      <c r="D131" s="666">
        <f>SUMIF(Positions[Positions],Salary[[#This Row],[Position]],Positions[Grade])</f>
        <v>503</v>
      </c>
      <c r="E131" t="s">
        <v>72</v>
      </c>
      <c r="F131" s="31">
        <v>340000</v>
      </c>
      <c r="G131" s="135">
        <f>ROUND(Salary[[#This Row],[Salary]]/160,0)</f>
        <v>2125</v>
      </c>
      <c r="H131">
        <v>1</v>
      </c>
      <c r="I131" s="31">
        <f>Salary[[#This Row],[FTE]]*Salary[[#This Row],[Salary]]</f>
        <v>340000</v>
      </c>
      <c r="J131" s="741">
        <f>INDEX(GradesAndSalaries[],MATCH(Salary[[#This Row],[Grade]],GradesAndSalaries[Grade],0),MATCH(Employee[[#Headers],[Base Budgeting COST]],GradesAndSalaries[#Headers],0))</f>
        <v>16844</v>
      </c>
      <c r="L131" s="6">
        <f>Salary[[#This Row],[Salary]]/(1-INDEX(Tax[НДФЛ],MATCH(Salary[[#This Row],[PaymentMethod]],Tax[PaymentMethod])))</f>
        <v>340000</v>
      </c>
      <c r="M131" t="s">
        <v>710</v>
      </c>
      <c r="N131">
        <f>Salary[[#This Row],[НДФЛ]]+Salary[[#This Row],[Фонды]]+Salary[[#This Row],[Налог на прибыль]]+Salary[[#This Row],[НДС]]</f>
        <v>98709.677419354863</v>
      </c>
      <c r="O131">
        <f>Salary[[#This Row],[Salary]]+Salary[[#This Row],[Полный Налог]]</f>
        <v>438709.67741935485</v>
      </c>
      <c r="P131">
        <f>Salary[[#This Row],[Полный Налог]]/Salary[[#This Row],[Salary]]</f>
        <v>0.29032258064516137</v>
      </c>
      <c r="Q131">
        <f>Salary[[#This Row],[SalaryOfficial]]*INDEX(Tax[НДФЛ],MATCH(Salary[[#This Row],[PaymentMethod]],Tax[PaymentMethod], 0))</f>
        <v>0</v>
      </c>
      <c r="R131">
        <f>Salary[[#This Row],[SalaryOfficial]]*INDEX(Tax[Взносы],MATCH(Salary[[#This Row],[PaymentMethod]],Tax[PaymentMethod],0))</f>
        <v>0</v>
      </c>
      <c r="S131">
        <f>Salary[[#This Row],[Salary]]+Salary[[#This Row],[НДФЛ]]+Salary[[#This Row],[Фонды]]</f>
        <v>340000</v>
      </c>
      <c r="T131">
        <f>Salary[[#This Row],[ЗП+НДФЛ+Фонды]]/(1-INDEX(Tax[УСН или Прибыль],MATCH(Salary[[#This Row],[PaymentMethod]],Tax[PaymentMethod],0)))</f>
        <v>365591.3978494624</v>
      </c>
      <c r="U131">
        <f>Salary[[#This Row],[Прибыль]]*INDEX(Tax[УСН или Прибыль],MATCH(Salary[[#This Row],[PaymentMethod]],Tax[PaymentMethod],0))</f>
        <v>25591.39784946237</v>
      </c>
      <c r="V131">
        <f>Salary[[#This Row],[Прибыль]]*INDEX(Tax[НДС],MATCH(Salary[[#This Row],[PaymentMethod]],Tax[PaymentMethod],0))</f>
        <v>73118.279569892489</v>
      </c>
    </row>
    <row r="132" spans="1:24" x14ac:dyDescent="0.25">
      <c r="A132">
        <v>131</v>
      </c>
      <c r="B132" s="91">
        <v>45352</v>
      </c>
      <c r="C132" s="2" t="s">
        <v>434</v>
      </c>
      <c r="D132" s="666">
        <f>SUMIF(Positions[Positions],Salary[[#This Row],[Position]],Positions[Grade])</f>
        <v>501</v>
      </c>
      <c r="E132" t="s">
        <v>262</v>
      </c>
      <c r="F132" s="31">
        <v>263000</v>
      </c>
      <c r="G132" s="135">
        <f>ROUND(Salary[[#This Row],[Salary]]/160,0)</f>
        <v>1644</v>
      </c>
      <c r="H132">
        <v>1</v>
      </c>
      <c r="I132" s="31">
        <f>Salary[[#This Row],[FTE]]*Salary[[#This Row],[Salary]]</f>
        <v>263000</v>
      </c>
      <c r="J132" s="733">
        <f>INDEX(GradesAndSalaries[],MATCH(Salary[[#This Row],[Grade]],GradesAndSalaries[Grade],0),MATCH(Employee[[#Headers],[Base Budgeting COST]],GradesAndSalaries[#Headers],0))</f>
        <v>9354</v>
      </c>
      <c r="L132" s="6">
        <f>Salary[[#This Row],[Salary]]/(1-INDEX(Tax[НДФЛ],MATCH(Salary[[#This Row],[PaymentMethod]],Tax[PaymentMethod])))</f>
        <v>302298.85057471262</v>
      </c>
      <c r="M132" t="s">
        <v>1623</v>
      </c>
      <c r="N132">
        <f>Salary[[#This Row],[НДФЛ]]+Salary[[#This Row],[Фонды]]+Salary[[#This Row],[Налог на прибыль]]+Salary[[#This Row],[НДС]]</f>
        <v>209311.72413793101</v>
      </c>
      <c r="O132">
        <f>Salary[[#This Row],[Salary]]+Salary[[#This Row],[Полный Налог]]</f>
        <v>472311.72413793101</v>
      </c>
      <c r="P132">
        <f>Salary[[#This Row],[Полный Налог]]/Salary[[#This Row],[Salary]]</f>
        <v>0.79586206896551714</v>
      </c>
      <c r="Q132">
        <f>Salary[[#This Row],[SalaryOfficial]]*INDEX(Tax[НДФЛ],MATCH(Salary[[#This Row],[PaymentMethod]],Tax[PaymentMethod], 0))</f>
        <v>39298.85057471264</v>
      </c>
      <c r="R132">
        <f>Salary[[#This Row],[SalaryOfficial]]*INDEX(Tax[Взносы],MATCH(Salary[[#This Row],[PaymentMethod]],Tax[PaymentMethod],0))</f>
        <v>91294.252873563222</v>
      </c>
      <c r="S132">
        <f>Salary[[#This Row],[Salary]]+Salary[[#This Row],[НДФЛ]]+Salary[[#This Row],[Фонды]]</f>
        <v>393593.10344827583</v>
      </c>
      <c r="T132">
        <f>Salary[[#This Row],[ЗП+НДФЛ+Фонды]]/(1-INDEX(Tax[УСН или Прибыль],MATCH(Salary[[#This Row],[PaymentMethod]],Tax[PaymentMethod],0)))</f>
        <v>393593.10344827583</v>
      </c>
      <c r="U132">
        <f>Salary[[#This Row],[Прибыль]]*INDEX(Tax[УСН или Прибыль],MATCH(Salary[[#This Row],[PaymentMethod]],Tax[PaymentMethod],0))</f>
        <v>0</v>
      </c>
      <c r="V132">
        <f>Salary[[#This Row],[Прибыль]]*INDEX(Tax[НДС],MATCH(Salary[[#This Row],[PaymentMethod]],Tax[PaymentMethod],0))</f>
        <v>78718.620689655174</v>
      </c>
    </row>
    <row r="133" spans="1:24" x14ac:dyDescent="0.25">
      <c r="A133">
        <v>132</v>
      </c>
      <c r="B133" s="91">
        <v>45460</v>
      </c>
      <c r="C133" s="2" t="s">
        <v>418</v>
      </c>
      <c r="D133" s="666">
        <f>SUMIF(Positions[Positions],Salary[[#This Row],[Position]],Positions[Grade])</f>
        <v>202</v>
      </c>
      <c r="E133" t="s">
        <v>3614</v>
      </c>
      <c r="F133" s="31">
        <v>44500</v>
      </c>
      <c r="G133" s="135">
        <f>ROUND(Salary[[#This Row],[Salary]]/160,0)</f>
        <v>278</v>
      </c>
      <c r="H133">
        <v>1</v>
      </c>
      <c r="I133" s="31">
        <f>Salary[[#This Row],[FTE]]*Salary[[#This Row],[Salary]]</f>
        <v>44500</v>
      </c>
      <c r="J133" s="741">
        <f>INDEX(GradesAndSalaries[],MATCH(Salary[[#This Row],[Grade]],GradesAndSalaries[Grade],0),MATCH(Employee[[#Headers],[Base Budgeting COST]],GradesAndSalaries[#Headers],0))</f>
        <v>875</v>
      </c>
      <c r="L133" s="6">
        <f>Salary[[#This Row],[Salary]]/(1-INDEX(Tax[НДФЛ],MATCH(Salary[[#This Row],[PaymentMethod]],Tax[PaymentMethod])))</f>
        <v>51149.425287356324</v>
      </c>
      <c r="M133" t="s">
        <v>1623</v>
      </c>
      <c r="N133">
        <f>Salary[[#This Row],[НДФЛ]]+Salary[[#This Row],[Фонды]]+Salary[[#This Row],[Налог на прибыль]]+Salary[[#This Row],[НДС]]</f>
        <v>35415.862068965522</v>
      </c>
      <c r="O133">
        <f>Salary[[#This Row],[Salary]]+Salary[[#This Row],[Полный Налог]]</f>
        <v>79915.862068965522</v>
      </c>
      <c r="P133">
        <f>Salary[[#This Row],[Полный Налог]]/Salary[[#This Row],[Salary]]</f>
        <v>0.79586206896551737</v>
      </c>
      <c r="Q133">
        <f>Salary[[#This Row],[SalaryOfficial]]*INDEX(Tax[НДФЛ],MATCH(Salary[[#This Row],[PaymentMethod]],Tax[PaymentMethod], 0))</f>
        <v>6649.4252873563219</v>
      </c>
      <c r="R133">
        <f>Salary[[#This Row],[SalaryOfficial]]*INDEX(Tax[Взносы],MATCH(Salary[[#This Row],[PaymentMethod]],Tax[PaymentMethod],0))</f>
        <v>15447.126436781613</v>
      </c>
      <c r="S133">
        <f>Salary[[#This Row],[Salary]]+Salary[[#This Row],[НДФЛ]]+Salary[[#This Row],[Фонды]]</f>
        <v>66596.551724137942</v>
      </c>
      <c r="T133">
        <f>Salary[[#This Row],[ЗП+НДФЛ+Фонды]]/(1-INDEX(Tax[УСН или Прибыль],MATCH(Salary[[#This Row],[PaymentMethod]],Tax[PaymentMethod],0)))</f>
        <v>66596.551724137942</v>
      </c>
      <c r="U133">
        <f>Salary[[#This Row],[Прибыль]]*INDEX(Tax[УСН или Прибыль],MATCH(Salary[[#This Row],[PaymentMethod]],Tax[PaymentMethod],0))</f>
        <v>0</v>
      </c>
      <c r="V133">
        <f>Salary[[#This Row],[Прибыль]]*INDEX(Tax[НДС],MATCH(Salary[[#This Row],[PaymentMethod]],Tax[PaymentMethod],0))</f>
        <v>13319.310344827589</v>
      </c>
    </row>
    <row r="134" spans="1:24" x14ac:dyDescent="0.25">
      <c r="A134">
        <v>133</v>
      </c>
      <c r="B134" s="91">
        <v>45488</v>
      </c>
      <c r="C134" s="2" t="s">
        <v>417</v>
      </c>
      <c r="D134" s="666">
        <f>SUMIF(Positions[Positions],Salary[[#This Row],[Position]],Positions[Grade])</f>
        <v>201</v>
      </c>
      <c r="E134" t="s">
        <v>3808</v>
      </c>
      <c r="F134" s="31">
        <v>55500</v>
      </c>
      <c r="G134" s="135">
        <f>ROUND(Salary[[#This Row],[Salary]]/160,0)</f>
        <v>347</v>
      </c>
      <c r="H134">
        <v>1</v>
      </c>
      <c r="I134" s="31">
        <f>Salary[[#This Row],[FTE]]*Salary[[#This Row],[Salary]]</f>
        <v>55500</v>
      </c>
      <c r="J134" s="774">
        <f>INDEX(GradesAndSalaries[],MATCH(Salary[[#This Row],[Grade]],GradesAndSalaries[Grade],0),MATCH(Employee[[#Headers],[Base Budgeting COST]],GradesAndSalaries[#Headers],0))</f>
        <v>733</v>
      </c>
      <c r="L134" s="6">
        <f>Salary[[#This Row],[Salary]]/(1-INDEX(Tax[НДФЛ],MATCH(Salary[[#This Row],[PaymentMethod]],Tax[PaymentMethod])))</f>
        <v>63793.103448275862</v>
      </c>
      <c r="M134" t="s">
        <v>1623</v>
      </c>
      <c r="N134">
        <f>Salary[[#This Row],[НДФЛ]]+Salary[[#This Row],[Фонды]]+Salary[[#This Row],[Налог на прибыль]]+Salary[[#This Row],[НДС]]</f>
        <v>44170.34482758621</v>
      </c>
      <c r="O134">
        <f>Salary[[#This Row],[Salary]]+Salary[[#This Row],[Полный Налог]]</f>
        <v>99670.344827586203</v>
      </c>
      <c r="P134">
        <f>Salary[[#This Row],[Полный Налог]]/Salary[[#This Row],[Salary]]</f>
        <v>0.79586206896551726</v>
      </c>
      <c r="Q134">
        <f>Salary[[#This Row],[SalaryOfficial]]*INDEX(Tax[НДФЛ],MATCH(Salary[[#This Row],[PaymentMethod]],Tax[PaymentMethod], 0))</f>
        <v>8293.1034482758623</v>
      </c>
      <c r="R134">
        <f>Salary[[#This Row],[SalaryOfficial]]*INDEX(Tax[Взносы],MATCH(Salary[[#This Row],[PaymentMethod]],Tax[PaymentMethod],0))</f>
        <v>19265.517241379312</v>
      </c>
      <c r="S134">
        <f>Salary[[#This Row],[Salary]]+Salary[[#This Row],[НДФЛ]]+Salary[[#This Row],[Фонды]]</f>
        <v>83058.620689655174</v>
      </c>
      <c r="T134">
        <f>Salary[[#This Row],[ЗП+НДФЛ+Фонды]]/(1-INDEX(Tax[УСН или Прибыль],MATCH(Salary[[#This Row],[PaymentMethod]],Tax[PaymentMethod],0)))</f>
        <v>83058.620689655174</v>
      </c>
      <c r="U134">
        <f>Salary[[#This Row],[Прибыль]]*INDEX(Tax[УСН или Прибыль],MATCH(Salary[[#This Row],[PaymentMethod]],Tax[PaymentMethod],0))</f>
        <v>0</v>
      </c>
      <c r="V134">
        <f>Salary[[#This Row],[Прибыль]]*INDEX(Tax[НДС],MATCH(Salary[[#This Row],[PaymentMethod]],Tax[PaymentMethod],0))</f>
        <v>16611.724137931036</v>
      </c>
    </row>
    <row r="135" spans="1:24" x14ac:dyDescent="0.25">
      <c r="A135">
        <v>134</v>
      </c>
      <c r="B135" s="91">
        <v>45505</v>
      </c>
      <c r="C135" s="2" t="s">
        <v>146</v>
      </c>
      <c r="D135" s="666">
        <f>SUMIF(Positions[Positions],Salary[[#This Row],[Position]],Positions[Grade])</f>
        <v>301</v>
      </c>
      <c r="E135" t="s">
        <v>3735</v>
      </c>
      <c r="F135" s="31">
        <v>73500</v>
      </c>
      <c r="G135" s="135">
        <f>ROUND(Salary[[#This Row],[Salary]]/160,0)</f>
        <v>459</v>
      </c>
      <c r="H135">
        <v>1</v>
      </c>
      <c r="I135" s="31">
        <f>Salary[[#This Row],[FTE]]*Salary[[#This Row],[Salary]]</f>
        <v>73500</v>
      </c>
      <c r="J135" s="774">
        <f>INDEX(GradesAndSalaries[],MATCH(Salary[[#This Row],[Grade]],GradesAndSalaries[Grade],0),MATCH(Employee[[#Headers],[Base Budgeting COST]],GradesAndSalaries[#Headers],0))</f>
        <v>1596</v>
      </c>
      <c r="L135">
        <f>Salary[[#This Row],[Salary]]/(1-INDEX(Tax[НДФЛ],MATCH(Salary[[#This Row],[PaymentMethod]],Tax[PaymentMethod])))</f>
        <v>84482.758620689652</v>
      </c>
      <c r="M135" t="s">
        <v>1623</v>
      </c>
      <c r="N135">
        <f>Salary[[#This Row],[НДФЛ]]+Salary[[#This Row],[Фонды]]+Salary[[#This Row],[Налог на прибыль]]+Salary[[#This Row],[НДС]]</f>
        <v>58495.862068965522</v>
      </c>
      <c r="O135">
        <f>Salary[[#This Row],[Salary]]+Salary[[#This Row],[Полный Налог]]</f>
        <v>131995.86206896551</v>
      </c>
      <c r="P135">
        <f>Salary[[#This Row],[Полный Налог]]/Salary[[#This Row],[Salary]]</f>
        <v>0.79586206896551726</v>
      </c>
      <c r="Q135">
        <f>Salary[[#This Row],[SalaryOfficial]]*INDEX(Tax[НДФЛ],MATCH(Salary[[#This Row],[PaymentMethod]],Tax[PaymentMethod], 0))</f>
        <v>10982.758620689656</v>
      </c>
      <c r="R135">
        <f>Salary[[#This Row],[SalaryOfficial]]*INDEX(Tax[Взносы],MATCH(Salary[[#This Row],[PaymentMethod]],Tax[PaymentMethod],0))</f>
        <v>25513.793103448279</v>
      </c>
      <c r="S135">
        <f>Salary[[#This Row],[Salary]]+Salary[[#This Row],[НДФЛ]]+Salary[[#This Row],[Фонды]]</f>
        <v>109996.55172413793</v>
      </c>
      <c r="T135">
        <f>Salary[[#This Row],[ЗП+НДФЛ+Фонды]]/(1-INDEX(Tax[УСН или Прибыль],MATCH(Salary[[#This Row],[PaymentMethod]],Tax[PaymentMethod],0)))</f>
        <v>109996.55172413793</v>
      </c>
      <c r="U135">
        <f>Salary[[#This Row],[Прибыль]]*INDEX(Tax[УСН или Прибыль],MATCH(Salary[[#This Row],[PaymentMethod]],Tax[PaymentMethod],0))</f>
        <v>0</v>
      </c>
      <c r="V135">
        <f>Salary[[#This Row],[Прибыль]]*INDEX(Tax[НДС],MATCH(Salary[[#This Row],[PaymentMethod]],Tax[PaymentMethod],0))</f>
        <v>21999.310344827587</v>
      </c>
    </row>
    <row r="136" spans="1:24" x14ac:dyDescent="0.25">
      <c r="A136">
        <v>135</v>
      </c>
      <c r="B136" s="91">
        <v>45536</v>
      </c>
      <c r="C136" s="2" t="s">
        <v>418</v>
      </c>
      <c r="D136" s="666">
        <f>SUMIF(Positions[Positions],Salary[[#This Row],[Position]],Positions[Grade])</f>
        <v>202</v>
      </c>
      <c r="E136" t="s">
        <v>3614</v>
      </c>
      <c r="F136" s="31">
        <v>44500</v>
      </c>
      <c r="G136" s="135">
        <f>ROUND(Salary[[#This Row],[Salary]]/160,0)</f>
        <v>278</v>
      </c>
      <c r="H136">
        <v>0.5</v>
      </c>
      <c r="I136" s="31">
        <f>Salary[[#This Row],[FTE]]*Salary[[#This Row],[Salary]]</f>
        <v>22250</v>
      </c>
      <c r="J136" s="733">
        <f>INDEX(GradesAndSalaries[],MATCH(Salary[[#This Row],[Grade]],GradesAndSalaries[Grade],0),MATCH(Employee[[#Headers],[Base Budgeting COST]],GradesAndSalaries[#Headers],0))</f>
        <v>875</v>
      </c>
      <c r="L136">
        <f>Salary[[#This Row],[Salary]]/(1-INDEX(Tax[НДФЛ],MATCH(Salary[[#This Row],[PaymentMethod]],Tax[PaymentMethod])))</f>
        <v>51149.425287356324</v>
      </c>
      <c r="M136" t="s">
        <v>1623</v>
      </c>
      <c r="N136">
        <f>Salary[[#This Row],[НДФЛ]]+Salary[[#This Row],[Фонды]]+Salary[[#This Row],[Налог на прибыль]]+Salary[[#This Row],[НДС]]</f>
        <v>35415.862068965522</v>
      </c>
      <c r="O136">
        <f>Salary[[#This Row],[Salary]]+Salary[[#This Row],[Полный Налог]]</f>
        <v>79915.862068965522</v>
      </c>
      <c r="P136">
        <f>Salary[[#This Row],[Полный Налог]]/Salary[[#This Row],[Salary]]</f>
        <v>0.79586206896551737</v>
      </c>
      <c r="Q136">
        <f>Salary[[#This Row],[SalaryOfficial]]*INDEX(Tax[НДФЛ],MATCH(Salary[[#This Row],[PaymentMethod]],Tax[PaymentMethod], 0))</f>
        <v>6649.4252873563219</v>
      </c>
      <c r="R136">
        <f>Salary[[#This Row],[SalaryOfficial]]*INDEX(Tax[Взносы],MATCH(Salary[[#This Row],[PaymentMethod]],Tax[PaymentMethod],0))</f>
        <v>15447.126436781613</v>
      </c>
      <c r="S136">
        <f>Salary[[#This Row],[Salary]]+Salary[[#This Row],[НДФЛ]]+Salary[[#This Row],[Фонды]]</f>
        <v>66596.551724137942</v>
      </c>
      <c r="T136">
        <f>Salary[[#This Row],[ЗП+НДФЛ+Фонды]]/(1-INDEX(Tax[УСН или Прибыль],MATCH(Salary[[#This Row],[PaymentMethod]],Tax[PaymentMethod],0)))</f>
        <v>66596.551724137942</v>
      </c>
      <c r="U136">
        <f>Salary[[#This Row],[Прибыль]]*INDEX(Tax[УСН или Прибыль],MATCH(Salary[[#This Row],[PaymentMethod]],Tax[PaymentMethod],0))</f>
        <v>0</v>
      </c>
      <c r="V136">
        <f>Salary[[#This Row],[Прибыль]]*INDEX(Tax[НДС],MATCH(Salary[[#This Row],[PaymentMethod]],Tax[PaymentMethod],0))</f>
        <v>13319.310344827589</v>
      </c>
    </row>
    <row r="137" spans="1:24" x14ac:dyDescent="0.25">
      <c r="A137" s="666">
        <v>136</v>
      </c>
      <c r="B137" s="91">
        <v>45566</v>
      </c>
      <c r="C137" s="2" t="s">
        <v>418</v>
      </c>
      <c r="D137" s="666">
        <f>SUMIF(Positions[Positions],Salary[[#This Row],[Position]],Positions[Grade])</f>
        <v>202</v>
      </c>
      <c r="E137" t="s">
        <v>3614</v>
      </c>
      <c r="F137" s="31">
        <v>67500</v>
      </c>
      <c r="G137" s="135">
        <f>ROUND(Salary[[#This Row],[Salary]]/160,0)</f>
        <v>422</v>
      </c>
      <c r="H137">
        <v>0.5</v>
      </c>
      <c r="I137" s="31">
        <f>Salary[[#This Row],[FTE]]*Salary[[#This Row],[Salary]]</f>
        <v>33750</v>
      </c>
      <c r="J137" s="774">
        <f>INDEX(GradesAndSalaries[],MATCH(Salary[[#This Row],[Grade]],GradesAndSalaries[Grade],0),MATCH(Employee[[#Headers],[Base Budgeting COST]],GradesAndSalaries[#Headers],0))</f>
        <v>875</v>
      </c>
      <c r="L137">
        <f>Salary[[#This Row],[Salary]]/(1-INDEX(Tax[НДФЛ],MATCH(Salary[[#This Row],[PaymentMethod]],Tax[PaymentMethod])))</f>
        <v>77586.206896551725</v>
      </c>
      <c r="M137" t="s">
        <v>1623</v>
      </c>
      <c r="N137">
        <f>Salary[[#This Row],[НДФЛ]]+Salary[[#This Row],[Фонды]]+Salary[[#This Row],[Налог на прибыль]]+Salary[[#This Row],[НДС]]</f>
        <v>53720.68965517242</v>
      </c>
      <c r="O137">
        <f>Salary[[#This Row],[Salary]]+Salary[[#This Row],[Полный Налог]]</f>
        <v>121220.68965517242</v>
      </c>
      <c r="P137">
        <f>Salary[[#This Row],[Полный Налог]]/Salary[[#This Row],[Salary]]</f>
        <v>0.79586206896551737</v>
      </c>
      <c r="Q137">
        <f>Salary[[#This Row],[SalaryOfficial]]*INDEX(Tax[НДФЛ],MATCH(Salary[[#This Row],[PaymentMethod]],Tax[PaymentMethod], 0))</f>
        <v>10086.206896551725</v>
      </c>
      <c r="R137">
        <f>Salary[[#This Row],[SalaryOfficial]]*INDEX(Tax[Взносы],MATCH(Salary[[#This Row],[PaymentMethod]],Tax[PaymentMethod],0))</f>
        <v>23431.034482758623</v>
      </c>
      <c r="S137">
        <f>Salary[[#This Row],[Salary]]+Salary[[#This Row],[НДФЛ]]+Salary[[#This Row],[Фонды]]</f>
        <v>101017.24137931035</v>
      </c>
      <c r="T137">
        <f>Salary[[#This Row],[ЗП+НДФЛ+Фонды]]/(1-INDEX(Tax[УСН или Прибыль],MATCH(Salary[[#This Row],[PaymentMethod]],Tax[PaymentMethod],0)))</f>
        <v>101017.24137931035</v>
      </c>
      <c r="U137">
        <f>Salary[[#This Row],[Прибыль]]*INDEX(Tax[УСН или Прибыль],MATCH(Salary[[#This Row],[PaymentMethod]],Tax[PaymentMethod],0))</f>
        <v>0</v>
      </c>
      <c r="V137" s="199">
        <f>Salary[[#This Row],[Прибыль]]*INDEX(Tax[НДС],MATCH(Salary[[#This Row],[PaymentMethod]],Tax[PaymentMethod],0))</f>
        <v>20203.448275862072</v>
      </c>
      <c r="W137" s="6"/>
    </row>
    <row r="138" spans="1:24" x14ac:dyDescent="0.25">
      <c r="A138" s="666">
        <v>137</v>
      </c>
      <c r="B138" s="91">
        <v>45588</v>
      </c>
      <c r="C138" s="2" t="s">
        <v>418</v>
      </c>
      <c r="D138" s="666">
        <f>SUMIF(Positions[Positions],Salary[[#This Row],[Position]],Positions[Grade])</f>
        <v>202</v>
      </c>
      <c r="E138" t="s">
        <v>3886</v>
      </c>
      <c r="F138" s="31">
        <v>73500</v>
      </c>
      <c r="G138" s="135">
        <f>ROUND(Salary[[#This Row],[Salary]]/160,0)</f>
        <v>459</v>
      </c>
      <c r="H138">
        <v>1</v>
      </c>
      <c r="I138" s="31">
        <f>Salary[[#This Row],[FTE]]*Salary[[#This Row],[Salary]]</f>
        <v>73500</v>
      </c>
      <c r="J138" s="774">
        <f>INDEX(GradesAndSalaries[],MATCH(Salary[[#This Row],[Grade]],GradesAndSalaries[Grade],0),MATCH(Employee[[#Headers],[Base Budgeting COST]],GradesAndSalaries[#Headers],0))</f>
        <v>875</v>
      </c>
      <c r="L138">
        <f>Salary[[#This Row],[Salary]]/(1-INDEX(Tax[НДФЛ],MATCH(Salary[[#This Row],[PaymentMethod]],Tax[PaymentMethod])))</f>
        <v>84482.758620689652</v>
      </c>
      <c r="M138" t="s">
        <v>1623</v>
      </c>
      <c r="N138">
        <f>Salary[[#This Row],[НДФЛ]]+Salary[[#This Row],[Фонды]]+Salary[[#This Row],[Налог на прибыль]]+Salary[[#This Row],[НДС]]</f>
        <v>58495.862068965522</v>
      </c>
      <c r="O138" s="1">
        <f>Salary[[#This Row],[Salary]]+Salary[[#This Row],[Полный Налог]]</f>
        <v>131995.86206896551</v>
      </c>
      <c r="P138">
        <f>Salary[[#This Row],[Полный Налог]]/Salary[[#This Row],[Salary]]</f>
        <v>0.79586206896551726</v>
      </c>
      <c r="Q138">
        <f>Salary[[#This Row],[SalaryOfficial]]*INDEX(Tax[НДФЛ],MATCH(Salary[[#This Row],[PaymentMethod]],Tax[PaymentMethod], 0))</f>
        <v>10982.758620689656</v>
      </c>
      <c r="R138">
        <f>Salary[[#This Row],[SalaryOfficial]]*INDEX(Tax[Взносы],MATCH(Salary[[#This Row],[PaymentMethod]],Tax[PaymentMethod],0))</f>
        <v>25513.793103448279</v>
      </c>
      <c r="S138">
        <f>Salary[[#This Row],[Salary]]+Salary[[#This Row],[НДФЛ]]+Salary[[#This Row],[Фонды]]</f>
        <v>109996.55172413793</v>
      </c>
      <c r="T138">
        <f>Salary[[#This Row],[ЗП+НДФЛ+Фонды]]/(1-INDEX(Tax[УСН или Прибыль],MATCH(Salary[[#This Row],[PaymentMethod]],Tax[PaymentMethod],0)))</f>
        <v>109996.55172413793</v>
      </c>
      <c r="U138">
        <f>Salary[[#This Row],[Прибыль]]*INDEX(Tax[УСН или Прибыль],MATCH(Salary[[#This Row],[PaymentMethod]],Tax[PaymentMethod],0))</f>
        <v>0</v>
      </c>
      <c r="V138" s="198">
        <f>Salary[[#This Row],[Прибыль]]*INDEX(Tax[НДС],MATCH(Salary[[#This Row],[PaymentMethod]],Tax[PaymentMethod],0))</f>
        <v>21999.310344827587</v>
      </c>
      <c r="W138" s="6"/>
      <c r="X138" s="6"/>
    </row>
    <row r="139" spans="1:24" x14ac:dyDescent="0.25">
      <c r="O139" s="1"/>
      <c r="V139" s="198"/>
      <c r="W139" s="6"/>
      <c r="X139" s="6"/>
    </row>
    <row r="140" spans="1:24" x14ac:dyDescent="0.25">
      <c r="O140" s="1"/>
      <c r="V140" s="198"/>
      <c r="W140" s="6"/>
      <c r="X140" s="6"/>
    </row>
    <row r="141" spans="1:24" x14ac:dyDescent="0.25">
      <c r="O141" s="1"/>
      <c r="V141" s="198"/>
      <c r="W141" s="6"/>
      <c r="X141" s="6"/>
    </row>
    <row r="142" spans="1:24" x14ac:dyDescent="0.25">
      <c r="O142" s="1"/>
      <c r="V142" s="198"/>
      <c r="W142" s="6"/>
      <c r="X142" s="6"/>
    </row>
    <row r="143" spans="1:24" x14ac:dyDescent="0.25">
      <c r="O143" s="1"/>
      <c r="V143" s="198"/>
      <c r="W143" s="6"/>
      <c r="X143" s="6"/>
    </row>
    <row r="144" spans="1:24" x14ac:dyDescent="0.25">
      <c r="O144" s="1"/>
      <c r="V144" s="198"/>
      <c r="W144" s="6"/>
      <c r="X144" s="6"/>
    </row>
    <row r="145" spans="15:25" x14ac:dyDescent="0.25">
      <c r="O145" s="1"/>
      <c r="V145" s="199"/>
      <c r="W145" s="6"/>
      <c r="X145" s="6"/>
    </row>
    <row r="146" spans="15:25" x14ac:dyDescent="0.25">
      <c r="V146" s="199"/>
      <c r="W146" s="6"/>
      <c r="X146" s="6"/>
    </row>
    <row r="147" spans="15:25" x14ac:dyDescent="0.25">
      <c r="V147" s="198"/>
      <c r="W147" s="6"/>
      <c r="X147" s="6"/>
    </row>
    <row r="148" spans="15:25" x14ac:dyDescent="0.25">
      <c r="O148" s="1"/>
      <c r="V148" s="1"/>
      <c r="W148" s="6"/>
      <c r="X148" s="6"/>
    </row>
    <row r="149" spans="15:25" x14ac:dyDescent="0.25">
      <c r="X149" s="6"/>
    </row>
    <row r="150" spans="15:25" x14ac:dyDescent="0.25">
      <c r="O150" s="1"/>
      <c r="S150" s="6"/>
      <c r="X150" s="6"/>
    </row>
    <row r="151" spans="15:25" x14ac:dyDescent="0.25">
      <c r="X151" s="31"/>
      <c r="Y151" s="6"/>
    </row>
  </sheetData>
  <phoneticPr fontId="78" type="noConversion"/>
  <dataValidations count="3">
    <dataValidation type="list" allowBlank="1" showInputMessage="1" showErrorMessage="1" sqref="M2:M138" xr:uid="{00000000-0002-0000-0600-000003000000}">
      <formula1>INDIRECT("Tax[PaymentMethod]")</formula1>
    </dataValidation>
    <dataValidation type="list" allowBlank="1" showInputMessage="1" showErrorMessage="1" sqref="E2:E138" xr:uid="{00000000-0002-0000-0600-000000000000}">
      <formula1>INDIRECT("'[Library.xlsx]Team'!Employee[Employee]")</formula1>
    </dataValidation>
    <dataValidation type="list" allowBlank="1" showInputMessage="1" showErrorMessage="1" sqref="C2:C138" xr:uid="{00000000-0002-0000-0600-000001000000}">
      <formula1>INDIRECT("'[Library.xlsx]Positions'!Positions[Positions]")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 tint="-0.34998626667073579"/>
  </sheetPr>
  <dimension ref="A1:I157"/>
  <sheetViews>
    <sheetView topLeftCell="A151" workbookViewId="0">
      <selection activeCell="M155" sqref="M155"/>
    </sheetView>
  </sheetViews>
  <sheetFormatPr defaultRowHeight="15" x14ac:dyDescent="0.25"/>
  <cols>
    <col min="1" max="1" width="5.28515625" bestFit="1" customWidth="1"/>
    <col min="2" max="2" width="50.5703125" customWidth="1"/>
    <col min="3" max="3" width="14.7109375" bestFit="1" customWidth="1"/>
    <col min="4" max="4" width="58.42578125" customWidth="1"/>
    <col min="9" max="9" width="13.85546875" customWidth="1"/>
  </cols>
  <sheetData>
    <row r="1" spans="1:9" x14ac:dyDescent="0.25">
      <c r="A1" t="s">
        <v>101</v>
      </c>
      <c r="B1" t="s">
        <v>353</v>
      </c>
      <c r="C1" t="s">
        <v>695</v>
      </c>
      <c r="D1" t="s">
        <v>2729</v>
      </c>
      <c r="I1" t="s">
        <v>694</v>
      </c>
    </row>
    <row r="2" spans="1:9" ht="45" x14ac:dyDescent="0.25">
      <c r="A2">
        <v>1</v>
      </c>
      <c r="B2" t="s">
        <v>360</v>
      </c>
      <c r="C2" t="s">
        <v>461</v>
      </c>
      <c r="D2" s="1" t="s">
        <v>2730</v>
      </c>
      <c r="I2" t="s">
        <v>461</v>
      </c>
    </row>
    <row r="3" spans="1:9" x14ac:dyDescent="0.25">
      <c r="A3">
        <v>2</v>
      </c>
      <c r="B3" t="s">
        <v>2290</v>
      </c>
      <c r="C3" t="s">
        <v>461</v>
      </c>
      <c r="D3" s="1" t="s">
        <v>2731</v>
      </c>
      <c r="I3" t="s">
        <v>696</v>
      </c>
    </row>
    <row r="4" spans="1:9" x14ac:dyDescent="0.25">
      <c r="A4">
        <v>3</v>
      </c>
      <c r="B4" t="s">
        <v>361</v>
      </c>
      <c r="C4" t="s">
        <v>461</v>
      </c>
      <c r="D4" s="1" t="s">
        <v>2732</v>
      </c>
      <c r="I4" t="s">
        <v>460</v>
      </c>
    </row>
    <row r="5" spans="1:9" ht="30" x14ac:dyDescent="0.25">
      <c r="A5">
        <v>4</v>
      </c>
      <c r="B5" s="59" t="s">
        <v>1097</v>
      </c>
      <c r="C5" t="s">
        <v>461</v>
      </c>
      <c r="D5" s="1" t="s">
        <v>2733</v>
      </c>
      <c r="I5" t="s">
        <v>83</v>
      </c>
    </row>
    <row r="6" spans="1:9" x14ac:dyDescent="0.25">
      <c r="A6">
        <v>5</v>
      </c>
      <c r="B6" t="s">
        <v>540</v>
      </c>
      <c r="C6" t="s">
        <v>461</v>
      </c>
      <c r="D6" s="1" t="s">
        <v>2734</v>
      </c>
      <c r="I6" t="s">
        <v>2808</v>
      </c>
    </row>
    <row r="7" spans="1:9" x14ac:dyDescent="0.25">
      <c r="A7">
        <v>6</v>
      </c>
      <c r="B7" t="s">
        <v>880</v>
      </c>
      <c r="C7" t="s">
        <v>461</v>
      </c>
      <c r="D7" s="1" t="s">
        <v>2735</v>
      </c>
    </row>
    <row r="8" spans="1:9" x14ac:dyDescent="0.25">
      <c r="A8">
        <v>7</v>
      </c>
      <c r="B8" t="s">
        <v>653</v>
      </c>
      <c r="C8" t="s">
        <v>461</v>
      </c>
      <c r="D8" s="1" t="s">
        <v>2734</v>
      </c>
    </row>
    <row r="9" spans="1:9" x14ac:dyDescent="0.25">
      <c r="A9">
        <v>8</v>
      </c>
      <c r="B9" t="s">
        <v>654</v>
      </c>
      <c r="C9" t="s">
        <v>461</v>
      </c>
      <c r="D9" s="1" t="s">
        <v>2734</v>
      </c>
    </row>
    <row r="10" spans="1:9" x14ac:dyDescent="0.25">
      <c r="A10">
        <v>9</v>
      </c>
      <c r="B10" t="s">
        <v>881</v>
      </c>
      <c r="C10" t="s">
        <v>461</v>
      </c>
      <c r="D10" s="1" t="s">
        <v>2734</v>
      </c>
    </row>
    <row r="11" spans="1:9" x14ac:dyDescent="0.25">
      <c r="A11">
        <v>10</v>
      </c>
      <c r="B11" t="s">
        <v>2909</v>
      </c>
      <c r="C11" t="s">
        <v>461</v>
      </c>
      <c r="D11" s="1" t="s">
        <v>2732</v>
      </c>
    </row>
    <row r="12" spans="1:9" x14ac:dyDescent="0.25">
      <c r="A12">
        <v>11</v>
      </c>
      <c r="B12" t="s">
        <v>2687</v>
      </c>
      <c r="C12" t="s">
        <v>461</v>
      </c>
      <c r="D12" s="1" t="s">
        <v>2734</v>
      </c>
    </row>
    <row r="13" spans="1:9" x14ac:dyDescent="0.25">
      <c r="A13">
        <v>12</v>
      </c>
      <c r="B13" t="s">
        <v>1339</v>
      </c>
      <c r="C13" t="s">
        <v>461</v>
      </c>
      <c r="D13" s="1" t="s">
        <v>2734</v>
      </c>
    </row>
    <row r="14" spans="1:9" x14ac:dyDescent="0.25">
      <c r="A14">
        <v>13</v>
      </c>
      <c r="B14" t="s">
        <v>1569</v>
      </c>
      <c r="C14" t="s">
        <v>461</v>
      </c>
      <c r="D14" s="1" t="s">
        <v>2734</v>
      </c>
    </row>
    <row r="15" spans="1:9" x14ac:dyDescent="0.25">
      <c r="A15">
        <v>14</v>
      </c>
      <c r="B15" s="604" t="s">
        <v>2854</v>
      </c>
      <c r="C15" s="604" t="s">
        <v>461</v>
      </c>
      <c r="D15" s="605"/>
      <c r="E15" s="604"/>
      <c r="F15" s="604"/>
    </row>
    <row r="16" spans="1:9" x14ac:dyDescent="0.25">
      <c r="A16">
        <v>15</v>
      </c>
      <c r="B16" t="s">
        <v>655</v>
      </c>
      <c r="C16" t="s">
        <v>461</v>
      </c>
      <c r="D16" s="1" t="s">
        <v>2734</v>
      </c>
    </row>
    <row r="17" spans="1:4" x14ac:dyDescent="0.25">
      <c r="A17">
        <v>16</v>
      </c>
      <c r="B17" t="s">
        <v>656</v>
      </c>
      <c r="C17" t="s">
        <v>461</v>
      </c>
      <c r="D17" s="1" t="s">
        <v>2734</v>
      </c>
    </row>
    <row r="18" spans="1:4" x14ac:dyDescent="0.25">
      <c r="A18">
        <v>17</v>
      </c>
      <c r="B18" t="s">
        <v>657</v>
      </c>
      <c r="C18" t="s">
        <v>461</v>
      </c>
      <c r="D18" s="1" t="s">
        <v>2734</v>
      </c>
    </row>
    <row r="19" spans="1:4" x14ac:dyDescent="0.25">
      <c r="A19">
        <v>18</v>
      </c>
      <c r="B19" t="s">
        <v>658</v>
      </c>
      <c r="C19" t="s">
        <v>461</v>
      </c>
      <c r="D19" s="1" t="s">
        <v>2734</v>
      </c>
    </row>
    <row r="20" spans="1:4" x14ac:dyDescent="0.25">
      <c r="A20">
        <v>19</v>
      </c>
      <c r="B20" t="s">
        <v>1325</v>
      </c>
      <c r="C20" t="s">
        <v>461</v>
      </c>
      <c r="D20" s="1" t="s">
        <v>2734</v>
      </c>
    </row>
    <row r="21" spans="1:4" ht="30" x14ac:dyDescent="0.25">
      <c r="A21">
        <v>20</v>
      </c>
      <c r="B21" t="s">
        <v>1794</v>
      </c>
      <c r="C21" t="s">
        <v>2808</v>
      </c>
      <c r="D21" s="1" t="s">
        <v>2736</v>
      </c>
    </row>
    <row r="22" spans="1:4" ht="30" x14ac:dyDescent="0.25">
      <c r="A22">
        <v>21</v>
      </c>
      <c r="B22" t="s">
        <v>1800</v>
      </c>
      <c r="C22" t="s">
        <v>461</v>
      </c>
      <c r="D22" s="1" t="s">
        <v>2737</v>
      </c>
    </row>
    <row r="23" spans="1:4" ht="30" x14ac:dyDescent="0.25">
      <c r="A23">
        <v>22</v>
      </c>
      <c r="B23" t="s">
        <v>1801</v>
      </c>
      <c r="C23" t="s">
        <v>461</v>
      </c>
      <c r="D23" s="1" t="s">
        <v>2738</v>
      </c>
    </row>
    <row r="24" spans="1:4" ht="30" x14ac:dyDescent="0.25">
      <c r="A24">
        <v>23</v>
      </c>
      <c r="B24" t="s">
        <v>2852</v>
      </c>
      <c r="C24" t="s">
        <v>461</v>
      </c>
      <c r="D24" s="1" t="s">
        <v>2739</v>
      </c>
    </row>
    <row r="25" spans="1:4" x14ac:dyDescent="0.25">
      <c r="A25">
        <v>24</v>
      </c>
      <c r="B25" t="s">
        <v>730</v>
      </c>
      <c r="C25" t="s">
        <v>461</v>
      </c>
      <c r="D25" s="1" t="s">
        <v>2740</v>
      </c>
    </row>
    <row r="26" spans="1:4" x14ac:dyDescent="0.25">
      <c r="A26">
        <v>25</v>
      </c>
      <c r="B26" t="s">
        <v>2518</v>
      </c>
      <c r="C26" t="s">
        <v>461</v>
      </c>
      <c r="D26" s="1" t="s">
        <v>2734</v>
      </c>
    </row>
    <row r="27" spans="1:4" ht="30" x14ac:dyDescent="0.25">
      <c r="A27">
        <v>26</v>
      </c>
      <c r="B27" t="s">
        <v>2674</v>
      </c>
      <c r="C27" t="s">
        <v>461</v>
      </c>
      <c r="D27" s="1" t="s">
        <v>2741</v>
      </c>
    </row>
    <row r="28" spans="1:4" x14ac:dyDescent="0.25">
      <c r="A28">
        <v>27</v>
      </c>
      <c r="B28" t="s">
        <v>696</v>
      </c>
      <c r="C28" t="s">
        <v>696</v>
      </c>
      <c r="D28" t="s">
        <v>696</v>
      </c>
    </row>
    <row r="29" spans="1:4" ht="75" x14ac:dyDescent="0.25">
      <c r="A29">
        <v>28</v>
      </c>
      <c r="B29" t="s">
        <v>1789</v>
      </c>
      <c r="C29" t="s">
        <v>460</v>
      </c>
      <c r="D29" s="1" t="s">
        <v>2830</v>
      </c>
    </row>
    <row r="30" spans="1:4" ht="60" x14ac:dyDescent="0.25">
      <c r="A30">
        <v>29</v>
      </c>
      <c r="B30" t="s">
        <v>1795</v>
      </c>
      <c r="C30" t="s">
        <v>460</v>
      </c>
      <c r="D30" s="1" t="s">
        <v>2747</v>
      </c>
    </row>
    <row r="31" spans="1:4" ht="60" x14ac:dyDescent="0.25">
      <c r="A31">
        <v>30</v>
      </c>
      <c r="B31" t="s">
        <v>1792</v>
      </c>
      <c r="C31" t="s">
        <v>460</v>
      </c>
      <c r="D31" s="1" t="s">
        <v>2748</v>
      </c>
    </row>
    <row r="32" spans="1:4" ht="60" x14ac:dyDescent="0.25">
      <c r="A32">
        <v>31</v>
      </c>
      <c r="B32" t="s">
        <v>1790</v>
      </c>
      <c r="C32" t="s">
        <v>460</v>
      </c>
      <c r="D32" s="1" t="s">
        <v>2829</v>
      </c>
    </row>
    <row r="33" spans="1:4" x14ac:dyDescent="0.25">
      <c r="A33">
        <v>32</v>
      </c>
      <c r="B33" t="s">
        <v>1358</v>
      </c>
      <c r="C33" t="s">
        <v>460</v>
      </c>
      <c r="D33" s="1" t="s">
        <v>2742</v>
      </c>
    </row>
    <row r="34" spans="1:4" x14ac:dyDescent="0.25">
      <c r="A34">
        <v>33</v>
      </c>
      <c r="B34" t="s">
        <v>882</v>
      </c>
      <c r="C34" t="s">
        <v>460</v>
      </c>
      <c r="D34" s="1" t="s">
        <v>2742</v>
      </c>
    </row>
    <row r="35" spans="1:4" ht="60" x14ac:dyDescent="0.25">
      <c r="A35">
        <v>34</v>
      </c>
      <c r="B35" t="s">
        <v>2839</v>
      </c>
      <c r="C35" t="s">
        <v>460</v>
      </c>
      <c r="D35" s="1" t="s">
        <v>2743</v>
      </c>
    </row>
    <row r="36" spans="1:4" x14ac:dyDescent="0.25">
      <c r="A36">
        <v>35</v>
      </c>
      <c r="B36" t="s">
        <v>884</v>
      </c>
      <c r="C36" t="s">
        <v>460</v>
      </c>
      <c r="D36" s="1" t="s">
        <v>2742</v>
      </c>
    </row>
    <row r="37" spans="1:4" ht="60" x14ac:dyDescent="0.25">
      <c r="A37">
        <v>36</v>
      </c>
      <c r="B37" t="s">
        <v>482</v>
      </c>
      <c r="C37" t="s">
        <v>460</v>
      </c>
      <c r="D37" s="1" t="s">
        <v>2745</v>
      </c>
    </row>
    <row r="38" spans="1:4" x14ac:dyDescent="0.25">
      <c r="A38">
        <v>37</v>
      </c>
      <c r="B38" t="s">
        <v>2469</v>
      </c>
      <c r="C38" t="s">
        <v>460</v>
      </c>
      <c r="D38" s="1" t="s">
        <v>2742</v>
      </c>
    </row>
    <row r="39" spans="1:4" x14ac:dyDescent="0.25">
      <c r="A39">
        <v>38</v>
      </c>
      <c r="B39" t="s">
        <v>1199</v>
      </c>
      <c r="C39" t="s">
        <v>460</v>
      </c>
      <c r="D39" s="1" t="s">
        <v>2742</v>
      </c>
    </row>
    <row r="40" spans="1:4" x14ac:dyDescent="0.25">
      <c r="A40">
        <v>39</v>
      </c>
      <c r="B40" t="s">
        <v>483</v>
      </c>
      <c r="C40" t="s">
        <v>460</v>
      </c>
      <c r="D40" s="1" t="s">
        <v>2742</v>
      </c>
    </row>
    <row r="41" spans="1:4" ht="60" x14ac:dyDescent="0.25">
      <c r="A41">
        <v>40</v>
      </c>
      <c r="B41" t="s">
        <v>2836</v>
      </c>
      <c r="C41" t="s">
        <v>460</v>
      </c>
      <c r="D41" s="1" t="s">
        <v>2744</v>
      </c>
    </row>
    <row r="42" spans="1:4" x14ac:dyDescent="0.25">
      <c r="A42">
        <v>41</v>
      </c>
      <c r="B42" t="s">
        <v>883</v>
      </c>
      <c r="C42" t="s">
        <v>460</v>
      </c>
      <c r="D42" s="1" t="s">
        <v>2742</v>
      </c>
    </row>
    <row r="43" spans="1:4" x14ac:dyDescent="0.25">
      <c r="A43">
        <v>42</v>
      </c>
      <c r="B43" t="s">
        <v>2847</v>
      </c>
      <c r="C43" t="s">
        <v>460</v>
      </c>
      <c r="D43" s="1" t="s">
        <v>2742</v>
      </c>
    </row>
    <row r="44" spans="1:4" ht="60" x14ac:dyDescent="0.25">
      <c r="A44">
        <v>43</v>
      </c>
      <c r="B44" t="s">
        <v>484</v>
      </c>
      <c r="C44" t="s">
        <v>460</v>
      </c>
      <c r="D44" s="1" t="s">
        <v>2746</v>
      </c>
    </row>
    <row r="45" spans="1:4" ht="60" x14ac:dyDescent="0.25">
      <c r="A45">
        <v>44</v>
      </c>
      <c r="B45" t="s">
        <v>1120</v>
      </c>
      <c r="C45" t="s">
        <v>460</v>
      </c>
      <c r="D45" s="1" t="s">
        <v>2749</v>
      </c>
    </row>
    <row r="46" spans="1:4" x14ac:dyDescent="0.25">
      <c r="A46">
        <v>45</v>
      </c>
      <c r="B46" t="s">
        <v>1099</v>
      </c>
      <c r="C46" t="s">
        <v>460</v>
      </c>
      <c r="D46" s="1" t="s">
        <v>2755</v>
      </c>
    </row>
    <row r="47" spans="1:4" x14ac:dyDescent="0.25">
      <c r="A47">
        <v>46</v>
      </c>
      <c r="B47" t="s">
        <v>2673</v>
      </c>
      <c r="C47" t="s">
        <v>460</v>
      </c>
      <c r="D47" s="1" t="s">
        <v>2742</v>
      </c>
    </row>
    <row r="48" spans="1:4" ht="60" x14ac:dyDescent="0.25">
      <c r="A48">
        <v>47</v>
      </c>
      <c r="B48" t="s">
        <v>2624</v>
      </c>
      <c r="C48" t="s">
        <v>460</v>
      </c>
      <c r="D48" s="1" t="s">
        <v>2763</v>
      </c>
    </row>
    <row r="49" spans="1:4" x14ac:dyDescent="0.25">
      <c r="A49">
        <v>48</v>
      </c>
      <c r="B49" t="s">
        <v>2851</v>
      </c>
      <c r="C49" t="s">
        <v>460</v>
      </c>
      <c r="D49" s="1" t="s">
        <v>2751</v>
      </c>
    </row>
    <row r="50" spans="1:4" ht="60" x14ac:dyDescent="0.25">
      <c r="A50">
        <v>49</v>
      </c>
      <c r="B50" t="s">
        <v>2625</v>
      </c>
      <c r="C50" t="s">
        <v>460</v>
      </c>
      <c r="D50" s="1" t="s">
        <v>2752</v>
      </c>
    </row>
    <row r="51" spans="1:4" x14ac:dyDescent="0.25">
      <c r="A51">
        <v>50</v>
      </c>
      <c r="B51" t="s">
        <v>2648</v>
      </c>
      <c r="C51" t="s">
        <v>460</v>
      </c>
      <c r="D51" s="1" t="s">
        <v>2742</v>
      </c>
    </row>
    <row r="52" spans="1:4" ht="60" x14ac:dyDescent="0.25">
      <c r="A52">
        <v>51</v>
      </c>
      <c r="B52" t="s">
        <v>2841</v>
      </c>
      <c r="C52" t="s">
        <v>460</v>
      </c>
      <c r="D52" s="1" t="s">
        <v>2753</v>
      </c>
    </row>
    <row r="53" spans="1:4" x14ac:dyDescent="0.25">
      <c r="A53">
        <v>52</v>
      </c>
      <c r="B53" t="s">
        <v>2655</v>
      </c>
      <c r="C53" t="s">
        <v>460</v>
      </c>
      <c r="D53" s="1" t="s">
        <v>2742</v>
      </c>
    </row>
    <row r="54" spans="1:4" ht="60" x14ac:dyDescent="0.25">
      <c r="A54">
        <v>53</v>
      </c>
      <c r="B54" t="s">
        <v>2837</v>
      </c>
      <c r="C54" t="s">
        <v>460</v>
      </c>
      <c r="D54" s="1" t="s">
        <v>2754</v>
      </c>
    </row>
    <row r="55" spans="1:4" ht="60" x14ac:dyDescent="0.25">
      <c r="A55">
        <v>54</v>
      </c>
      <c r="B55" t="s">
        <v>2846</v>
      </c>
      <c r="C55" t="s">
        <v>460</v>
      </c>
      <c r="D55" s="1" t="s">
        <v>2871</v>
      </c>
    </row>
    <row r="56" spans="1:4" x14ac:dyDescent="0.25">
      <c r="A56">
        <v>55</v>
      </c>
      <c r="B56" t="s">
        <v>2791</v>
      </c>
      <c r="C56" t="s">
        <v>460</v>
      </c>
      <c r="D56" s="1" t="s">
        <v>2742</v>
      </c>
    </row>
    <row r="57" spans="1:4" ht="60" x14ac:dyDescent="0.25">
      <c r="A57">
        <v>56</v>
      </c>
      <c r="B57" t="s">
        <v>2771</v>
      </c>
      <c r="C57" t="s">
        <v>460</v>
      </c>
      <c r="D57" s="1" t="s">
        <v>2772</v>
      </c>
    </row>
    <row r="58" spans="1:4" ht="30" x14ac:dyDescent="0.25">
      <c r="A58">
        <v>57</v>
      </c>
      <c r="B58" t="s">
        <v>1788</v>
      </c>
      <c r="C58" t="s">
        <v>83</v>
      </c>
      <c r="D58" s="1" t="s">
        <v>2756</v>
      </c>
    </row>
    <row r="59" spans="1:4" ht="30" x14ac:dyDescent="0.25">
      <c r="A59">
        <v>58</v>
      </c>
      <c r="B59" t="s">
        <v>1793</v>
      </c>
      <c r="C59" t="s">
        <v>83</v>
      </c>
      <c r="D59" s="1" t="s">
        <v>2757</v>
      </c>
    </row>
    <row r="60" spans="1:4" ht="30" x14ac:dyDescent="0.25">
      <c r="A60">
        <v>59</v>
      </c>
      <c r="B60" t="s">
        <v>1791</v>
      </c>
      <c r="C60" t="s">
        <v>83</v>
      </c>
      <c r="D60" s="1" t="s">
        <v>2758</v>
      </c>
    </row>
    <row r="61" spans="1:4" ht="30" x14ac:dyDescent="0.25">
      <c r="A61">
        <v>60</v>
      </c>
      <c r="B61" t="s">
        <v>1787</v>
      </c>
      <c r="C61" t="s">
        <v>83</v>
      </c>
      <c r="D61" s="1" t="s">
        <v>2759</v>
      </c>
    </row>
    <row r="62" spans="1:4" x14ac:dyDescent="0.25">
      <c r="A62">
        <v>61</v>
      </c>
      <c r="B62" s="558" t="s">
        <v>3054</v>
      </c>
      <c r="C62" t="s">
        <v>83</v>
      </c>
      <c r="D62" s="1" t="s">
        <v>2742</v>
      </c>
    </row>
    <row r="63" spans="1:4" x14ac:dyDescent="0.25">
      <c r="A63">
        <v>62</v>
      </c>
      <c r="B63" s="558" t="s">
        <v>3055</v>
      </c>
      <c r="C63" t="s">
        <v>83</v>
      </c>
      <c r="D63" s="1" t="s">
        <v>2742</v>
      </c>
    </row>
    <row r="64" spans="1:4" ht="30" x14ac:dyDescent="0.25">
      <c r="A64">
        <v>63</v>
      </c>
      <c r="B64" t="s">
        <v>2838</v>
      </c>
      <c r="C64" t="s">
        <v>83</v>
      </c>
      <c r="D64" s="1" t="s">
        <v>2750</v>
      </c>
    </row>
    <row r="65" spans="1:4" x14ac:dyDescent="0.25">
      <c r="A65">
        <v>64</v>
      </c>
      <c r="B65" s="558" t="s">
        <v>3056</v>
      </c>
      <c r="C65" t="s">
        <v>83</v>
      </c>
      <c r="D65" s="1" t="s">
        <v>2742</v>
      </c>
    </row>
    <row r="66" spans="1:4" x14ac:dyDescent="0.25">
      <c r="A66">
        <v>65</v>
      </c>
      <c r="B66" s="558" t="s">
        <v>3057</v>
      </c>
      <c r="C66" t="s">
        <v>83</v>
      </c>
      <c r="D66" s="1" t="s">
        <v>2742</v>
      </c>
    </row>
    <row r="67" spans="1:4" x14ac:dyDescent="0.25">
      <c r="A67">
        <v>66</v>
      </c>
      <c r="B67" s="558" t="s">
        <v>3058</v>
      </c>
      <c r="C67" t="s">
        <v>83</v>
      </c>
      <c r="D67" s="1" t="s">
        <v>2742</v>
      </c>
    </row>
    <row r="68" spans="1:4" x14ac:dyDescent="0.25">
      <c r="A68">
        <v>67</v>
      </c>
      <c r="B68" s="558" t="s">
        <v>3059</v>
      </c>
      <c r="C68" t="s">
        <v>83</v>
      </c>
      <c r="D68" s="1" t="s">
        <v>2742</v>
      </c>
    </row>
    <row r="69" spans="1:4" x14ac:dyDescent="0.25">
      <c r="A69">
        <v>68</v>
      </c>
      <c r="B69" t="s">
        <v>2835</v>
      </c>
      <c r="C69" t="s">
        <v>83</v>
      </c>
      <c r="D69" s="1"/>
    </row>
    <row r="70" spans="1:4" x14ac:dyDescent="0.25">
      <c r="A70">
        <v>69</v>
      </c>
      <c r="B70" s="558" t="s">
        <v>3060</v>
      </c>
      <c r="C70" t="s">
        <v>83</v>
      </c>
      <c r="D70" s="1" t="s">
        <v>2742</v>
      </c>
    </row>
    <row r="71" spans="1:4" x14ac:dyDescent="0.25">
      <c r="A71">
        <v>70</v>
      </c>
      <c r="B71" s="558" t="s">
        <v>3061</v>
      </c>
      <c r="C71" t="s">
        <v>83</v>
      </c>
      <c r="D71" s="1" t="s">
        <v>2742</v>
      </c>
    </row>
    <row r="72" spans="1:4" ht="30" x14ac:dyDescent="0.25">
      <c r="A72">
        <v>71</v>
      </c>
      <c r="B72" s="558" t="s">
        <v>3062</v>
      </c>
      <c r="C72" t="s">
        <v>83</v>
      </c>
      <c r="D72" s="1" t="s">
        <v>2760</v>
      </c>
    </row>
    <row r="73" spans="1:4" ht="30" x14ac:dyDescent="0.25">
      <c r="A73">
        <v>72</v>
      </c>
      <c r="B73" s="558" t="s">
        <v>3063</v>
      </c>
      <c r="C73" t="s">
        <v>83</v>
      </c>
      <c r="D73" s="1" t="s">
        <v>2761</v>
      </c>
    </row>
    <row r="74" spans="1:4" x14ac:dyDescent="0.25">
      <c r="A74">
        <v>73</v>
      </c>
      <c r="B74" t="s">
        <v>485</v>
      </c>
      <c r="C74" t="s">
        <v>83</v>
      </c>
      <c r="D74" s="1" t="s">
        <v>2767</v>
      </c>
    </row>
    <row r="75" spans="1:4" ht="30" x14ac:dyDescent="0.25">
      <c r="A75">
        <v>74</v>
      </c>
      <c r="B75" s="558" t="s">
        <v>3067</v>
      </c>
      <c r="C75" t="s">
        <v>83</v>
      </c>
      <c r="D75" s="1" t="s">
        <v>2762</v>
      </c>
    </row>
    <row r="76" spans="1:4" ht="30" x14ac:dyDescent="0.25">
      <c r="A76">
        <v>75</v>
      </c>
      <c r="B76" s="558" t="s">
        <v>3064</v>
      </c>
      <c r="C76" t="s">
        <v>83</v>
      </c>
      <c r="D76" s="1" t="s">
        <v>2764</v>
      </c>
    </row>
    <row r="77" spans="1:4" x14ac:dyDescent="0.25">
      <c r="A77">
        <v>76</v>
      </c>
      <c r="B77" s="558" t="s">
        <v>3065</v>
      </c>
      <c r="C77" t="s">
        <v>83</v>
      </c>
      <c r="D77" s="1" t="s">
        <v>2742</v>
      </c>
    </row>
    <row r="78" spans="1:4" ht="30" x14ac:dyDescent="0.25">
      <c r="A78">
        <v>77</v>
      </c>
      <c r="B78" t="s">
        <v>2833</v>
      </c>
      <c r="C78" t="s">
        <v>83</v>
      </c>
      <c r="D78" s="1" t="s">
        <v>2765</v>
      </c>
    </row>
    <row r="79" spans="1:4" x14ac:dyDescent="0.25">
      <c r="A79">
        <v>78</v>
      </c>
      <c r="B79" s="558" t="s">
        <v>3066</v>
      </c>
      <c r="C79" t="s">
        <v>83</v>
      </c>
      <c r="D79" s="1" t="s">
        <v>2742</v>
      </c>
    </row>
    <row r="80" spans="1:4" ht="30" x14ac:dyDescent="0.25">
      <c r="A80">
        <v>79</v>
      </c>
      <c r="B80" t="s">
        <v>2840</v>
      </c>
      <c r="C80" t="s">
        <v>83</v>
      </c>
      <c r="D80" s="1" t="s">
        <v>2766</v>
      </c>
    </row>
    <row r="81" spans="1:4" ht="30" x14ac:dyDescent="0.25">
      <c r="A81">
        <v>80</v>
      </c>
      <c r="B81" t="s">
        <v>2834</v>
      </c>
      <c r="C81" t="s">
        <v>83</v>
      </c>
      <c r="D81" s="1" t="s">
        <v>2870</v>
      </c>
    </row>
    <row r="82" spans="1:4" x14ac:dyDescent="0.25">
      <c r="A82">
        <v>81</v>
      </c>
      <c r="B82" t="s">
        <v>2790</v>
      </c>
      <c r="C82" t="s">
        <v>83</v>
      </c>
      <c r="D82" s="1" t="s">
        <v>2742</v>
      </c>
    </row>
    <row r="83" spans="1:4" ht="30" x14ac:dyDescent="0.25">
      <c r="A83">
        <v>82</v>
      </c>
      <c r="B83" t="s">
        <v>2769</v>
      </c>
      <c r="C83" t="s">
        <v>83</v>
      </c>
      <c r="D83" s="1" t="s">
        <v>2770</v>
      </c>
    </row>
    <row r="84" spans="1:4" ht="30" x14ac:dyDescent="0.25">
      <c r="A84">
        <v>83</v>
      </c>
      <c r="B84" t="s">
        <v>2793</v>
      </c>
      <c r="C84" t="s">
        <v>83</v>
      </c>
      <c r="D84" s="1" t="s">
        <v>2795</v>
      </c>
    </row>
    <row r="85" spans="1:4" ht="30" x14ac:dyDescent="0.25">
      <c r="A85">
        <v>84</v>
      </c>
      <c r="B85" t="s">
        <v>2801</v>
      </c>
      <c r="C85" t="s">
        <v>83</v>
      </c>
      <c r="D85" s="1" t="s">
        <v>2802</v>
      </c>
    </row>
    <row r="86" spans="1:4" ht="30" x14ac:dyDescent="0.25">
      <c r="A86">
        <v>85</v>
      </c>
      <c r="B86" t="s">
        <v>2822</v>
      </c>
      <c r="C86" t="s">
        <v>83</v>
      </c>
      <c r="D86" s="1" t="s">
        <v>2821</v>
      </c>
    </row>
    <row r="87" spans="1:4" ht="60" x14ac:dyDescent="0.25">
      <c r="A87">
        <v>86</v>
      </c>
      <c r="B87" t="s">
        <v>2843</v>
      </c>
      <c r="C87" t="s">
        <v>2808</v>
      </c>
      <c r="D87" s="1" t="s">
        <v>2773</v>
      </c>
    </row>
    <row r="88" spans="1:4" ht="60" x14ac:dyDescent="0.25">
      <c r="A88">
        <v>87</v>
      </c>
      <c r="B88" t="s">
        <v>2842</v>
      </c>
      <c r="C88" t="s">
        <v>2808</v>
      </c>
      <c r="D88" s="1" t="s">
        <v>2744</v>
      </c>
    </row>
    <row r="89" spans="1:4" ht="60" x14ac:dyDescent="0.25">
      <c r="A89">
        <v>88</v>
      </c>
      <c r="B89" t="s">
        <v>2844</v>
      </c>
      <c r="C89" t="s">
        <v>2808</v>
      </c>
      <c r="D89" s="1" t="s">
        <v>2774</v>
      </c>
    </row>
    <row r="90" spans="1:4" ht="60" x14ac:dyDescent="0.25">
      <c r="A90">
        <v>89</v>
      </c>
      <c r="B90" t="s">
        <v>2845</v>
      </c>
      <c r="C90" t="s">
        <v>2808</v>
      </c>
      <c r="D90" s="1" t="s">
        <v>2753</v>
      </c>
    </row>
    <row r="91" spans="1:4" x14ac:dyDescent="0.25">
      <c r="A91">
        <v>90</v>
      </c>
      <c r="B91" t="s">
        <v>2789</v>
      </c>
      <c r="C91" t="s">
        <v>2808</v>
      </c>
      <c r="D91" s="1" t="s">
        <v>2742</v>
      </c>
    </row>
    <row r="92" spans="1:4" ht="60" x14ac:dyDescent="0.25">
      <c r="A92">
        <v>91</v>
      </c>
      <c r="B92" t="s">
        <v>2792</v>
      </c>
      <c r="C92" t="s">
        <v>460</v>
      </c>
      <c r="D92" s="1" t="s">
        <v>2794</v>
      </c>
    </row>
    <row r="93" spans="1:4" ht="60" x14ac:dyDescent="0.25">
      <c r="A93">
        <v>92</v>
      </c>
      <c r="B93" t="s">
        <v>2799</v>
      </c>
      <c r="C93" t="s">
        <v>460</v>
      </c>
      <c r="D93" s="1" t="s">
        <v>2800</v>
      </c>
    </row>
    <row r="94" spans="1:4" ht="60" x14ac:dyDescent="0.25">
      <c r="A94">
        <v>93</v>
      </c>
      <c r="B94" t="s">
        <v>2903</v>
      </c>
      <c r="C94" t="s">
        <v>460</v>
      </c>
      <c r="D94" s="1" t="s">
        <v>2900</v>
      </c>
    </row>
    <row r="95" spans="1:4" ht="60" x14ac:dyDescent="0.25">
      <c r="A95">
        <v>94</v>
      </c>
      <c r="B95" t="s">
        <v>2904</v>
      </c>
      <c r="C95" t="s">
        <v>2808</v>
      </c>
      <c r="D95" s="1" t="s">
        <v>2900</v>
      </c>
    </row>
    <row r="96" spans="1:4" ht="30" x14ac:dyDescent="0.25">
      <c r="A96">
        <v>95</v>
      </c>
      <c r="B96" t="s">
        <v>2905</v>
      </c>
      <c r="C96" t="s">
        <v>83</v>
      </c>
      <c r="D96" s="1" t="s">
        <v>2906</v>
      </c>
    </row>
    <row r="97" spans="1:4" ht="60" x14ac:dyDescent="0.25">
      <c r="A97">
        <v>96</v>
      </c>
      <c r="B97" t="s">
        <v>2915</v>
      </c>
      <c r="C97" t="s">
        <v>460</v>
      </c>
      <c r="D97" s="1" t="s">
        <v>2914</v>
      </c>
    </row>
    <row r="98" spans="1:4" x14ac:dyDescent="0.25">
      <c r="A98">
        <v>97</v>
      </c>
      <c r="B98" t="s">
        <v>2916</v>
      </c>
      <c r="D98" s="1" t="s">
        <v>2742</v>
      </c>
    </row>
    <row r="99" spans="1:4" x14ac:dyDescent="0.25">
      <c r="A99">
        <v>98</v>
      </c>
      <c r="B99" t="s">
        <v>2921</v>
      </c>
      <c r="C99" t="s">
        <v>461</v>
      </c>
      <c r="D99" s="1" t="s">
        <v>2919</v>
      </c>
    </row>
    <row r="100" spans="1:4" ht="60" x14ac:dyDescent="0.25">
      <c r="A100">
        <v>99</v>
      </c>
      <c r="B100" t="s">
        <v>2922</v>
      </c>
      <c r="C100" t="s">
        <v>460</v>
      </c>
      <c r="D100" s="1" t="s">
        <v>2923</v>
      </c>
    </row>
    <row r="101" spans="1:4" ht="30" x14ac:dyDescent="0.25">
      <c r="A101">
        <v>100</v>
      </c>
      <c r="B101" t="s">
        <v>2924</v>
      </c>
      <c r="C101" t="s">
        <v>83</v>
      </c>
      <c r="D101" s="1" t="s">
        <v>2925</v>
      </c>
    </row>
    <row r="102" spans="1:4" x14ac:dyDescent="0.25">
      <c r="A102">
        <v>101</v>
      </c>
      <c r="B102" t="s">
        <v>3091</v>
      </c>
      <c r="C102" t="s">
        <v>461</v>
      </c>
      <c r="D102" s="1" t="s">
        <v>2997</v>
      </c>
    </row>
    <row r="103" spans="1:4" ht="60" x14ac:dyDescent="0.25">
      <c r="A103">
        <v>102</v>
      </c>
      <c r="B103" t="s">
        <v>3012</v>
      </c>
      <c r="C103" t="s">
        <v>2808</v>
      </c>
      <c r="D103" s="1" t="s">
        <v>3013</v>
      </c>
    </row>
    <row r="104" spans="1:4" ht="60" x14ac:dyDescent="0.25">
      <c r="A104">
        <v>103</v>
      </c>
      <c r="B104" t="s">
        <v>3029</v>
      </c>
      <c r="C104" t="s">
        <v>2808</v>
      </c>
      <c r="D104" s="1" t="s">
        <v>3030</v>
      </c>
    </row>
    <row r="105" spans="1:4" ht="45" x14ac:dyDescent="0.25">
      <c r="A105">
        <v>104</v>
      </c>
      <c r="B105" t="s">
        <v>3068</v>
      </c>
      <c r="C105" t="s">
        <v>460</v>
      </c>
      <c r="D105" s="1" t="s">
        <v>3076</v>
      </c>
    </row>
    <row r="106" spans="1:4" ht="30" x14ac:dyDescent="0.25">
      <c r="A106">
        <v>105</v>
      </c>
      <c r="B106" t="s">
        <v>3109</v>
      </c>
      <c r="C106" t="s">
        <v>83</v>
      </c>
      <c r="D106" s="1" t="s">
        <v>3111</v>
      </c>
    </row>
    <row r="107" spans="1:4" ht="60" x14ac:dyDescent="0.25">
      <c r="A107">
        <v>106</v>
      </c>
      <c r="B107" t="s">
        <v>3110</v>
      </c>
      <c r="C107" t="s">
        <v>460</v>
      </c>
      <c r="D107" s="1" t="s">
        <v>3112</v>
      </c>
    </row>
    <row r="108" spans="1:4" ht="45" x14ac:dyDescent="0.25">
      <c r="A108">
        <v>107</v>
      </c>
      <c r="B108" t="s">
        <v>3115</v>
      </c>
      <c r="C108" t="s">
        <v>461</v>
      </c>
      <c r="D108" s="1" t="s">
        <v>3116</v>
      </c>
    </row>
    <row r="109" spans="1:4" ht="30" x14ac:dyDescent="0.25">
      <c r="A109">
        <v>108</v>
      </c>
      <c r="B109" t="s">
        <v>3173</v>
      </c>
      <c r="C109" t="s">
        <v>83</v>
      </c>
      <c r="D109" s="1" t="s">
        <v>3157</v>
      </c>
    </row>
    <row r="110" spans="1:4" ht="60" x14ac:dyDescent="0.25">
      <c r="A110">
        <v>109</v>
      </c>
      <c r="B110" t="s">
        <v>3174</v>
      </c>
      <c r="C110" t="s">
        <v>460</v>
      </c>
      <c r="D110" s="1" t="s">
        <v>3158</v>
      </c>
    </row>
    <row r="111" spans="1:4" ht="30" x14ac:dyDescent="0.25">
      <c r="A111">
        <v>110</v>
      </c>
      <c r="B111" t="s">
        <v>3120</v>
      </c>
      <c r="C111" t="s">
        <v>83</v>
      </c>
      <c r="D111" s="1" t="s">
        <v>3121</v>
      </c>
    </row>
    <row r="112" spans="1:4" ht="60" x14ac:dyDescent="0.25">
      <c r="A112">
        <v>111</v>
      </c>
      <c r="B112" t="s">
        <v>3123</v>
      </c>
      <c r="C112" t="s">
        <v>460</v>
      </c>
      <c r="D112" s="1" t="s">
        <v>3122</v>
      </c>
    </row>
    <row r="113" spans="1:4" x14ac:dyDescent="0.25">
      <c r="A113">
        <v>112</v>
      </c>
      <c r="B113" t="s">
        <v>3176</v>
      </c>
      <c r="C113" t="s">
        <v>460</v>
      </c>
      <c r="D113" s="1"/>
    </row>
    <row r="114" spans="1:4" ht="30" x14ac:dyDescent="0.25">
      <c r="A114">
        <v>113</v>
      </c>
      <c r="B114" t="s">
        <v>3177</v>
      </c>
      <c r="C114" t="s">
        <v>83</v>
      </c>
      <c r="D114" s="1" t="s">
        <v>3178</v>
      </c>
    </row>
    <row r="115" spans="1:4" ht="60" x14ac:dyDescent="0.25">
      <c r="A115">
        <v>114</v>
      </c>
      <c r="B115" t="s">
        <v>3215</v>
      </c>
      <c r="C115" t="s">
        <v>460</v>
      </c>
      <c r="D115" s="1" t="s">
        <v>3216</v>
      </c>
    </row>
    <row r="116" spans="1:4" ht="30" x14ac:dyDescent="0.25">
      <c r="A116">
        <v>115</v>
      </c>
      <c r="B116" t="s">
        <v>3523</v>
      </c>
      <c r="C116" t="s">
        <v>83</v>
      </c>
      <c r="D116" s="1" t="s">
        <v>3217</v>
      </c>
    </row>
    <row r="117" spans="1:4" ht="60" x14ac:dyDescent="0.25">
      <c r="A117">
        <v>116</v>
      </c>
      <c r="B117" t="s">
        <v>3449</v>
      </c>
      <c r="C117" t="s">
        <v>2808</v>
      </c>
      <c r="D117" s="1" t="s">
        <v>3158</v>
      </c>
    </row>
    <row r="118" spans="1:4" ht="60" x14ac:dyDescent="0.25">
      <c r="A118">
        <v>117</v>
      </c>
      <c r="B118" t="s">
        <v>3450</v>
      </c>
      <c r="C118" t="s">
        <v>2808</v>
      </c>
      <c r="D118" s="1" t="s">
        <v>3453</v>
      </c>
    </row>
    <row r="119" spans="1:4" ht="60" x14ac:dyDescent="0.25">
      <c r="A119">
        <v>118</v>
      </c>
      <c r="B119" t="s">
        <v>3451</v>
      </c>
      <c r="C119" t="s">
        <v>2808</v>
      </c>
      <c r="D119" s="1" t="s">
        <v>3454</v>
      </c>
    </row>
    <row r="120" spans="1:4" ht="60" x14ac:dyDescent="0.25">
      <c r="A120">
        <v>119</v>
      </c>
      <c r="B120" t="s">
        <v>3452</v>
      </c>
      <c r="C120" t="s">
        <v>2808</v>
      </c>
      <c r="D120" s="1" t="s">
        <v>3455</v>
      </c>
    </row>
    <row r="121" spans="1:4" ht="60" x14ac:dyDescent="0.25">
      <c r="A121">
        <v>120</v>
      </c>
      <c r="B121" t="s">
        <v>3532</v>
      </c>
      <c r="C121" t="s">
        <v>460</v>
      </c>
      <c r="D121" s="1" t="s">
        <v>3533</v>
      </c>
    </row>
    <row r="122" spans="1:4" x14ac:dyDescent="0.25">
      <c r="A122">
        <v>121</v>
      </c>
      <c r="B122" t="s">
        <v>3558</v>
      </c>
      <c r="C122" t="s">
        <v>461</v>
      </c>
      <c r="D122" s="1" t="s">
        <v>3559</v>
      </c>
    </row>
    <row r="123" spans="1:4" ht="60" x14ac:dyDescent="0.25">
      <c r="A123">
        <v>122</v>
      </c>
      <c r="B123" t="s">
        <v>3576</v>
      </c>
      <c r="C123" t="s">
        <v>2808</v>
      </c>
      <c r="D123" s="1" t="s">
        <v>3158</v>
      </c>
    </row>
    <row r="124" spans="1:4" ht="60" x14ac:dyDescent="0.25">
      <c r="A124">
        <v>123</v>
      </c>
      <c r="B124" t="s">
        <v>3577</v>
      </c>
      <c r="C124" t="s">
        <v>2808</v>
      </c>
      <c r="D124" s="1" t="s">
        <v>3453</v>
      </c>
    </row>
    <row r="125" spans="1:4" ht="60" x14ac:dyDescent="0.25">
      <c r="A125">
        <v>124</v>
      </c>
      <c r="B125" t="s">
        <v>3578</v>
      </c>
      <c r="C125" t="s">
        <v>2808</v>
      </c>
      <c r="D125" s="1" t="s">
        <v>3454</v>
      </c>
    </row>
    <row r="126" spans="1:4" ht="60" x14ac:dyDescent="0.25">
      <c r="A126">
        <v>125</v>
      </c>
      <c r="B126" t="s">
        <v>3579</v>
      </c>
      <c r="C126" t="s">
        <v>2808</v>
      </c>
      <c r="D126" s="1" t="s">
        <v>3581</v>
      </c>
    </row>
    <row r="127" spans="1:4" ht="60" x14ac:dyDescent="0.25">
      <c r="A127">
        <v>126</v>
      </c>
      <c r="B127" t="s">
        <v>3580</v>
      </c>
      <c r="C127" t="s">
        <v>2808</v>
      </c>
      <c r="D127" s="1" t="s">
        <v>2744</v>
      </c>
    </row>
    <row r="128" spans="1:4" ht="60" x14ac:dyDescent="0.25">
      <c r="A128">
        <v>127</v>
      </c>
      <c r="B128" t="s">
        <v>3582</v>
      </c>
      <c r="C128" t="s">
        <v>2808</v>
      </c>
      <c r="D128" s="1" t="s">
        <v>3583</v>
      </c>
    </row>
    <row r="129" spans="1:4" ht="30" x14ac:dyDescent="0.25">
      <c r="A129">
        <v>128</v>
      </c>
      <c r="B129" t="s">
        <v>3615</v>
      </c>
      <c r="C129" t="s">
        <v>83</v>
      </c>
      <c r="D129" s="1" t="s">
        <v>3613</v>
      </c>
    </row>
    <row r="130" spans="1:4" ht="60" x14ac:dyDescent="0.25">
      <c r="A130">
        <v>129</v>
      </c>
      <c r="B130" t="s">
        <v>3650</v>
      </c>
      <c r="C130" t="s">
        <v>460</v>
      </c>
      <c r="D130" s="1" t="s">
        <v>3651</v>
      </c>
    </row>
    <row r="131" spans="1:4" ht="30" x14ac:dyDescent="0.25">
      <c r="A131">
        <v>130</v>
      </c>
      <c r="B131" t="s">
        <v>3660</v>
      </c>
      <c r="C131" t="s">
        <v>461</v>
      </c>
      <c r="D131" s="1" t="s">
        <v>3659</v>
      </c>
    </row>
    <row r="132" spans="1:4" ht="45" x14ac:dyDescent="0.25">
      <c r="A132">
        <v>131</v>
      </c>
      <c r="B132" t="s">
        <v>3666</v>
      </c>
      <c r="C132" t="s">
        <v>461</v>
      </c>
      <c r="D132" s="1" t="s">
        <v>3667</v>
      </c>
    </row>
    <row r="133" spans="1:4" ht="30" x14ac:dyDescent="0.25">
      <c r="A133">
        <v>132</v>
      </c>
      <c r="B133" t="s">
        <v>3687</v>
      </c>
      <c r="C133" t="s">
        <v>83</v>
      </c>
      <c r="D133" s="1" t="s">
        <v>3673</v>
      </c>
    </row>
    <row r="134" spans="1:4" ht="60" x14ac:dyDescent="0.25">
      <c r="A134">
        <v>133</v>
      </c>
      <c r="B134" t="s">
        <v>3686</v>
      </c>
      <c r="C134" t="s">
        <v>460</v>
      </c>
      <c r="D134" s="1" t="s">
        <v>3674</v>
      </c>
    </row>
    <row r="135" spans="1:4" ht="60" x14ac:dyDescent="0.25">
      <c r="A135">
        <v>134</v>
      </c>
      <c r="B135" t="s">
        <v>3695</v>
      </c>
      <c r="C135" t="s">
        <v>460</v>
      </c>
      <c r="D135" s="1" t="s">
        <v>3697</v>
      </c>
    </row>
    <row r="136" spans="1:4" ht="30" x14ac:dyDescent="0.25">
      <c r="A136">
        <v>135</v>
      </c>
      <c r="B136" t="s">
        <v>3696</v>
      </c>
      <c r="C136" t="s">
        <v>83</v>
      </c>
      <c r="D136" s="1" t="s">
        <v>3698</v>
      </c>
    </row>
    <row r="137" spans="1:4" ht="60" x14ac:dyDescent="0.25">
      <c r="A137">
        <v>136</v>
      </c>
      <c r="B137" t="s">
        <v>3710</v>
      </c>
      <c r="C137" t="s">
        <v>2808</v>
      </c>
      <c r="D137" s="1" t="s">
        <v>3711</v>
      </c>
    </row>
    <row r="138" spans="1:4" ht="60" x14ac:dyDescent="0.25">
      <c r="A138">
        <v>137</v>
      </c>
      <c r="B138" t="s">
        <v>3736</v>
      </c>
      <c r="C138" t="s">
        <v>2808</v>
      </c>
      <c r="D138" s="1" t="s">
        <v>3711</v>
      </c>
    </row>
    <row r="139" spans="1:4" ht="60" x14ac:dyDescent="0.25">
      <c r="A139">
        <v>138</v>
      </c>
      <c r="B139" t="s">
        <v>3737</v>
      </c>
      <c r="C139" t="s">
        <v>2808</v>
      </c>
      <c r="D139" s="1" t="s">
        <v>3738</v>
      </c>
    </row>
    <row r="140" spans="1:4" ht="60" x14ac:dyDescent="0.25">
      <c r="A140">
        <v>139</v>
      </c>
      <c r="B140" t="s">
        <v>3739</v>
      </c>
      <c r="C140" t="s">
        <v>460</v>
      </c>
      <c r="D140" s="1" t="s">
        <v>3741</v>
      </c>
    </row>
    <row r="141" spans="1:4" ht="30" x14ac:dyDescent="0.25">
      <c r="A141">
        <v>140</v>
      </c>
      <c r="B141" t="s">
        <v>3740</v>
      </c>
      <c r="C141" t="s">
        <v>83</v>
      </c>
      <c r="D141" s="1" t="s">
        <v>3742</v>
      </c>
    </row>
    <row r="142" spans="1:4" ht="60" x14ac:dyDescent="0.25">
      <c r="A142">
        <v>141</v>
      </c>
      <c r="B142" t="s">
        <v>3746</v>
      </c>
      <c r="C142" t="s">
        <v>460</v>
      </c>
      <c r="D142" s="1" t="s">
        <v>3748</v>
      </c>
    </row>
    <row r="143" spans="1:4" ht="30" x14ac:dyDescent="0.25">
      <c r="A143">
        <v>142</v>
      </c>
      <c r="B143" t="s">
        <v>3747</v>
      </c>
      <c r="C143" t="s">
        <v>83</v>
      </c>
      <c r="D143" s="1" t="s">
        <v>3749</v>
      </c>
    </row>
    <row r="144" spans="1:4" ht="60" x14ac:dyDescent="0.25">
      <c r="A144">
        <v>143</v>
      </c>
      <c r="B144" t="s">
        <v>3763</v>
      </c>
      <c r="C144" t="s">
        <v>2808</v>
      </c>
      <c r="D144" s="1" t="s">
        <v>3738</v>
      </c>
    </row>
    <row r="145" spans="1:4" ht="30" x14ac:dyDescent="0.25">
      <c r="A145">
        <v>144</v>
      </c>
      <c r="B145" t="s">
        <v>3791</v>
      </c>
      <c r="C145" t="s">
        <v>2808</v>
      </c>
      <c r="D145" s="1" t="s">
        <v>3792</v>
      </c>
    </row>
    <row r="146" spans="1:4" ht="60" x14ac:dyDescent="0.25">
      <c r="A146">
        <v>145</v>
      </c>
      <c r="B146" t="s">
        <v>3809</v>
      </c>
      <c r="C146" t="s">
        <v>460</v>
      </c>
      <c r="D146" s="1" t="s">
        <v>3811</v>
      </c>
    </row>
    <row r="147" spans="1:4" ht="30" x14ac:dyDescent="0.25">
      <c r="A147">
        <v>146</v>
      </c>
      <c r="B147" t="s">
        <v>3810</v>
      </c>
      <c r="C147" t="s">
        <v>83</v>
      </c>
      <c r="D147" s="1" t="s">
        <v>3812</v>
      </c>
    </row>
    <row r="148" spans="1:4" ht="60" x14ac:dyDescent="0.25">
      <c r="A148">
        <v>147</v>
      </c>
      <c r="B148" t="s">
        <v>3848</v>
      </c>
      <c r="C148" t="s">
        <v>2808</v>
      </c>
      <c r="D148" s="1" t="s">
        <v>3850</v>
      </c>
    </row>
    <row r="149" spans="1:4" ht="60" x14ac:dyDescent="0.25">
      <c r="A149">
        <v>148</v>
      </c>
      <c r="B149" t="s">
        <v>3849</v>
      </c>
      <c r="C149" t="s">
        <v>2808</v>
      </c>
      <c r="D149" s="1" t="s">
        <v>3851</v>
      </c>
    </row>
    <row r="150" spans="1:4" ht="30" x14ac:dyDescent="0.25">
      <c r="A150">
        <v>149</v>
      </c>
      <c r="B150" t="s">
        <v>3855</v>
      </c>
      <c r="C150" t="s">
        <v>461</v>
      </c>
      <c r="D150" s="1" t="s">
        <v>3856</v>
      </c>
    </row>
    <row r="151" spans="1:4" x14ac:dyDescent="0.25">
      <c r="A151">
        <v>150</v>
      </c>
      <c r="B151" t="s">
        <v>3865</v>
      </c>
      <c r="C151" t="s">
        <v>461</v>
      </c>
      <c r="D151" s="1" t="s">
        <v>3864</v>
      </c>
    </row>
    <row r="152" spans="1:4" ht="60" x14ac:dyDescent="0.25">
      <c r="A152">
        <v>151</v>
      </c>
      <c r="B152" t="s">
        <v>3887</v>
      </c>
      <c r="C152" t="s">
        <v>460</v>
      </c>
      <c r="D152" s="1" t="s">
        <v>3889</v>
      </c>
    </row>
    <row r="153" spans="1:4" ht="30" x14ac:dyDescent="0.25">
      <c r="A153">
        <v>152</v>
      </c>
      <c r="B153" t="s">
        <v>3888</v>
      </c>
      <c r="C153" t="s">
        <v>83</v>
      </c>
      <c r="D153" s="1" t="s">
        <v>3890</v>
      </c>
    </row>
    <row r="154" spans="1:4" ht="60" x14ac:dyDescent="0.25">
      <c r="A154">
        <v>153</v>
      </c>
      <c r="B154" t="s">
        <v>3917</v>
      </c>
      <c r="C154" t="s">
        <v>2808</v>
      </c>
      <c r="D154" s="1" t="s">
        <v>3889</v>
      </c>
    </row>
    <row r="155" spans="1:4" ht="60" x14ac:dyDescent="0.25">
      <c r="A155">
        <v>154</v>
      </c>
      <c r="B155" t="s">
        <v>3918</v>
      </c>
      <c r="C155" t="s">
        <v>2808</v>
      </c>
      <c r="D155" s="1" t="s">
        <v>3889</v>
      </c>
    </row>
    <row r="156" spans="1:4" ht="30" x14ac:dyDescent="0.25">
      <c r="A156">
        <v>155</v>
      </c>
      <c r="B156" t="s">
        <v>3926</v>
      </c>
      <c r="C156" t="s">
        <v>461</v>
      </c>
      <c r="D156" s="1" t="s">
        <v>3925</v>
      </c>
    </row>
    <row r="157" spans="1:4" x14ac:dyDescent="0.25">
      <c r="A157">
        <v>156</v>
      </c>
      <c r="B157" t="s">
        <v>3930</v>
      </c>
      <c r="C157" t="s">
        <v>461</v>
      </c>
      <c r="D157" s="1" t="s">
        <v>3929</v>
      </c>
    </row>
  </sheetData>
  <dataValidations count="1">
    <dataValidation type="list" allowBlank="1" showInputMessage="1" showErrorMessage="1" sqref="C2:C157" xr:uid="{00000000-0002-0000-0800-000000000000}">
      <formula1>INDIRECT("AccountTypes[Account Types]")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5" tint="0.39997558519241921"/>
  </sheetPr>
  <dimension ref="A1:C30"/>
  <sheetViews>
    <sheetView topLeftCell="A19" zoomScale="90" zoomScaleNormal="90" workbookViewId="0">
      <selection activeCell="F23" sqref="F23"/>
    </sheetView>
  </sheetViews>
  <sheetFormatPr defaultRowHeight="15" x14ac:dyDescent="0.25"/>
  <cols>
    <col min="1" max="1" width="26.140625" bestFit="1" customWidth="1"/>
    <col min="2" max="2" width="40.85546875" style="1" customWidth="1"/>
  </cols>
  <sheetData>
    <row r="1" spans="1:3" x14ac:dyDescent="0.25">
      <c r="A1" t="s">
        <v>365</v>
      </c>
      <c r="B1" s="1" t="s">
        <v>2804</v>
      </c>
      <c r="C1" s="604"/>
    </row>
    <row r="2" spans="1:3" ht="45" x14ac:dyDescent="0.25">
      <c r="A2" t="s">
        <v>2877</v>
      </c>
      <c r="B2" s="1" t="s">
        <v>3481</v>
      </c>
      <c r="C2" s="604"/>
    </row>
    <row r="3" spans="1:3" ht="30" x14ac:dyDescent="0.25">
      <c r="A3" s="51" t="s">
        <v>2880</v>
      </c>
      <c r="B3" s="1" t="s">
        <v>3480</v>
      </c>
      <c r="C3" s="604"/>
    </row>
    <row r="4" spans="1:3" x14ac:dyDescent="0.25">
      <c r="A4" t="s">
        <v>2881</v>
      </c>
      <c r="B4" s="1" t="s">
        <v>3479</v>
      </c>
      <c r="C4" s="604"/>
    </row>
    <row r="5" spans="1:3" x14ac:dyDescent="0.25">
      <c r="A5" t="s">
        <v>2882</v>
      </c>
      <c r="B5" s="1" t="s">
        <v>2911</v>
      </c>
      <c r="C5" s="604"/>
    </row>
    <row r="6" spans="1:3" ht="45" x14ac:dyDescent="0.25">
      <c r="A6" t="s">
        <v>2883</v>
      </c>
      <c r="B6" s="1" t="s">
        <v>3478</v>
      </c>
      <c r="C6" s="604"/>
    </row>
    <row r="7" spans="1:3" ht="45" x14ac:dyDescent="0.25">
      <c r="A7" t="s">
        <v>2884</v>
      </c>
      <c r="B7" s="1" t="s">
        <v>3482</v>
      </c>
      <c r="C7" s="604"/>
    </row>
    <row r="8" spans="1:3" ht="45" x14ac:dyDescent="0.25">
      <c r="A8" s="51" t="s">
        <v>2878</v>
      </c>
      <c r="B8" s="1" t="s">
        <v>3483</v>
      </c>
      <c r="C8" s="604"/>
    </row>
    <row r="9" spans="1:3" ht="105" x14ac:dyDescent="0.25">
      <c r="A9" t="s">
        <v>889</v>
      </c>
      <c r="B9" s="1" t="s">
        <v>3484</v>
      </c>
      <c r="C9" s="604"/>
    </row>
    <row r="10" spans="1:3" ht="60" x14ac:dyDescent="0.25">
      <c r="A10" s="517" t="s">
        <v>2879</v>
      </c>
      <c r="B10" s="1" t="s">
        <v>2807</v>
      </c>
      <c r="C10" s="604"/>
    </row>
    <row r="11" spans="1:3" ht="30" x14ac:dyDescent="0.25">
      <c r="A11" t="s">
        <v>2885</v>
      </c>
      <c r="B11" s="1" t="s">
        <v>3485</v>
      </c>
      <c r="C11" s="604"/>
    </row>
    <row r="12" spans="1:3" ht="45" x14ac:dyDescent="0.25">
      <c r="A12" t="s">
        <v>2886</v>
      </c>
      <c r="B12" s="1" t="s">
        <v>3486</v>
      </c>
      <c r="C12" s="604"/>
    </row>
    <row r="13" spans="1:3" ht="30" x14ac:dyDescent="0.25">
      <c r="A13" t="s">
        <v>2888</v>
      </c>
      <c r="B13" s="1" t="s">
        <v>3487</v>
      </c>
      <c r="C13" s="604"/>
    </row>
    <row r="14" spans="1:3" ht="45" x14ac:dyDescent="0.25">
      <c r="A14" t="s">
        <v>2889</v>
      </c>
      <c r="B14" s="1" t="s">
        <v>3488</v>
      </c>
      <c r="C14" s="604"/>
    </row>
    <row r="15" spans="1:3" ht="45" x14ac:dyDescent="0.25">
      <c r="A15" t="s">
        <v>2890</v>
      </c>
      <c r="B15" s="1" t="s">
        <v>3489</v>
      </c>
      <c r="C15" s="604"/>
    </row>
    <row r="16" spans="1:3" ht="30" x14ac:dyDescent="0.25">
      <c r="A16" t="s">
        <v>2891</v>
      </c>
      <c r="B16" s="1" t="s">
        <v>3490</v>
      </c>
      <c r="C16" s="604"/>
    </row>
    <row r="17" spans="1:3" ht="45" x14ac:dyDescent="0.25">
      <c r="A17" s="478" t="s">
        <v>2887</v>
      </c>
      <c r="B17" s="1" t="s">
        <v>3491</v>
      </c>
      <c r="C17" s="604"/>
    </row>
    <row r="18" spans="1:3" x14ac:dyDescent="0.25">
      <c r="A18" t="s">
        <v>2892</v>
      </c>
      <c r="B18" s="1" t="s">
        <v>3492</v>
      </c>
      <c r="C18" s="604"/>
    </row>
    <row r="19" spans="1:3" ht="45" x14ac:dyDescent="0.25">
      <c r="A19" t="s">
        <v>1770</v>
      </c>
      <c r="B19" s="1" t="s">
        <v>3493</v>
      </c>
      <c r="C19" s="604"/>
    </row>
    <row r="20" spans="1:3" ht="45" x14ac:dyDescent="0.25">
      <c r="A20" t="s">
        <v>1359</v>
      </c>
      <c r="B20" s="1" t="s">
        <v>3494</v>
      </c>
      <c r="C20" s="604"/>
    </row>
    <row r="21" spans="1:3" ht="30" x14ac:dyDescent="0.25">
      <c r="A21" t="s">
        <v>3883</v>
      </c>
      <c r="B21" s="1" t="s">
        <v>3679</v>
      </c>
    </row>
    <row r="22" spans="1:3" ht="75" x14ac:dyDescent="0.25">
      <c r="A22" t="s">
        <v>3715</v>
      </c>
      <c r="B22" s="1" t="s">
        <v>3716</v>
      </c>
    </row>
    <row r="23" spans="1:3" ht="60" x14ac:dyDescent="0.25">
      <c r="A23" t="s">
        <v>3724</v>
      </c>
      <c r="B23" s="1" t="s">
        <v>3725</v>
      </c>
    </row>
    <row r="24" spans="1:3" x14ac:dyDescent="0.25">
      <c r="A24" t="s">
        <v>3875</v>
      </c>
      <c r="B24" s="1" t="s">
        <v>3726</v>
      </c>
    </row>
    <row r="25" spans="1:3" x14ac:dyDescent="0.25">
      <c r="A25" t="s">
        <v>3780</v>
      </c>
      <c r="B25" s="1" t="s">
        <v>3781</v>
      </c>
    </row>
    <row r="26" spans="1:3" x14ac:dyDescent="0.25">
      <c r="A26" t="s">
        <v>3876</v>
      </c>
      <c r="B26" s="1" t="s">
        <v>3815</v>
      </c>
    </row>
    <row r="27" spans="1:3" x14ac:dyDescent="0.25">
      <c r="A27" t="s">
        <v>3877</v>
      </c>
      <c r="B27" s="1" t="s">
        <v>3878</v>
      </c>
    </row>
    <row r="28" spans="1:3" x14ac:dyDescent="0.25">
      <c r="A28" t="s">
        <v>3879</v>
      </c>
      <c r="B28" s="1" t="s">
        <v>3880</v>
      </c>
    </row>
    <row r="29" spans="1:3" x14ac:dyDescent="0.25">
      <c r="A29" t="s">
        <v>3881</v>
      </c>
      <c r="B29" s="1" t="s">
        <v>3882</v>
      </c>
    </row>
    <row r="30" spans="1:3" x14ac:dyDescent="0.25">
      <c r="A30" s="59" t="s">
        <v>3884</v>
      </c>
      <c r="B30" s="352" t="s">
        <v>3885</v>
      </c>
    </row>
  </sheetData>
  <dataValidations disablePrompts="1" count="1">
    <dataValidation type="list" allowBlank="1" showInputMessage="1" showErrorMessage="1" sqref="A14" xr:uid="{B6620BBB-6614-4E48-B5DC-3C26DD75ADDD}">
      <formula1>INDIRECT("'[Library.xlsx]Products'!Products[Products]")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A33"/>
  <sheetViews>
    <sheetView zoomScaleNormal="100" workbookViewId="0">
      <selection activeCell="O10" sqref="O10"/>
    </sheetView>
  </sheetViews>
  <sheetFormatPr defaultRowHeight="15" x14ac:dyDescent="0.25"/>
  <cols>
    <col min="1" max="1" width="41.28515625" customWidth="1"/>
    <col min="2" max="2" width="12.85546875" bestFit="1" customWidth="1"/>
    <col min="3" max="3" width="17" customWidth="1"/>
    <col min="4" max="7" width="13.42578125" bestFit="1" customWidth="1"/>
    <col min="8" max="8" width="13" bestFit="1" customWidth="1"/>
    <col min="13" max="13" width="12.85546875" bestFit="1" customWidth="1"/>
    <col min="14" max="14" width="14.42578125" bestFit="1" customWidth="1"/>
    <col min="15" max="15" width="13.28515625" style="17" bestFit="1" customWidth="1"/>
    <col min="16" max="16" width="12.85546875" style="17" customWidth="1"/>
    <col min="17" max="17" width="9.7109375" style="12" customWidth="1"/>
    <col min="18" max="18" width="14.28515625" style="12" bestFit="1" customWidth="1"/>
    <col min="19" max="19" width="14.140625" style="12" bestFit="1" customWidth="1"/>
    <col min="20" max="21" width="12.28515625" style="12" customWidth="1"/>
    <col min="22" max="22" width="13.28515625" style="12" customWidth="1"/>
    <col min="23" max="23" width="15.5703125" style="12" customWidth="1"/>
    <col min="24" max="24" width="14.42578125" style="12" customWidth="1"/>
    <col min="25" max="25" width="12.140625" style="12" bestFit="1" customWidth="1"/>
    <col min="26" max="27" width="11.42578125" style="12" bestFit="1" customWidth="1"/>
    <col min="28" max="28" width="13" bestFit="1" customWidth="1"/>
  </cols>
  <sheetData>
    <row r="1" spans="1:27" s="1" customFormat="1" x14ac:dyDescent="0.25">
      <c r="A1" s="1" t="s">
        <v>94</v>
      </c>
      <c r="B1" s="1" t="s">
        <v>424</v>
      </c>
      <c r="C1" s="1" t="s">
        <v>425</v>
      </c>
      <c r="D1" s="1" t="s">
        <v>426</v>
      </c>
      <c r="E1" s="1" t="s">
        <v>443</v>
      </c>
      <c r="F1" s="1" t="s">
        <v>442</v>
      </c>
      <c r="G1" s="1" t="s">
        <v>441</v>
      </c>
      <c r="H1" s="1" t="s">
        <v>427</v>
      </c>
    </row>
    <row r="2" spans="1:27" x14ac:dyDescent="0.25">
      <c r="A2" t="s">
        <v>95</v>
      </c>
      <c r="B2" s="9">
        <v>101</v>
      </c>
      <c r="C2" s="8">
        <f>VLOOKUP(Positions[[#This Row],[Grade]],GradesAndSalaries[],MATCH(Positions[[#Headers],[Average Salary]],GradesAndSalaries[#Headers],0),FALSE)</f>
        <v>30000</v>
      </c>
      <c r="D2" s="6">
        <f>VLOOKUP(Positions[[#This Row],[Grade]],GradesAndSalaries[],4,FALSE)</f>
        <v>25000</v>
      </c>
      <c r="E2" s="6">
        <f>Positions[[#This Row],[Min. Salary]]+(Positions[[#This Row],[Max. Salary]]-Positions[[#This Row],[Min. Salary]])/4</f>
        <v>27500</v>
      </c>
      <c r="F2" s="6">
        <f>Positions[[#This Row],[Rate 2]]+(Positions[[#This Row],[Max. Salary]]-Positions[[#This Row],[Min. Salary]])/4</f>
        <v>30000</v>
      </c>
      <c r="G2" s="6">
        <f>Positions[[#This Row],[Rate 3]]+(Positions[[#This Row],[Max. Salary]]-Positions[[#This Row],[Min. Salary]])/4</f>
        <v>32500</v>
      </c>
      <c r="H2" s="6">
        <f>VLOOKUP(Positions[[#This Row],[Grade]],GradesAndSalaries[],5,FALSE)</f>
        <v>35000</v>
      </c>
      <c r="AA2"/>
    </row>
    <row r="3" spans="1:27" x14ac:dyDescent="0.25">
      <c r="A3" t="s">
        <v>428</v>
      </c>
      <c r="B3">
        <v>201</v>
      </c>
      <c r="C3" s="8">
        <f>VLOOKUP(Positions[[#This Row],[Grade]],GradesAndSalaries[],MATCH(Positions[[#Headers],[Average Salary]],GradesAndSalaries[#Headers],0),FALSE)</f>
        <v>41000</v>
      </c>
      <c r="D3" s="6">
        <f>VLOOKUP(Positions[[#This Row],[Grade]],GradesAndSalaries[],4,FALSE)</f>
        <v>34000</v>
      </c>
      <c r="E3" s="6">
        <f>Positions[[#This Row],[Min. Salary]]+(Positions[[#This Row],[Max. Salary]]-Positions[[#This Row],[Min. Salary]])/4</f>
        <v>37500</v>
      </c>
      <c r="F3" s="6">
        <f>Positions[[#This Row],[Rate 2]]+(Positions[[#This Row],[Max. Salary]]-Positions[[#This Row],[Min. Salary]])/4</f>
        <v>41000</v>
      </c>
      <c r="G3" s="6">
        <f>Positions[[#This Row],[Rate 3]]+(Positions[[#This Row],[Max. Salary]]-Positions[[#This Row],[Min. Salary]])/4</f>
        <v>44500</v>
      </c>
      <c r="H3" s="6">
        <f>VLOOKUP(Positions[[#This Row],[Grade]],GradesAndSalaries[],5,FALSE)</f>
        <v>48000</v>
      </c>
      <c r="AA3"/>
    </row>
    <row r="4" spans="1:27" x14ac:dyDescent="0.25">
      <c r="A4" t="s">
        <v>429</v>
      </c>
      <c r="B4">
        <v>202</v>
      </c>
      <c r="C4" s="8">
        <f>VLOOKUP(Positions[[#This Row],[Grade]],GradesAndSalaries[],MATCH(Positions[[#Headers],[Average Salary]],GradesAndSalaries[#Headers],0),FALSE)</f>
        <v>55500</v>
      </c>
      <c r="D4" s="6">
        <f>VLOOKUP(Positions[[#This Row],[Grade]],GradesAndSalaries[],4,FALSE)</f>
        <v>46000</v>
      </c>
      <c r="E4" s="6">
        <f>Positions[[#This Row],[Min. Salary]]+(Positions[[#This Row],[Max. Salary]]-Positions[[#This Row],[Min. Salary]])/4</f>
        <v>50750</v>
      </c>
      <c r="F4" s="6">
        <f>Positions[[#This Row],[Rate 2]]+(Positions[[#This Row],[Max. Salary]]-Positions[[#This Row],[Min. Salary]])/4</f>
        <v>55500</v>
      </c>
      <c r="G4" s="6">
        <f>Positions[[#This Row],[Rate 3]]+(Positions[[#This Row],[Max. Salary]]-Positions[[#This Row],[Min. Salary]])/4</f>
        <v>60250</v>
      </c>
      <c r="H4" s="6">
        <f>VLOOKUP(Positions[[#This Row],[Grade]],GradesAndSalaries[],5,FALSE)</f>
        <v>65000</v>
      </c>
      <c r="AA4"/>
    </row>
    <row r="5" spans="1:27" x14ac:dyDescent="0.25">
      <c r="A5" t="s">
        <v>417</v>
      </c>
      <c r="B5">
        <v>201</v>
      </c>
      <c r="C5" s="8">
        <f>VLOOKUP(Positions[[#This Row],[Grade]],GradesAndSalaries[],MATCH(Positions[[#Headers],[Average Salary]],GradesAndSalaries[#Headers],0),FALSE)</f>
        <v>41000</v>
      </c>
      <c r="D5" s="6">
        <f>VLOOKUP(Positions[[#This Row],[Grade]],GradesAndSalaries[],4,FALSE)</f>
        <v>34000</v>
      </c>
      <c r="E5" s="6">
        <f>Positions[[#This Row],[Min. Salary]]+(Positions[[#This Row],[Max. Salary]]-Positions[[#This Row],[Min. Salary]])/4</f>
        <v>37500</v>
      </c>
      <c r="F5" s="6">
        <f>Positions[[#This Row],[Rate 2]]+(Positions[[#This Row],[Max. Salary]]-Positions[[#This Row],[Min. Salary]])/4</f>
        <v>41000</v>
      </c>
      <c r="G5" s="6">
        <f>Positions[[#This Row],[Rate 3]]+(Positions[[#This Row],[Max. Salary]]-Positions[[#This Row],[Min. Salary]])/4</f>
        <v>44500</v>
      </c>
      <c r="H5" s="6">
        <f>VLOOKUP(Positions[[#This Row],[Grade]],GradesAndSalaries[],5,FALSE)</f>
        <v>48000</v>
      </c>
      <c r="AA5"/>
    </row>
    <row r="6" spans="1:27" x14ac:dyDescent="0.25">
      <c r="A6" t="s">
        <v>418</v>
      </c>
      <c r="B6">
        <v>202</v>
      </c>
      <c r="C6" s="8">
        <f>VLOOKUP(Positions[[#This Row],[Grade]],GradesAndSalaries[],MATCH(Positions[[#Headers],[Average Salary]],GradesAndSalaries[#Headers],0),FALSE)</f>
        <v>55500</v>
      </c>
      <c r="D6" s="6">
        <f>VLOOKUP(Positions[[#This Row],[Grade]],GradesAndSalaries[],4,FALSE)</f>
        <v>46000</v>
      </c>
      <c r="E6" s="6">
        <f>Positions[[#This Row],[Min. Salary]]+(Positions[[#This Row],[Max. Salary]]-Positions[[#This Row],[Min. Salary]])/4</f>
        <v>50750</v>
      </c>
      <c r="F6" s="6">
        <f>Positions[[#This Row],[Rate 2]]+(Positions[[#This Row],[Max. Salary]]-Positions[[#This Row],[Min. Salary]])/4</f>
        <v>55500</v>
      </c>
      <c r="G6" s="6">
        <f>Positions[[#This Row],[Rate 3]]+(Positions[[#This Row],[Max. Salary]]-Positions[[#This Row],[Min. Salary]])/4</f>
        <v>60250</v>
      </c>
      <c r="H6" s="6">
        <f>VLOOKUP(Positions[[#This Row],[Grade]],GradesAndSalaries[],5,FALSE)</f>
        <v>65000</v>
      </c>
      <c r="AA6"/>
    </row>
    <row r="7" spans="1:27" x14ac:dyDescent="0.25">
      <c r="A7" t="s">
        <v>146</v>
      </c>
      <c r="B7">
        <v>301</v>
      </c>
      <c r="C7" s="8">
        <f>VLOOKUP(Positions[[#This Row],[Grade]],GradesAndSalaries[],MATCH(Positions[[#Headers],[Average Salary]],GradesAndSalaries[#Headers],0),FALSE)</f>
        <v>73500</v>
      </c>
      <c r="D7" s="6">
        <f>VLOOKUP(Positions[[#This Row],[Grade]],GradesAndSalaries[],4,FALSE)</f>
        <v>61000</v>
      </c>
      <c r="E7" s="6">
        <f>Positions[[#This Row],[Min. Salary]]+(Positions[[#This Row],[Max. Salary]]-Positions[[#This Row],[Min. Salary]])/4</f>
        <v>67250</v>
      </c>
      <c r="F7" s="6">
        <f>Positions[[#This Row],[Rate 2]]+(Positions[[#This Row],[Max. Salary]]-Positions[[#This Row],[Min. Salary]])/4</f>
        <v>73500</v>
      </c>
      <c r="G7" s="6">
        <f>Positions[[#This Row],[Rate 3]]+(Positions[[#This Row],[Max. Salary]]-Positions[[#This Row],[Min. Salary]])/4</f>
        <v>79750</v>
      </c>
      <c r="H7" s="6">
        <f>VLOOKUP(Positions[[#This Row],[Grade]],GradesAndSalaries[],5,FALSE)</f>
        <v>86000</v>
      </c>
      <c r="P7" s="656">
        <v>40</v>
      </c>
      <c r="AA7"/>
    </row>
    <row r="8" spans="1:27" x14ac:dyDescent="0.25">
      <c r="A8" t="s">
        <v>147</v>
      </c>
      <c r="B8">
        <v>302</v>
      </c>
      <c r="C8" s="8">
        <f>VLOOKUP(Positions[[#This Row],[Grade]],GradesAndSalaries[],MATCH(Positions[[#Headers],[Average Salary]],GradesAndSalaries[#Headers],0),FALSE)</f>
        <v>95500</v>
      </c>
      <c r="D8" s="6">
        <f>VLOOKUP(Positions[[#This Row],[Grade]],GradesAndSalaries[],4,FALSE)</f>
        <v>79000</v>
      </c>
      <c r="E8" s="6">
        <f>Positions[[#This Row],[Min. Salary]]+(Positions[[#This Row],[Max. Salary]]-Positions[[#This Row],[Min. Salary]])/4</f>
        <v>87250</v>
      </c>
      <c r="F8" s="6">
        <f>Positions[[#This Row],[Rate 2]]+(Positions[[#This Row],[Max. Salary]]-Positions[[#This Row],[Min. Salary]])/4</f>
        <v>95500</v>
      </c>
      <c r="G8" s="6">
        <f>Positions[[#This Row],[Rate 3]]+(Positions[[#This Row],[Max. Salary]]-Positions[[#This Row],[Min. Salary]])/4</f>
        <v>103750</v>
      </c>
      <c r="H8" s="6">
        <f>VLOOKUP(Positions[[#This Row],[Grade]],GradesAndSalaries[],5,FALSE)</f>
        <v>112000</v>
      </c>
      <c r="P8" s="656">
        <v>47</v>
      </c>
      <c r="AA8"/>
    </row>
    <row r="9" spans="1:27" x14ac:dyDescent="0.25">
      <c r="A9" t="s">
        <v>430</v>
      </c>
      <c r="B9">
        <v>303</v>
      </c>
      <c r="C9" s="8">
        <f>VLOOKUP(Positions[[#This Row],[Grade]],GradesAndSalaries[],MATCH(Positions[[#Headers],[Average Salary]],GradesAndSalaries[#Headers],0),FALSE)</f>
        <v>122000</v>
      </c>
      <c r="D9" s="6">
        <f>VLOOKUP(Positions[[#This Row],[Grade]],GradesAndSalaries[],4,FALSE)</f>
        <v>101000</v>
      </c>
      <c r="E9" s="6">
        <f>Positions[[#This Row],[Min. Salary]]+(Positions[[#This Row],[Max. Salary]]-Positions[[#This Row],[Min. Salary]])/4</f>
        <v>111500</v>
      </c>
      <c r="F9" s="6">
        <f>Positions[[#This Row],[Rate 2]]+(Positions[[#This Row],[Max. Salary]]-Positions[[#This Row],[Min. Salary]])/4</f>
        <v>122000</v>
      </c>
      <c r="G9" s="6">
        <f>Positions[[#This Row],[Rate 3]]+(Positions[[#This Row],[Max. Salary]]-Positions[[#This Row],[Min. Salary]])/4</f>
        <v>132500</v>
      </c>
      <c r="H9" s="6">
        <f>VLOOKUP(Positions[[#This Row],[Grade]],GradesAndSalaries[],5,FALSE)</f>
        <v>143000</v>
      </c>
      <c r="P9" s="656">
        <v>100</v>
      </c>
      <c r="AA9"/>
    </row>
    <row r="10" spans="1:27" x14ac:dyDescent="0.25">
      <c r="A10" t="s">
        <v>148</v>
      </c>
      <c r="B10">
        <v>401</v>
      </c>
      <c r="C10" s="8">
        <f>VLOOKUP(Positions[[#This Row],[Grade]],GradesAndSalaries[],MATCH(Positions[[#Headers],[Average Salary]],GradesAndSalaries[#Headers],0),FALSE)</f>
        <v>152500</v>
      </c>
      <c r="D10" s="6">
        <f>VLOOKUP(Positions[[#This Row],[Grade]],GradesAndSalaries[],4,FALSE)</f>
        <v>126000</v>
      </c>
      <c r="E10" s="6">
        <f>Positions[[#This Row],[Min. Salary]]+(Positions[[#This Row],[Max. Salary]]-Positions[[#This Row],[Min. Salary]])/4</f>
        <v>139250</v>
      </c>
      <c r="F10" s="6">
        <f>Positions[[#This Row],[Rate 2]]+(Positions[[#This Row],[Max. Salary]]-Positions[[#This Row],[Min. Salary]])/4</f>
        <v>152500</v>
      </c>
      <c r="G10" s="6">
        <f>Positions[[#This Row],[Rate 3]]+(Positions[[#This Row],[Max. Salary]]-Positions[[#This Row],[Min. Salary]])/4</f>
        <v>165750</v>
      </c>
      <c r="H10" s="6">
        <f>VLOOKUP(Positions[[#This Row],[Grade]],GradesAndSalaries[],5,FALSE)</f>
        <v>179000</v>
      </c>
      <c r="P10" s="656">
        <v>107</v>
      </c>
      <c r="AA10"/>
    </row>
    <row r="11" spans="1:27" x14ac:dyDescent="0.25">
      <c r="A11" t="s">
        <v>149</v>
      </c>
      <c r="B11">
        <v>402</v>
      </c>
      <c r="C11" s="8">
        <f>VLOOKUP(Positions[[#This Row],[Grade]],GradesAndSalaries[],MATCH(Positions[[#Headers],[Average Salary]],GradesAndSalaries[#Headers],0),FALSE)</f>
        <v>186500</v>
      </c>
      <c r="D11" s="6">
        <f>VLOOKUP(Positions[[#This Row],[Grade]],GradesAndSalaries[],4,FALSE)</f>
        <v>154000</v>
      </c>
      <c r="E11" s="6">
        <f>Positions[[#This Row],[Min. Salary]]+(Positions[[#This Row],[Max. Salary]]-Positions[[#This Row],[Min. Salary]])/4</f>
        <v>170250</v>
      </c>
      <c r="F11" s="6">
        <f>Positions[[#This Row],[Rate 2]]+(Positions[[#This Row],[Max. Salary]]-Positions[[#This Row],[Min. Salary]])/4</f>
        <v>186500</v>
      </c>
      <c r="G11" s="6">
        <f>Positions[[#This Row],[Rate 3]]+(Positions[[#This Row],[Max. Salary]]-Positions[[#This Row],[Min. Salary]])/4</f>
        <v>202750</v>
      </c>
      <c r="H11" s="6">
        <f>VLOOKUP(Positions[[#This Row],[Grade]],GradesAndSalaries[],5,FALSE)</f>
        <v>219000</v>
      </c>
      <c r="P11" s="656">
        <v>121</v>
      </c>
      <c r="AA11"/>
    </row>
    <row r="12" spans="1:27" x14ac:dyDescent="0.25">
      <c r="A12" t="s">
        <v>3831</v>
      </c>
      <c r="B12" s="783">
        <v>403</v>
      </c>
      <c r="C12" s="784">
        <f>VLOOKUP(Positions[[#This Row],[Grade]],GradesAndSalaries[],MATCH(Positions[[#Headers],[Average Salary]],GradesAndSalaries[#Headers],0),FALSE)</f>
        <v>224000</v>
      </c>
      <c r="D12" s="6">
        <f>VLOOKUP(Positions[[#This Row],[Grade]],GradesAndSalaries[],4,FALSE)</f>
        <v>185000</v>
      </c>
      <c r="E12" s="785">
        <f>Positions[[#This Row],[Min. Salary]]+(Positions[[#This Row],[Max. Salary]]-Positions[[#This Row],[Min. Salary]])/4</f>
        <v>204500</v>
      </c>
      <c r="F12" s="785">
        <f>Positions[[#This Row],[Rate 2]]+(Positions[[#This Row],[Max. Salary]]-Positions[[#This Row],[Min. Salary]])/4</f>
        <v>224000</v>
      </c>
      <c r="G12" s="785">
        <f>Positions[[#This Row],[Rate 3]]+(Positions[[#This Row],[Max. Salary]]-Positions[[#This Row],[Min. Salary]])/4</f>
        <v>243500</v>
      </c>
      <c r="H12" s="6">
        <f>VLOOKUP(Positions[[#This Row],[Grade]],GradesAndSalaries[],5,FALSE)</f>
        <v>263000</v>
      </c>
      <c r="P12" s="656">
        <v>135</v>
      </c>
      <c r="AA12"/>
    </row>
    <row r="13" spans="1:27" x14ac:dyDescent="0.25">
      <c r="A13" t="s">
        <v>431</v>
      </c>
      <c r="B13">
        <v>401</v>
      </c>
      <c r="C13" s="8">
        <f>VLOOKUP(Positions[[#This Row],[Grade]],GradesAndSalaries[],MATCH(Positions[[#Headers],[Average Salary]],GradesAndSalaries[#Headers],0),FALSE)</f>
        <v>152500</v>
      </c>
      <c r="D13" s="6">
        <f>VLOOKUP(Positions[[#This Row],[Grade]],GradesAndSalaries[],4,FALSE)</f>
        <v>126000</v>
      </c>
      <c r="E13" s="6">
        <f>Positions[[#This Row],[Min. Salary]]+(Positions[[#This Row],[Max. Salary]]-Positions[[#This Row],[Min. Salary]])/4</f>
        <v>139250</v>
      </c>
      <c r="F13" s="6">
        <f>Positions[[#This Row],[Rate 2]]+(Positions[[#This Row],[Max. Salary]]-Positions[[#This Row],[Min. Salary]])/4</f>
        <v>152500</v>
      </c>
      <c r="G13" s="6">
        <f>Positions[[#This Row],[Rate 3]]+(Positions[[#This Row],[Max. Salary]]-Positions[[#This Row],[Min. Salary]])/4</f>
        <v>165750</v>
      </c>
      <c r="H13" s="6">
        <f>VLOOKUP(Positions[[#This Row],[Grade]],GradesAndSalaries[],5,FALSE)</f>
        <v>179000</v>
      </c>
      <c r="P13" s="656">
        <v>142</v>
      </c>
      <c r="AA13"/>
    </row>
    <row r="14" spans="1:27" x14ac:dyDescent="0.25">
      <c r="A14" t="s">
        <v>432</v>
      </c>
      <c r="B14">
        <v>402</v>
      </c>
      <c r="C14" s="8">
        <f>VLOOKUP(Positions[[#This Row],[Grade]],GradesAndSalaries[],MATCH(Positions[[#Headers],[Average Salary]],GradesAndSalaries[#Headers],0),FALSE)</f>
        <v>186500</v>
      </c>
      <c r="D14" s="6">
        <f>VLOOKUP(Positions[[#This Row],[Grade]],GradesAndSalaries[],4,FALSE)</f>
        <v>154000</v>
      </c>
      <c r="E14" s="6">
        <f>Positions[[#This Row],[Min. Salary]]+(Positions[[#This Row],[Max. Salary]]-Positions[[#This Row],[Min. Salary]])/4</f>
        <v>170250</v>
      </c>
      <c r="F14" s="6">
        <f>Positions[[#This Row],[Rate 2]]+(Positions[[#This Row],[Max. Salary]]-Positions[[#This Row],[Min. Salary]])/4</f>
        <v>186500</v>
      </c>
      <c r="G14" s="6">
        <f>Positions[[#This Row],[Rate 3]]+(Positions[[#This Row],[Max. Salary]]-Positions[[#This Row],[Min. Salary]])/4</f>
        <v>202750</v>
      </c>
      <c r="H14" s="6">
        <f>VLOOKUP(Positions[[#This Row],[Grade]],GradesAndSalaries[],5,FALSE)</f>
        <v>219000</v>
      </c>
      <c r="P14" s="656">
        <v>128</v>
      </c>
      <c r="AA14"/>
    </row>
    <row r="15" spans="1:27" x14ac:dyDescent="0.25">
      <c r="A15" t="s">
        <v>433</v>
      </c>
      <c r="B15">
        <v>403</v>
      </c>
      <c r="C15" s="8">
        <f>VLOOKUP(Positions[[#This Row],[Grade]],GradesAndSalaries[],MATCH(Positions[[#Headers],[Average Salary]],GradesAndSalaries[#Headers],0),FALSE)</f>
        <v>224000</v>
      </c>
      <c r="D15" s="6">
        <f>VLOOKUP(Positions[[#This Row],[Grade]],GradesAndSalaries[],4,FALSE)</f>
        <v>185000</v>
      </c>
      <c r="E15" s="6">
        <f>Positions[[#This Row],[Min. Salary]]+(Positions[[#This Row],[Max. Salary]]-Positions[[#This Row],[Min. Salary]])/4</f>
        <v>204500</v>
      </c>
      <c r="F15" s="6">
        <f>Positions[[#This Row],[Rate 2]]+(Positions[[#This Row],[Max. Salary]]-Positions[[#This Row],[Min. Salary]])/4</f>
        <v>224000</v>
      </c>
      <c r="G15" s="6">
        <f>Positions[[#This Row],[Rate 3]]+(Positions[[#This Row],[Max. Salary]]-Positions[[#This Row],[Min. Salary]])/4</f>
        <v>243500</v>
      </c>
      <c r="H15" s="6">
        <f>VLOOKUP(Positions[[#This Row],[Grade]],GradesAndSalaries[],5,FALSE)</f>
        <v>263000</v>
      </c>
      <c r="P15" s="656">
        <v>149</v>
      </c>
      <c r="AA15"/>
    </row>
    <row r="16" spans="1:27" x14ac:dyDescent="0.25">
      <c r="A16" t="s">
        <v>434</v>
      </c>
      <c r="B16">
        <v>501</v>
      </c>
      <c r="C16" s="8">
        <f>VLOOKUP(Positions[[#This Row],[Grade]],GradesAndSalaries[],MATCH(Positions[[#Headers],[Average Salary]],GradesAndSalaries[#Headers],0),FALSE)</f>
        <v>263000</v>
      </c>
      <c r="D16" s="6">
        <f>VLOOKUP(Positions[[#This Row],[Grade]],GradesAndSalaries[],4,FALSE)</f>
        <v>217000</v>
      </c>
      <c r="E16" s="6">
        <f>Positions[[#This Row],[Min. Salary]]+(Positions[[#This Row],[Max. Salary]]-Positions[[#This Row],[Min. Salary]])/4</f>
        <v>240000</v>
      </c>
      <c r="F16" s="6">
        <f>Positions[[#This Row],[Rate 2]]+(Positions[[#This Row],[Max. Salary]]-Positions[[#This Row],[Min. Salary]])/4</f>
        <v>263000</v>
      </c>
      <c r="G16" s="6">
        <f>Positions[[#This Row],[Rate 3]]+(Positions[[#This Row],[Max. Salary]]-Positions[[#This Row],[Min. Salary]])/4</f>
        <v>286000</v>
      </c>
      <c r="H16" s="6">
        <f>VLOOKUP(Positions[[#This Row],[Grade]],GradesAndSalaries[],5,FALSE)</f>
        <v>309000</v>
      </c>
      <c r="P16" s="656">
        <v>156</v>
      </c>
      <c r="AA16"/>
    </row>
    <row r="17" spans="1:27" x14ac:dyDescent="0.25">
      <c r="A17" t="s">
        <v>435</v>
      </c>
      <c r="B17">
        <v>502</v>
      </c>
      <c r="C17" s="8">
        <f>VLOOKUP(Positions[[#This Row],[Grade]],GradesAndSalaries[],MATCH(Positions[[#Headers],[Average Salary]],GradesAndSalaries[#Headers],0),FALSE)</f>
        <v>302500</v>
      </c>
      <c r="D17" s="6">
        <f>VLOOKUP(Positions[[#This Row],[Grade]],GradesAndSalaries[],4,FALSE)</f>
        <v>250000</v>
      </c>
      <c r="E17" s="6">
        <f>Positions[[#This Row],[Min. Salary]]+(Positions[[#This Row],[Max. Salary]]-Positions[[#This Row],[Min. Salary]])/4</f>
        <v>276250</v>
      </c>
      <c r="F17" s="6">
        <f>Positions[[#This Row],[Rate 2]]+(Positions[[#This Row],[Max. Salary]]-Positions[[#This Row],[Min. Salary]])/4</f>
        <v>302500</v>
      </c>
      <c r="G17" s="6">
        <f>Positions[[#This Row],[Rate 3]]+(Positions[[#This Row],[Max. Salary]]-Positions[[#This Row],[Min. Salary]])/4</f>
        <v>328750</v>
      </c>
      <c r="H17" s="6">
        <f>VLOOKUP(Positions[[#This Row],[Grade]],GradesAndSalaries[],5,FALSE)</f>
        <v>355000</v>
      </c>
      <c r="L17" s="11"/>
      <c r="N17" s="17"/>
      <c r="O17"/>
      <c r="P17" s="656">
        <v>163</v>
      </c>
    </row>
    <row r="18" spans="1:27" x14ac:dyDescent="0.25">
      <c r="A18" t="s">
        <v>436</v>
      </c>
      <c r="B18">
        <v>503</v>
      </c>
      <c r="C18" s="8">
        <f>VLOOKUP(Positions[[#This Row],[Grade]],GradesAndSalaries[],MATCH(Positions[[#Headers],[Average Salary]],GradesAndSalaries[#Headers],0),FALSE)</f>
        <v>340000</v>
      </c>
      <c r="D18" s="6">
        <f>VLOOKUP(Positions[[#This Row],[Grade]],GradesAndSalaries[],4,FALSE)</f>
        <v>281000</v>
      </c>
      <c r="E18" s="6">
        <f>Positions[[#This Row],[Min. Salary]]+(Positions[[#This Row],[Max. Salary]]-Positions[[#This Row],[Min. Salary]])/4</f>
        <v>310500</v>
      </c>
      <c r="F18" s="6">
        <f>Positions[[#This Row],[Rate 2]]+(Positions[[#This Row],[Max. Salary]]-Positions[[#This Row],[Min. Salary]])/4</f>
        <v>340000</v>
      </c>
      <c r="G18" s="6">
        <f>Positions[[#This Row],[Rate 3]]+(Positions[[#This Row],[Max. Salary]]-Positions[[#This Row],[Min. Salary]])/4</f>
        <v>369500</v>
      </c>
      <c r="H18" s="6">
        <f>VLOOKUP(Positions[[#This Row],[Grade]],GradesAndSalaries[],5,FALSE)</f>
        <v>399000</v>
      </c>
      <c r="N18" s="17"/>
      <c r="O18"/>
      <c r="P18" s="656">
        <v>170</v>
      </c>
    </row>
    <row r="19" spans="1:27" x14ac:dyDescent="0.25">
      <c r="A19" t="s">
        <v>437</v>
      </c>
      <c r="B19">
        <v>503</v>
      </c>
      <c r="C19" s="8">
        <f>VLOOKUP(Positions[[#This Row],[Grade]],GradesAndSalaries[],MATCH(Positions[[#Headers],[Average Salary]],GradesAndSalaries[#Headers],0),FALSE)</f>
        <v>340000</v>
      </c>
      <c r="D19" s="6">
        <f>VLOOKUP(Positions[[#This Row],[Grade]],GradesAndSalaries[],4,FALSE)</f>
        <v>281000</v>
      </c>
      <c r="E19" s="6">
        <f>Positions[[#This Row],[Min. Salary]]+(Positions[[#This Row],[Max. Salary]]-Positions[[#This Row],[Min. Salary]])/4</f>
        <v>310500</v>
      </c>
      <c r="F19" s="6">
        <f>Positions[[#This Row],[Rate 2]]+(Positions[[#This Row],[Max. Salary]]-Positions[[#This Row],[Min. Salary]])/4</f>
        <v>340000</v>
      </c>
      <c r="G19" s="6">
        <f>Positions[[#This Row],[Rate 3]]+(Positions[[#This Row],[Max. Salary]]-Positions[[#This Row],[Min. Salary]])/4</f>
        <v>369500</v>
      </c>
      <c r="H19" s="6">
        <f>VLOOKUP(Positions[[#This Row],[Grade]],GradesAndSalaries[],5,FALSE)</f>
        <v>399000</v>
      </c>
      <c r="N19" s="17"/>
      <c r="O19"/>
      <c r="P19"/>
      <c r="U19" s="25"/>
      <c r="V19" s="25"/>
      <c r="W19" s="25"/>
      <c r="X19" s="25"/>
      <c r="Y19" s="25"/>
      <c r="Z19" s="25"/>
      <c r="AA19" s="25"/>
    </row>
    <row r="20" spans="1:27" x14ac:dyDescent="0.25">
      <c r="A20" t="s">
        <v>438</v>
      </c>
      <c r="B20">
        <v>601</v>
      </c>
      <c r="C20" s="8">
        <f>VLOOKUP(Positions[[#This Row],[Grade]],GradesAndSalaries[],MATCH(Positions[[#Headers],[Average Salary]],GradesAndSalaries[#Headers],0),FALSE)</f>
        <v>374000</v>
      </c>
      <c r="D20" s="6">
        <f>VLOOKUP(Positions[[#This Row],[Grade]],GradesAndSalaries[],4,FALSE)</f>
        <v>309000</v>
      </c>
      <c r="E20" s="6">
        <f>Positions[[#This Row],[Min. Salary]]+(Positions[[#This Row],[Max. Salary]]-Positions[[#This Row],[Min. Salary]])/4</f>
        <v>341500</v>
      </c>
      <c r="F20" s="6">
        <f>Positions[[#This Row],[Rate 2]]+(Positions[[#This Row],[Max. Salary]]-Positions[[#This Row],[Min. Salary]])/4</f>
        <v>374000</v>
      </c>
      <c r="G20" s="6">
        <f>Positions[[#This Row],[Rate 3]]+(Positions[[#This Row],[Max. Salary]]-Positions[[#This Row],[Min. Salary]])/4</f>
        <v>406500</v>
      </c>
      <c r="H20" s="6">
        <f>VLOOKUP(Positions[[#This Row],[Grade]],GradesAndSalaries[],5,FALSE)</f>
        <v>439000</v>
      </c>
      <c r="N20" s="17"/>
      <c r="O20"/>
      <c r="P20"/>
      <c r="T20" s="25"/>
      <c r="U20" s="27"/>
      <c r="V20" s="27"/>
      <c r="W20" s="27"/>
      <c r="X20" s="6"/>
      <c r="Y20" s="6"/>
      <c r="Z20" s="6"/>
      <c r="AA20" s="6"/>
    </row>
    <row r="21" spans="1:27" x14ac:dyDescent="0.25">
      <c r="A21" t="s">
        <v>439</v>
      </c>
      <c r="B21">
        <v>601</v>
      </c>
      <c r="C21" s="8">
        <f>VLOOKUP(Positions[[#This Row],[Grade]],GradesAndSalaries[],MATCH(Positions[[#Headers],[Average Salary]],GradesAndSalaries[#Headers],0),FALSE)</f>
        <v>374000</v>
      </c>
      <c r="D21" s="6">
        <f>VLOOKUP(Positions[[#This Row],[Grade]],GradesAndSalaries[],4,FALSE)</f>
        <v>309000</v>
      </c>
      <c r="E21" s="6">
        <f>Positions[[#This Row],[Min. Salary]]+(Positions[[#This Row],[Max. Salary]]-Positions[[#This Row],[Min. Salary]])/4</f>
        <v>341500</v>
      </c>
      <c r="F21" s="6">
        <f>Positions[[#This Row],[Rate 2]]+(Positions[[#This Row],[Max. Salary]]-Positions[[#This Row],[Min. Salary]])/4</f>
        <v>374000</v>
      </c>
      <c r="G21" s="6">
        <f>Positions[[#This Row],[Rate 3]]+(Positions[[#This Row],[Max. Salary]]-Positions[[#This Row],[Min. Salary]])/4</f>
        <v>406500</v>
      </c>
      <c r="H21" s="6">
        <f>VLOOKUP(Positions[[#This Row],[Grade]],GradesAndSalaries[],5,FALSE)</f>
        <v>439000</v>
      </c>
      <c r="N21" s="17"/>
      <c r="O21"/>
      <c r="P21"/>
      <c r="U21" s="27"/>
      <c r="V21" s="27"/>
      <c r="W21" s="27"/>
    </row>
    <row r="22" spans="1:27" x14ac:dyDescent="0.25">
      <c r="A22" t="s">
        <v>419</v>
      </c>
      <c r="B22" s="9">
        <v>100</v>
      </c>
      <c r="C22" s="8">
        <f>VLOOKUP(Positions[[#This Row],[Grade]],GradesAndSalaries[],MATCH(Positions[[#Headers],[Average Salary]],GradesAndSalaries[#Headers],0),FALSE)</f>
        <v>0</v>
      </c>
      <c r="D22" s="6">
        <f>VLOOKUP(Positions[[#This Row],[Grade]],GradesAndSalaries[],4,FALSE)</f>
        <v>0</v>
      </c>
      <c r="E22" s="6">
        <f>Positions[[#This Row],[Min. Salary]]+(Positions[[#This Row],[Max. Salary]]-Positions[[#This Row],[Min. Salary]])/4</f>
        <v>0</v>
      </c>
      <c r="F22" s="6">
        <f>Positions[[#This Row],[Rate 2]]+(Positions[[#This Row],[Max. Salary]]-Positions[[#This Row],[Min. Salary]])/4</f>
        <v>0</v>
      </c>
      <c r="G22" s="6">
        <f>Positions[[#This Row],[Rate 3]]+(Positions[[#This Row],[Max. Salary]]-Positions[[#This Row],[Min. Salary]])/4</f>
        <v>0</v>
      </c>
      <c r="H22" s="6">
        <f>VLOOKUP(Positions[[#This Row],[Grade]],GradesAndSalaries[],5,FALSE)</f>
        <v>0</v>
      </c>
      <c r="N22" s="17"/>
      <c r="O22"/>
      <c r="P22"/>
      <c r="U22" s="27"/>
      <c r="V22" s="27"/>
      <c r="W22" s="28"/>
      <c r="X22" s="26"/>
      <c r="Y22" s="26"/>
      <c r="Z22" s="26"/>
      <c r="AA22" s="26"/>
    </row>
    <row r="23" spans="1:27" x14ac:dyDescent="0.25">
      <c r="N23" s="17"/>
      <c r="U23" s="27"/>
      <c r="V23" s="27"/>
      <c r="W23" s="28"/>
    </row>
    <row r="24" spans="1:27" x14ac:dyDescent="0.25">
      <c r="N24" s="17"/>
      <c r="U24" s="28"/>
      <c r="V24" s="28"/>
      <c r="W24" s="28"/>
    </row>
    <row r="25" spans="1:27" x14ac:dyDescent="0.25">
      <c r="N25" s="17"/>
      <c r="U25" s="28"/>
      <c r="V25" s="28"/>
      <c r="W25" s="28"/>
    </row>
    <row r="26" spans="1:27" x14ac:dyDescent="0.25">
      <c r="U26" s="28"/>
      <c r="V26" s="28"/>
      <c r="W26" s="28"/>
    </row>
    <row r="27" spans="1:27" x14ac:dyDescent="0.25">
      <c r="N27" s="652"/>
      <c r="U27" s="28"/>
      <c r="V27" s="28"/>
      <c r="W27" s="28"/>
    </row>
    <row r="28" spans="1:27" x14ac:dyDescent="0.25">
      <c r="U28" s="28"/>
      <c r="V28" s="28"/>
      <c r="W28" s="28"/>
    </row>
    <row r="29" spans="1:27" x14ac:dyDescent="0.25">
      <c r="U29" s="28"/>
      <c r="V29" s="28"/>
      <c r="W29" s="28"/>
    </row>
    <row r="30" spans="1:27" x14ac:dyDescent="0.25">
      <c r="U30" s="28"/>
      <c r="V30" s="28"/>
      <c r="W30" s="28"/>
    </row>
    <row r="31" spans="1:27" x14ac:dyDescent="0.25">
      <c r="U31" s="28"/>
      <c r="V31" s="28"/>
      <c r="W31" s="28"/>
    </row>
    <row r="32" spans="1:27" x14ac:dyDescent="0.25">
      <c r="U32" s="28"/>
      <c r="V32" s="28"/>
      <c r="W32" s="28"/>
    </row>
    <row r="33" spans="21:23" x14ac:dyDescent="0.25">
      <c r="U33" s="28"/>
      <c r="V33" s="28"/>
      <c r="W33" s="28"/>
    </row>
  </sheetData>
  <conditionalFormatting sqref="D2:H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5"/>
  <sheetViews>
    <sheetView zoomScaleNormal="100" workbookViewId="0">
      <selection activeCell="C4" sqref="C4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13.42578125" bestFit="1" customWidth="1"/>
    <col min="4" max="4" width="13.5703125" bestFit="1" customWidth="1"/>
    <col min="5" max="5" width="13.42578125" bestFit="1" customWidth="1"/>
    <col min="6" max="6" width="11.42578125" bestFit="1" customWidth="1"/>
    <col min="7" max="7" width="14.7109375" customWidth="1"/>
    <col min="8" max="8" width="12.5703125" bestFit="1" customWidth="1"/>
    <col min="9" max="9" width="13.140625" bestFit="1" customWidth="1"/>
    <col min="10" max="10" width="11.85546875" bestFit="1" customWidth="1"/>
    <col min="11" max="11" width="12.5703125" bestFit="1" customWidth="1"/>
    <col min="12" max="12" width="9.28515625" bestFit="1" customWidth="1"/>
    <col min="15" max="15" width="12.140625" bestFit="1" customWidth="1"/>
    <col min="16" max="16" width="14.42578125" customWidth="1"/>
    <col min="17" max="17" width="10.85546875" customWidth="1"/>
    <col min="18" max="18" width="15.140625" customWidth="1"/>
    <col min="19" max="19" width="12.85546875" customWidth="1"/>
  </cols>
  <sheetData>
    <row r="1" spans="1:19" ht="75" x14ac:dyDescent="0.25">
      <c r="A1" s="1" t="s">
        <v>424</v>
      </c>
      <c r="B1" s="1" t="s">
        <v>440</v>
      </c>
      <c r="C1" s="1" t="s">
        <v>425</v>
      </c>
      <c r="D1" s="15" t="s">
        <v>426</v>
      </c>
      <c r="E1" s="1" t="s">
        <v>427</v>
      </c>
      <c r="F1" s="1" t="s">
        <v>720</v>
      </c>
      <c r="G1" s="19" t="s">
        <v>719</v>
      </c>
      <c r="H1" s="19" t="s">
        <v>445</v>
      </c>
      <c r="I1" s="19" t="s">
        <v>446</v>
      </c>
      <c r="J1" s="19" t="s">
        <v>718</v>
      </c>
      <c r="K1" s="19" t="s">
        <v>447</v>
      </c>
      <c r="L1" s="1" t="s">
        <v>444</v>
      </c>
      <c r="M1" s="1" t="s">
        <v>723</v>
      </c>
      <c r="N1" s="1" t="s">
        <v>725</v>
      </c>
      <c r="O1" s="1" t="s">
        <v>724</v>
      </c>
      <c r="P1" s="1" t="s">
        <v>726</v>
      </c>
      <c r="Q1" s="1" t="s">
        <v>727</v>
      </c>
      <c r="R1" s="1" t="s">
        <v>728</v>
      </c>
      <c r="S1" s="1" t="s">
        <v>729</v>
      </c>
    </row>
    <row r="2" spans="1:19" x14ac:dyDescent="0.25">
      <c r="A2" s="655">
        <v>100</v>
      </c>
      <c r="B2" s="18">
        <v>0</v>
      </c>
      <c r="C2" s="10">
        <v>0</v>
      </c>
      <c r="D2" s="15">
        <v>0</v>
      </c>
      <c r="E2" s="10">
        <v>0</v>
      </c>
      <c r="F2" s="10"/>
      <c r="G2" s="23"/>
      <c r="H2" s="19"/>
      <c r="I2" s="21"/>
      <c r="J2" s="23"/>
      <c r="K2" s="23"/>
      <c r="L2" s="19"/>
      <c r="M2">
        <f>SUMIF(Employee[Grade Status],GradesAndSalaries[[#This Row],[Grade]],Employee[FTE])</f>
        <v>0</v>
      </c>
      <c r="N2" s="68">
        <f>SUM(N3:N15)</f>
        <v>0</v>
      </c>
      <c r="O2" s="66">
        <v>0.3</v>
      </c>
      <c r="P2" s="67">
        <f>OverheadCosts!J3</f>
        <v>72580.666666666672</v>
      </c>
      <c r="Q2" s="69" t="e">
        <f t="array" ref="Q2">AVERAGE(IF(Q3:Q15&lt;&gt;0,Q3:Q15))</f>
        <v>#DIV/0!</v>
      </c>
      <c r="R2" s="14">
        <v>80000</v>
      </c>
    </row>
    <row r="3" spans="1:19" x14ac:dyDescent="0.25">
      <c r="A3" s="656">
        <v>101</v>
      </c>
      <c r="B3" s="13">
        <v>0.4</v>
      </c>
      <c r="C3" s="8">
        <f>AVERAGE(GradesAndSalaries[[#This Row],[Min. Salary]],GradesAndSalaries[[#This Row],[Max. Salary]])</f>
        <v>30000</v>
      </c>
      <c r="D3" s="16">
        <v>25000</v>
      </c>
      <c r="E3" s="14">
        <v>35000</v>
      </c>
      <c r="F3" s="64">
        <v>1</v>
      </c>
      <c r="G3" s="24">
        <f>40000*GradesAndSalaries[[#This Row],[Overhead costs multiplier]]</f>
        <v>40000</v>
      </c>
      <c r="H3" s="20">
        <v>0.75</v>
      </c>
      <c r="I3" s="22">
        <f>(GradesAndSalaries[[#This Row],[Max. Salary]]+GradesAndSalaries[[#This Row],[Overhead costs + TAX]])*12</f>
        <v>900000</v>
      </c>
      <c r="J3" s="24">
        <f>ROUND(IFERROR((GradesAndSalaries[[#This Row],[Costs per Person per year]]/GradesAndSalaries[[#This Row],[Target Utilization]])/12/160,0),0)</f>
        <v>625</v>
      </c>
      <c r="K3" s="24">
        <f>(GradesAndSalaries[[#This Row],[Max. Salary]]+GradesAndSalaries[[#This Row],[Overhead costs + TAX]])/160</f>
        <v>468.75</v>
      </c>
      <c r="L3" s="20">
        <v>0.01</v>
      </c>
      <c r="M3">
        <f>SUMIF(Employee[Grade Status],GradesAndSalaries[[#This Row],[Grade]],Employee[FTE])</f>
        <v>0</v>
      </c>
      <c r="N3">
        <f>GradesAndSalaries[[#This Row],[FTE in Grade]]*GradesAndSalaries[[#This Row],[Overhead costs multiplier]]</f>
        <v>0</v>
      </c>
      <c r="O3" s="6">
        <f>GradesAndSalaries[[#This Row],[Average Salary]]*GradesAndSalaries[[#This Row],[FTE in Grade]]*$O$2</f>
        <v>0</v>
      </c>
      <c r="P3" s="6" t="e">
        <f>$P$2/$N$2*GradesAndSalaries[[#This Row],[Overhead costs multiplier * FTE in Grade]]+GradesAndSalaries[[#This Row],[Average Salary TAX]]</f>
        <v>#DIV/0!</v>
      </c>
      <c r="Q3" s="70" t="e">
        <f>GradesAndSalaries[[#This Row],[Current Overhead costs + TAX]]/GradesAndSalaries[[#This Row],[Overhead costs + TAX]]</f>
        <v>#DIV/0!</v>
      </c>
      <c r="R3" s="6" t="e">
        <f>$R$2/$N$2*GradesAndSalaries[[#This Row],[Overhead costs multiplier * FTE in Grade]]+GradesAndSalaries[[#This Row],[Average Salary TAX]]</f>
        <v>#DIV/0!</v>
      </c>
      <c r="S3" s="6">
        <f>ROUND(IFERROR(((GradesAndSalaries[[#This Row],[Average Salary]]+GradesAndSalaries[[#This Row],[Min. Overhead costs + TAX]])/GradesAndSalaries[[#This Row],[Target Utilization]])/160,0),0)</f>
        <v>0</v>
      </c>
    </row>
    <row r="4" spans="1:19" x14ac:dyDescent="0.25">
      <c r="A4" s="656">
        <v>201</v>
      </c>
      <c r="B4" s="11">
        <f t="shared" ref="B4:B14" si="0">B3-($B$3-$B$15)/12</f>
        <v>0.375</v>
      </c>
      <c r="C4" s="8">
        <f>AVERAGE(GradesAndSalaries[[#This Row],[Min. Salary]],GradesAndSalaries[[#This Row],[Max. Salary]])</f>
        <v>41000</v>
      </c>
      <c r="D4" s="17">
        <f>ROUND((D3*(1+GradesAndSalaries[[#This Row],[Delta, %]])/1000),0)*1000</f>
        <v>34000</v>
      </c>
      <c r="E4" s="17">
        <f>ROUND((E3*(1+GradesAndSalaries[[#This Row],[Delta, %]])/1000),0)*1000</f>
        <v>48000</v>
      </c>
      <c r="F4" s="64">
        <v>1</v>
      </c>
      <c r="G4" s="24">
        <f>40000*GradesAndSalaries[[#This Row],[Overhead costs multiplier]]</f>
        <v>40000</v>
      </c>
      <c r="H4" s="20">
        <v>0.75</v>
      </c>
      <c r="I4" s="22">
        <f>(GradesAndSalaries[[#This Row],[Max. Salary]]+GradesAndSalaries[[#This Row],[Overhead costs + TAX]])*12</f>
        <v>1056000</v>
      </c>
      <c r="J4" s="24">
        <f>ROUND(IFERROR((GradesAndSalaries[[#This Row],[Costs per Person per year]]/GradesAndSalaries[[#This Row],[Target Utilization]])/12/160,0),0)</f>
        <v>733</v>
      </c>
      <c r="K4" s="24">
        <f>(GradesAndSalaries[[#This Row],[Max. Salary]]+GradesAndSalaries[[#This Row],[Overhead costs + TAX]])/160</f>
        <v>550</v>
      </c>
      <c r="L4" s="20">
        <v>0.02</v>
      </c>
      <c r="M4">
        <f>SUMIF(Employee[Grade Status],GradesAndSalaries[[#This Row],[Grade]],Employee[FTE])</f>
        <v>0</v>
      </c>
      <c r="N4">
        <f>GradesAndSalaries[[#This Row],[FTE in Grade]]*GradesAndSalaries[[#This Row],[Overhead costs multiplier]]</f>
        <v>0</v>
      </c>
      <c r="O4" s="6">
        <f>GradesAndSalaries[[#This Row],[Average Salary]]*GradesAndSalaries[[#This Row],[FTE in Grade]]*$O$2</f>
        <v>0</v>
      </c>
      <c r="P4" s="6" t="e">
        <f>$P$2/$N$2*GradesAndSalaries[[#This Row],[Overhead costs multiplier * FTE in Grade]]+GradesAndSalaries[[#This Row],[Average Salary TAX]]</f>
        <v>#DIV/0!</v>
      </c>
      <c r="Q4" s="70" t="e">
        <f>GradesAndSalaries[[#This Row],[Current Overhead costs + TAX]]/GradesAndSalaries[[#This Row],[Overhead costs + TAX]]</f>
        <v>#DIV/0!</v>
      </c>
      <c r="R4" s="6" t="e">
        <f>$R$2/$N$2*GradesAndSalaries[[#This Row],[Overhead costs multiplier * FTE in Grade]]+GradesAndSalaries[[#This Row],[Average Salary TAX]]</f>
        <v>#DIV/0!</v>
      </c>
      <c r="S4" s="6">
        <f>ROUND(IFERROR(((GradesAndSalaries[[#This Row],[Average Salary]]+GradesAndSalaries[[#This Row],[Min. Overhead costs + TAX]])/GradesAndSalaries[[#This Row],[Target Utilization]])/160,0),0)</f>
        <v>0</v>
      </c>
    </row>
    <row r="5" spans="1:19" x14ac:dyDescent="0.25">
      <c r="A5" s="656">
        <v>202</v>
      </c>
      <c r="B5" s="11">
        <f t="shared" si="0"/>
        <v>0.35</v>
      </c>
      <c r="C5" s="8">
        <f>AVERAGE(GradesAndSalaries[[#This Row],[Min. Salary]],GradesAndSalaries[[#This Row],[Max. Salary]])</f>
        <v>55500</v>
      </c>
      <c r="D5" s="17">
        <f>ROUND((D4*(1+GradesAndSalaries[[#This Row],[Delta, %]])/1000),0)*1000</f>
        <v>46000</v>
      </c>
      <c r="E5" s="17">
        <f>ROUND((E4*(1+GradesAndSalaries[[#This Row],[Delta, %]])/1000),0)*1000</f>
        <v>65000</v>
      </c>
      <c r="F5" s="64">
        <v>1</v>
      </c>
      <c r="G5" s="24">
        <f>40000*GradesAndSalaries[[#This Row],[Overhead costs multiplier]]</f>
        <v>40000</v>
      </c>
      <c r="H5" s="20">
        <v>0.75</v>
      </c>
      <c r="I5" s="22">
        <f>(GradesAndSalaries[[#This Row],[Max. Salary]]+GradesAndSalaries[[#This Row],[Overhead costs + TAX]])*12</f>
        <v>1260000</v>
      </c>
      <c r="J5" s="24">
        <f>ROUND(IFERROR((GradesAndSalaries[[#This Row],[Costs per Person per year]]/GradesAndSalaries[[#This Row],[Target Utilization]])/12/160,0),0)</f>
        <v>875</v>
      </c>
      <c r="K5" s="24">
        <f>(GradesAndSalaries[[#This Row],[Max. Salary]]+GradesAndSalaries[[#This Row],[Overhead costs + TAX]])/160</f>
        <v>656.25</v>
      </c>
      <c r="L5" s="20">
        <v>0.02</v>
      </c>
      <c r="M5">
        <f>SUMIF(Employee[Grade Status],GradesAndSalaries[[#This Row],[Grade]],Employee[FTE])</f>
        <v>0</v>
      </c>
      <c r="N5">
        <f>GradesAndSalaries[[#This Row],[FTE in Grade]]*GradesAndSalaries[[#This Row],[Overhead costs multiplier]]</f>
        <v>0</v>
      </c>
      <c r="O5" s="6">
        <f>GradesAndSalaries[[#This Row],[Average Salary]]*GradesAndSalaries[[#This Row],[FTE in Grade]]*$O$2</f>
        <v>0</v>
      </c>
      <c r="P5" s="6" t="e">
        <f>$P$2/$N$2*GradesAndSalaries[[#This Row],[Overhead costs multiplier * FTE in Grade]]+GradesAndSalaries[[#This Row],[Average Salary TAX]]</f>
        <v>#DIV/0!</v>
      </c>
      <c r="Q5" s="70" t="e">
        <f>GradesAndSalaries[[#This Row],[Current Overhead costs + TAX]]/GradesAndSalaries[[#This Row],[Overhead costs + TAX]]</f>
        <v>#DIV/0!</v>
      </c>
      <c r="R5" s="6" t="e">
        <f>$R$2/$N$2*GradesAndSalaries[[#This Row],[Overhead costs multiplier * FTE in Grade]]+GradesAndSalaries[[#This Row],[Average Salary TAX]]</f>
        <v>#DIV/0!</v>
      </c>
      <c r="S5" s="6">
        <f>ROUND(IFERROR(((GradesAndSalaries[[#This Row],[Average Salary]]+GradesAndSalaries[[#This Row],[Min. Overhead costs + TAX]])/GradesAndSalaries[[#This Row],[Target Utilization]])/160,0),0)</f>
        <v>0</v>
      </c>
    </row>
    <row r="6" spans="1:19" x14ac:dyDescent="0.25">
      <c r="A6" s="656">
        <v>301</v>
      </c>
      <c r="B6" s="11">
        <f t="shared" si="0"/>
        <v>0.32499999999999996</v>
      </c>
      <c r="C6" s="8">
        <f>AVERAGE(GradesAndSalaries[[#This Row],[Min. Salary]],GradesAndSalaries[[#This Row],[Max. Salary]])</f>
        <v>73500</v>
      </c>
      <c r="D6" s="17">
        <f>ROUND((D5*(1+GradesAndSalaries[[#This Row],[Delta, %]])/1000),0)*1000</f>
        <v>61000</v>
      </c>
      <c r="E6" s="17">
        <f>ROUND((E5*(1+GradesAndSalaries[[#This Row],[Delta, %]])/1000),0)*1000</f>
        <v>86000</v>
      </c>
      <c r="F6" s="32">
        <v>2</v>
      </c>
      <c r="G6" s="24">
        <f>40000*GradesAndSalaries[[#This Row],[Overhead costs multiplier]]</f>
        <v>80000</v>
      </c>
      <c r="H6" s="20">
        <v>0.65</v>
      </c>
      <c r="I6" s="22">
        <f>(GradesAndSalaries[[#This Row],[Max. Salary]]+GradesAndSalaries[[#This Row],[Overhead costs + TAX]])*12</f>
        <v>1992000</v>
      </c>
      <c r="J6" s="24">
        <f>ROUND(IFERROR((GradesAndSalaries[[#This Row],[Costs per Person per year]]/GradesAndSalaries[[#This Row],[Target Utilization]])/12/160,0),0)</f>
        <v>1596</v>
      </c>
      <c r="K6" s="24">
        <f>(GradesAndSalaries[[#This Row],[Max. Salary]]+GradesAndSalaries[[#This Row],[Overhead costs + TAX]])/160</f>
        <v>1037.5</v>
      </c>
      <c r="L6" s="20">
        <v>7.0000000000000007E-2</v>
      </c>
      <c r="M6">
        <f>SUMIF(Employee[Grade Status],GradesAndSalaries[[#This Row],[Grade]],Employee[FTE])</f>
        <v>0</v>
      </c>
      <c r="N6">
        <f>GradesAndSalaries[[#This Row],[FTE in Grade]]*GradesAndSalaries[[#This Row],[Overhead costs multiplier]]</f>
        <v>0</v>
      </c>
      <c r="O6" s="6">
        <f>GradesAndSalaries[[#This Row],[Average Salary]]*GradesAndSalaries[[#This Row],[FTE in Grade]]*$O$2</f>
        <v>0</v>
      </c>
      <c r="P6" s="6" t="e">
        <f>$P$2/$N$2*GradesAndSalaries[[#This Row],[Overhead costs multiplier * FTE in Grade]]+GradesAndSalaries[[#This Row],[Average Salary TAX]]</f>
        <v>#DIV/0!</v>
      </c>
      <c r="Q6" s="70" t="e">
        <f>GradesAndSalaries[[#This Row],[Current Overhead costs + TAX]]/GradesAndSalaries[[#This Row],[Overhead costs + TAX]]</f>
        <v>#DIV/0!</v>
      </c>
      <c r="R6" s="6" t="e">
        <f>$R$2/$N$2*GradesAndSalaries[[#This Row],[Overhead costs multiplier * FTE in Grade]]+GradesAndSalaries[[#This Row],[Average Salary TAX]]</f>
        <v>#DIV/0!</v>
      </c>
      <c r="S6" s="6">
        <f>ROUND(IFERROR(((GradesAndSalaries[[#This Row],[Average Salary]]+GradesAndSalaries[[#This Row],[Min. Overhead costs + TAX]])/GradesAndSalaries[[#This Row],[Target Utilization]])/160,0),0)</f>
        <v>0</v>
      </c>
    </row>
    <row r="7" spans="1:19" x14ac:dyDescent="0.25">
      <c r="A7" s="656">
        <v>302</v>
      </c>
      <c r="B7" s="11">
        <f t="shared" si="0"/>
        <v>0.29999999999999993</v>
      </c>
      <c r="C7" s="8">
        <f>AVERAGE(GradesAndSalaries[[#This Row],[Min. Salary]],GradesAndSalaries[[#This Row],[Max. Salary]])</f>
        <v>95500</v>
      </c>
      <c r="D7" s="17">
        <f>ROUND((D6*(1+GradesAndSalaries[[#This Row],[Delta, %]])/1000),0)*1000</f>
        <v>79000</v>
      </c>
      <c r="E7" s="17">
        <f>ROUND((E6*(1+GradesAndSalaries[[#This Row],[Delta, %]])/1000),0)*1000</f>
        <v>112000</v>
      </c>
      <c r="F7" s="32">
        <v>2</v>
      </c>
      <c r="G7" s="24">
        <f>40000*GradesAndSalaries[[#This Row],[Overhead costs multiplier]]</f>
        <v>80000</v>
      </c>
      <c r="H7" s="20">
        <v>0.65</v>
      </c>
      <c r="I7" s="22">
        <f>(GradesAndSalaries[[#This Row],[Max. Salary]]+GradesAndSalaries[[#This Row],[Overhead costs + TAX]])*12</f>
        <v>2304000</v>
      </c>
      <c r="J7" s="24">
        <f>ROUND(IFERROR((GradesAndSalaries[[#This Row],[Costs per Person per year]]/GradesAndSalaries[[#This Row],[Target Utilization]])/12/160,0),0)</f>
        <v>1846</v>
      </c>
      <c r="K7" s="24">
        <f>(GradesAndSalaries[[#This Row],[Max. Salary]]+GradesAndSalaries[[#This Row],[Overhead costs + TAX]])/160</f>
        <v>1200</v>
      </c>
      <c r="L7" s="20">
        <v>7.0000000000000007E-2</v>
      </c>
      <c r="M7">
        <f>SUMIF(Employee[Grade Status],GradesAndSalaries[[#This Row],[Grade]],Employee[FTE])</f>
        <v>0</v>
      </c>
      <c r="N7">
        <f>GradesAndSalaries[[#This Row],[FTE in Grade]]*GradesAndSalaries[[#This Row],[Overhead costs multiplier]]</f>
        <v>0</v>
      </c>
      <c r="O7" s="6">
        <f>GradesAndSalaries[[#This Row],[Average Salary]]*GradesAndSalaries[[#This Row],[FTE in Grade]]*$O$2</f>
        <v>0</v>
      </c>
      <c r="P7" s="6" t="e">
        <f>$P$2/$N$2*GradesAndSalaries[[#This Row],[Overhead costs multiplier * FTE in Grade]]+GradesAndSalaries[[#This Row],[Average Salary TAX]]</f>
        <v>#DIV/0!</v>
      </c>
      <c r="Q7" s="70" t="e">
        <f>GradesAndSalaries[[#This Row],[Current Overhead costs + TAX]]/GradesAndSalaries[[#This Row],[Overhead costs + TAX]]</f>
        <v>#DIV/0!</v>
      </c>
      <c r="R7" s="6" t="e">
        <f>$R$2/$N$2*GradesAndSalaries[[#This Row],[Overhead costs multiplier * FTE in Grade]]+GradesAndSalaries[[#This Row],[Average Salary TAX]]</f>
        <v>#DIV/0!</v>
      </c>
      <c r="S7" s="6">
        <f>ROUND(IFERROR(((GradesAndSalaries[[#This Row],[Average Salary]]+GradesAndSalaries[[#This Row],[Min. Overhead costs + TAX]])/GradesAndSalaries[[#This Row],[Target Utilization]])/160,0),0)</f>
        <v>0</v>
      </c>
    </row>
    <row r="8" spans="1:19" x14ac:dyDescent="0.25">
      <c r="A8" s="656">
        <v>303</v>
      </c>
      <c r="B8" s="11">
        <f t="shared" si="0"/>
        <v>0.27499999999999991</v>
      </c>
      <c r="C8" s="8">
        <f>AVERAGE(GradesAndSalaries[[#This Row],[Min. Salary]],GradesAndSalaries[[#This Row],[Max. Salary]])</f>
        <v>122000</v>
      </c>
      <c r="D8" s="17">
        <f>ROUND((D7*(1+GradesAndSalaries[[#This Row],[Delta, %]])/1000),0)*1000</f>
        <v>101000</v>
      </c>
      <c r="E8" s="17">
        <f>ROUND((E7*(1+GradesAndSalaries[[#This Row],[Delta, %]])/1000),0)*1000</f>
        <v>143000</v>
      </c>
      <c r="F8" s="32">
        <v>2</v>
      </c>
      <c r="G8" s="24">
        <f>40000*GradesAndSalaries[[#This Row],[Overhead costs multiplier]]</f>
        <v>80000</v>
      </c>
      <c r="H8" s="20">
        <v>0.6</v>
      </c>
      <c r="I8" s="22">
        <f>(GradesAndSalaries[[#This Row],[Max. Salary]]+GradesAndSalaries[[#This Row],[Overhead costs + TAX]])*12</f>
        <v>2676000</v>
      </c>
      <c r="J8" s="24">
        <f>ROUND(IFERROR((GradesAndSalaries[[#This Row],[Costs per Person per year]]/GradesAndSalaries[[#This Row],[Target Utilization]])/12/160,0),0)</f>
        <v>2323</v>
      </c>
      <c r="K8" s="24">
        <f>(GradesAndSalaries[[#This Row],[Max. Salary]]+GradesAndSalaries[[#This Row],[Overhead costs + TAX]])/160</f>
        <v>1393.75</v>
      </c>
      <c r="L8" s="20">
        <v>7.0000000000000007E-2</v>
      </c>
      <c r="M8">
        <f>SUMIF(Employee[Grade Status],GradesAndSalaries[[#This Row],[Grade]],Employee[FTE])</f>
        <v>0</v>
      </c>
      <c r="N8">
        <f>GradesAndSalaries[[#This Row],[FTE in Grade]]*GradesAndSalaries[[#This Row],[Overhead costs multiplier]]</f>
        <v>0</v>
      </c>
      <c r="O8" s="6">
        <f>GradesAndSalaries[[#This Row],[Average Salary]]*GradesAndSalaries[[#This Row],[FTE in Grade]]*$O$2</f>
        <v>0</v>
      </c>
      <c r="P8" s="6" t="e">
        <f>$P$2/$N$2*GradesAndSalaries[[#This Row],[Overhead costs multiplier * FTE in Grade]]+GradesAndSalaries[[#This Row],[Average Salary TAX]]</f>
        <v>#DIV/0!</v>
      </c>
      <c r="Q8" s="70" t="e">
        <f>GradesAndSalaries[[#This Row],[Current Overhead costs + TAX]]/GradesAndSalaries[[#This Row],[Overhead costs + TAX]]</f>
        <v>#DIV/0!</v>
      </c>
      <c r="R8" s="6" t="e">
        <f>$R$2/$N$2*GradesAndSalaries[[#This Row],[Overhead costs multiplier * FTE in Grade]]+GradesAndSalaries[[#This Row],[Average Salary TAX]]</f>
        <v>#DIV/0!</v>
      </c>
      <c r="S8" s="6">
        <f>ROUND(IFERROR(((GradesAndSalaries[[#This Row],[Average Salary]]+GradesAndSalaries[[#This Row],[Min. Overhead costs + TAX]])/GradesAndSalaries[[#This Row],[Target Utilization]])/160,0),0)</f>
        <v>0</v>
      </c>
    </row>
    <row r="9" spans="1:19" x14ac:dyDescent="0.25">
      <c r="A9" s="656">
        <v>401</v>
      </c>
      <c r="B9" s="11">
        <f t="shared" si="0"/>
        <v>0.24999999999999992</v>
      </c>
      <c r="C9" s="8">
        <f>AVERAGE(GradesAndSalaries[[#This Row],[Min. Salary]],GradesAndSalaries[[#This Row],[Max. Salary]])</f>
        <v>152500</v>
      </c>
      <c r="D9" s="17">
        <f>ROUND((D8*(1+GradesAndSalaries[[#This Row],[Delta, %]])/1000),0)*1000</f>
        <v>126000</v>
      </c>
      <c r="E9" s="17">
        <f>ROUND((E8*(1+GradesAndSalaries[[#This Row],[Delta, %]])/1000),0)*1000</f>
        <v>179000</v>
      </c>
      <c r="F9" s="32">
        <v>2</v>
      </c>
      <c r="G9" s="24">
        <f>40000*GradesAndSalaries[[#This Row],[Overhead costs multiplier]]</f>
        <v>80000</v>
      </c>
      <c r="H9" s="20">
        <v>0.5</v>
      </c>
      <c r="I9" s="22">
        <f>(GradesAndSalaries[[#This Row],[Max. Salary]]+GradesAndSalaries[[#This Row],[Overhead costs + TAX]])*12</f>
        <v>3108000</v>
      </c>
      <c r="J9" s="24">
        <f>ROUND(IFERROR((GradesAndSalaries[[#This Row],[Costs per Person per year]]/GradesAndSalaries[[#This Row],[Target Utilization]])/12/160,0),0)</f>
        <v>3238</v>
      </c>
      <c r="K9" s="24">
        <f>(GradesAndSalaries[[#This Row],[Max. Salary]]+GradesAndSalaries[[#This Row],[Overhead costs + TAX]])/160</f>
        <v>1618.75</v>
      </c>
      <c r="L9" s="20">
        <v>0.19</v>
      </c>
      <c r="M9">
        <f>SUMIF(Employee[Grade Status],GradesAndSalaries[[#This Row],[Grade]],Employee[FTE])</f>
        <v>0</v>
      </c>
      <c r="N9">
        <f>GradesAndSalaries[[#This Row],[FTE in Grade]]*GradesAndSalaries[[#This Row],[Overhead costs multiplier]]</f>
        <v>0</v>
      </c>
      <c r="O9" s="6">
        <f>GradesAndSalaries[[#This Row],[Average Salary]]*GradesAndSalaries[[#This Row],[FTE in Grade]]*$O$2</f>
        <v>0</v>
      </c>
      <c r="P9" s="6" t="e">
        <f>$P$2/$N$2*GradesAndSalaries[[#This Row],[Overhead costs multiplier * FTE in Grade]]+GradesAndSalaries[[#This Row],[Average Salary TAX]]</f>
        <v>#DIV/0!</v>
      </c>
      <c r="Q9" s="70" t="e">
        <f>GradesAndSalaries[[#This Row],[Current Overhead costs + TAX]]/GradesAndSalaries[[#This Row],[Overhead costs + TAX]]</f>
        <v>#DIV/0!</v>
      </c>
      <c r="R9" s="6" t="e">
        <f>$R$2/$N$2*GradesAndSalaries[[#This Row],[Overhead costs multiplier * FTE in Grade]]+GradesAndSalaries[[#This Row],[Average Salary TAX]]</f>
        <v>#DIV/0!</v>
      </c>
      <c r="S9" s="6">
        <f>ROUND(IFERROR(((GradesAndSalaries[[#This Row],[Average Salary]]+GradesAndSalaries[[#This Row],[Min. Overhead costs + TAX]])/GradesAndSalaries[[#This Row],[Target Utilization]])/160,0),0)</f>
        <v>0</v>
      </c>
    </row>
    <row r="10" spans="1:19" x14ac:dyDescent="0.25">
      <c r="A10" s="656">
        <v>402</v>
      </c>
      <c r="B10" s="11">
        <f t="shared" si="0"/>
        <v>0.22499999999999992</v>
      </c>
      <c r="C10" s="8">
        <f>AVERAGE(GradesAndSalaries[[#This Row],[Min. Salary]],GradesAndSalaries[[#This Row],[Max. Salary]])</f>
        <v>186500</v>
      </c>
      <c r="D10" s="17">
        <f>ROUND((D9*(1+GradesAndSalaries[[#This Row],[Delta, %]])/1000),0)*1000</f>
        <v>154000</v>
      </c>
      <c r="E10" s="17">
        <f>ROUND((E9*(1+GradesAndSalaries[[#This Row],[Delta, %]])/1000),0)*1000</f>
        <v>219000</v>
      </c>
      <c r="F10" s="32">
        <v>2</v>
      </c>
      <c r="G10" s="24">
        <f>40000*GradesAndSalaries[[#This Row],[Overhead costs multiplier]]</f>
        <v>80000</v>
      </c>
      <c r="H10" s="20">
        <v>0.42</v>
      </c>
      <c r="I10" s="22">
        <f>(GradesAndSalaries[[#This Row],[Max. Salary]]+GradesAndSalaries[[#This Row],[Overhead costs + TAX]])*12</f>
        <v>3588000</v>
      </c>
      <c r="J10" s="24">
        <f>ROUND(IFERROR((GradesAndSalaries[[#This Row],[Costs per Person per year]]/GradesAndSalaries[[#This Row],[Target Utilization]])/12/160,0),0)</f>
        <v>4449</v>
      </c>
      <c r="K10" s="24">
        <f>(GradesAndSalaries[[#This Row],[Max. Salary]]+GradesAndSalaries[[#This Row],[Overhead costs + TAX]])/160</f>
        <v>1868.75</v>
      </c>
      <c r="L10" s="20">
        <v>0.19</v>
      </c>
      <c r="M10">
        <f>SUMIF(Employee[Grade Status],GradesAndSalaries[[#This Row],[Grade]],Employee[FTE])</f>
        <v>0</v>
      </c>
      <c r="N10">
        <f>GradesAndSalaries[[#This Row],[FTE in Grade]]*GradesAndSalaries[[#This Row],[Overhead costs multiplier]]</f>
        <v>0</v>
      </c>
      <c r="O10" s="6">
        <f>GradesAndSalaries[[#This Row],[Average Salary]]*GradesAndSalaries[[#This Row],[FTE in Grade]]*$O$2</f>
        <v>0</v>
      </c>
      <c r="P10" s="6" t="e">
        <f>$P$2/$N$2*GradesAndSalaries[[#This Row],[Overhead costs multiplier * FTE in Grade]]+GradesAndSalaries[[#This Row],[Average Salary TAX]]</f>
        <v>#DIV/0!</v>
      </c>
      <c r="Q10" s="70" t="e">
        <f>GradesAndSalaries[[#This Row],[Current Overhead costs + TAX]]/GradesAndSalaries[[#This Row],[Overhead costs + TAX]]</f>
        <v>#DIV/0!</v>
      </c>
      <c r="R10" s="6" t="e">
        <f>$R$2/$N$2*GradesAndSalaries[[#This Row],[Overhead costs multiplier * FTE in Grade]]+GradesAndSalaries[[#This Row],[Average Salary TAX]]</f>
        <v>#DIV/0!</v>
      </c>
      <c r="S10" s="6">
        <f>ROUND(IFERROR(((GradesAndSalaries[[#This Row],[Average Salary]]+GradesAndSalaries[[#This Row],[Min. Overhead costs + TAX]])/GradesAndSalaries[[#This Row],[Target Utilization]])/160,0),0)</f>
        <v>0</v>
      </c>
    </row>
    <row r="11" spans="1:19" x14ac:dyDescent="0.25">
      <c r="A11" s="656">
        <v>403</v>
      </c>
      <c r="B11" s="11">
        <f t="shared" si="0"/>
        <v>0.19999999999999993</v>
      </c>
      <c r="C11" s="8">
        <f>AVERAGE(GradesAndSalaries[[#This Row],[Min. Salary]],GradesAndSalaries[[#This Row],[Max. Salary]])</f>
        <v>224000</v>
      </c>
      <c r="D11" s="17">
        <f>ROUND((D10*(1+GradesAndSalaries[[#This Row],[Delta, %]])/1000),0)*1000</f>
        <v>185000</v>
      </c>
      <c r="E11" s="17">
        <f>ROUND((E10*(1+GradesAndSalaries[[#This Row],[Delta, %]])/1000),0)*1000</f>
        <v>263000</v>
      </c>
      <c r="F11" s="32">
        <v>2</v>
      </c>
      <c r="G11" s="24">
        <f>40000*GradesAndSalaries[[#This Row],[Overhead costs multiplier]]</f>
        <v>80000</v>
      </c>
      <c r="H11" s="20">
        <v>0.35</v>
      </c>
      <c r="I11" s="22">
        <f>(GradesAndSalaries[[#This Row],[Max. Salary]]+GradesAndSalaries[[#This Row],[Overhead costs + TAX]])*12</f>
        <v>4116000</v>
      </c>
      <c r="J11" s="24">
        <f>ROUND(IFERROR((GradesAndSalaries[[#This Row],[Costs per Person per year]]/GradesAndSalaries[[#This Row],[Target Utilization]])/12/160,0),0)</f>
        <v>6125</v>
      </c>
      <c r="K11" s="24">
        <f>(GradesAndSalaries[[#This Row],[Max. Salary]]+GradesAndSalaries[[#This Row],[Overhead costs + TAX]])/160</f>
        <v>2143.75</v>
      </c>
      <c r="L11" s="20">
        <v>0.19</v>
      </c>
      <c r="M11">
        <f>SUMIF(Employee[Grade Status],GradesAndSalaries[[#This Row],[Grade]],Employee[FTE])</f>
        <v>0</v>
      </c>
      <c r="N11">
        <f>GradesAndSalaries[[#This Row],[FTE in Grade]]*GradesAndSalaries[[#This Row],[Overhead costs multiplier]]</f>
        <v>0</v>
      </c>
      <c r="O11" s="6">
        <f>GradesAndSalaries[[#This Row],[Average Salary]]*GradesAndSalaries[[#This Row],[FTE in Grade]]*$O$2</f>
        <v>0</v>
      </c>
      <c r="P11" s="6" t="e">
        <f>$P$2/$N$2*GradesAndSalaries[[#This Row],[Overhead costs multiplier * FTE in Grade]]+GradesAndSalaries[[#This Row],[Average Salary TAX]]</f>
        <v>#DIV/0!</v>
      </c>
      <c r="Q11" s="70" t="e">
        <f>GradesAndSalaries[[#This Row],[Current Overhead costs + TAX]]/GradesAndSalaries[[#This Row],[Overhead costs + TAX]]</f>
        <v>#DIV/0!</v>
      </c>
      <c r="R11" s="6" t="e">
        <f>$R$2/$N$2*GradesAndSalaries[[#This Row],[Overhead costs multiplier * FTE in Grade]]+GradesAndSalaries[[#This Row],[Average Salary TAX]]</f>
        <v>#DIV/0!</v>
      </c>
      <c r="S11" s="6">
        <f>ROUND(IFERROR(((GradesAndSalaries[[#This Row],[Average Salary]]+GradesAndSalaries[[#This Row],[Min. Overhead costs + TAX]])/GradesAndSalaries[[#This Row],[Target Utilization]])/160,0),0)</f>
        <v>0</v>
      </c>
    </row>
    <row r="12" spans="1:19" x14ac:dyDescent="0.25">
      <c r="A12" s="656">
        <v>501</v>
      </c>
      <c r="B12" s="11">
        <f t="shared" si="0"/>
        <v>0.17499999999999993</v>
      </c>
      <c r="C12" s="8">
        <f>AVERAGE(GradesAndSalaries[[#This Row],[Min. Salary]],GradesAndSalaries[[#This Row],[Max. Salary]])</f>
        <v>263000</v>
      </c>
      <c r="D12" s="17">
        <f>ROUND((D11*(1+GradesAndSalaries[[#This Row],[Delta, %]])/1000),0)*1000</f>
        <v>217000</v>
      </c>
      <c r="E12" s="17">
        <f>ROUND((E11*(1+GradesAndSalaries[[#This Row],[Delta, %]])/1000),0)*1000</f>
        <v>309000</v>
      </c>
      <c r="F12" s="32">
        <v>3.5</v>
      </c>
      <c r="G12" s="24">
        <f>40000*GradesAndSalaries[[#This Row],[Overhead costs multiplier]]</f>
        <v>140000</v>
      </c>
      <c r="H12" s="20">
        <v>0.3</v>
      </c>
      <c r="I12" s="22">
        <f>(GradesAndSalaries[[#This Row],[Max. Salary]]+GradesAndSalaries[[#This Row],[Overhead costs + TAX]])*12</f>
        <v>5388000</v>
      </c>
      <c r="J12" s="24">
        <f>ROUND(IFERROR((GradesAndSalaries[[#This Row],[Costs per Person per year]]/GradesAndSalaries[[#This Row],[Target Utilization]])/12/160,0),0)</f>
        <v>9354</v>
      </c>
      <c r="K12" s="24">
        <f>(GradesAndSalaries[[#This Row],[Max. Salary]]+GradesAndSalaries[[#This Row],[Overhead costs + TAX]])/160</f>
        <v>2806.25</v>
      </c>
      <c r="L12" s="20">
        <v>0.32</v>
      </c>
      <c r="M12">
        <f>SUMIF(Employee[Grade Status],GradesAndSalaries[[#This Row],[Grade]],Employee[FTE])</f>
        <v>0</v>
      </c>
      <c r="N12">
        <f>GradesAndSalaries[[#This Row],[FTE in Grade]]*GradesAndSalaries[[#This Row],[Overhead costs multiplier]]</f>
        <v>0</v>
      </c>
      <c r="O12" s="6">
        <f>GradesAndSalaries[[#This Row],[Average Salary]]*GradesAndSalaries[[#This Row],[FTE in Grade]]*$O$2</f>
        <v>0</v>
      </c>
      <c r="P12" s="6" t="e">
        <f>$P$2/$N$2*GradesAndSalaries[[#This Row],[Overhead costs multiplier * FTE in Grade]]+GradesAndSalaries[[#This Row],[Average Salary TAX]]</f>
        <v>#DIV/0!</v>
      </c>
      <c r="Q12" s="70" t="e">
        <f>GradesAndSalaries[[#This Row],[Current Overhead costs + TAX]]/GradesAndSalaries[[#This Row],[Overhead costs + TAX]]</f>
        <v>#DIV/0!</v>
      </c>
      <c r="R12" s="6" t="e">
        <f>$R$2/$N$2*GradesAndSalaries[[#This Row],[Overhead costs multiplier * FTE in Grade]]+GradesAndSalaries[[#This Row],[Average Salary TAX]]</f>
        <v>#DIV/0!</v>
      </c>
      <c r="S12" s="6">
        <f>ROUND(IFERROR(((GradesAndSalaries[[#This Row],[Average Salary]]+GradesAndSalaries[[#This Row],[Min. Overhead costs + TAX]])/GradesAndSalaries[[#This Row],[Target Utilization]])/160,0),0)</f>
        <v>0</v>
      </c>
    </row>
    <row r="13" spans="1:19" x14ac:dyDescent="0.25">
      <c r="A13" s="656">
        <v>502</v>
      </c>
      <c r="B13" s="11">
        <f t="shared" si="0"/>
        <v>0.14999999999999994</v>
      </c>
      <c r="C13" s="8">
        <f>AVERAGE(GradesAndSalaries[[#This Row],[Min. Salary]],GradesAndSalaries[[#This Row],[Max. Salary]])</f>
        <v>302500</v>
      </c>
      <c r="D13" s="17">
        <f>ROUND((D12*(1+GradesAndSalaries[[#This Row],[Delta, %]])/1000),0)*1000</f>
        <v>250000</v>
      </c>
      <c r="E13" s="17">
        <f>ROUND((E12*(1+GradesAndSalaries[[#This Row],[Delta, %]])/1000),0)*1000</f>
        <v>355000</v>
      </c>
      <c r="F13" s="32">
        <v>3.5</v>
      </c>
      <c r="G13" s="24">
        <f>40000*GradesAndSalaries[[#This Row],[Overhead costs multiplier]]</f>
        <v>140000</v>
      </c>
      <c r="H13" s="20">
        <v>0.25</v>
      </c>
      <c r="I13" s="22">
        <f>(GradesAndSalaries[[#This Row],[Max. Salary]]+GradesAndSalaries[[#This Row],[Overhead costs + TAX]])*12</f>
        <v>5940000</v>
      </c>
      <c r="J13" s="24">
        <f>ROUND(IFERROR((GradesAndSalaries[[#This Row],[Costs per Person per year]]/GradesAndSalaries[[#This Row],[Target Utilization]])/12/160,0),0)</f>
        <v>12375</v>
      </c>
      <c r="K13" s="24">
        <f>(GradesAndSalaries[[#This Row],[Max. Salary]]+GradesAndSalaries[[#This Row],[Overhead costs + TAX]])/160</f>
        <v>3093.75</v>
      </c>
      <c r="L13" s="20">
        <v>0.32</v>
      </c>
      <c r="M13">
        <f>SUMIF(Employee[Grade Status],GradesAndSalaries[[#This Row],[Grade]],Employee[FTE])</f>
        <v>0</v>
      </c>
      <c r="N13">
        <f>GradesAndSalaries[[#This Row],[FTE in Grade]]*GradesAndSalaries[[#This Row],[Overhead costs multiplier]]</f>
        <v>0</v>
      </c>
      <c r="O13" s="6">
        <f>GradesAndSalaries[[#This Row],[Average Salary]]*GradesAndSalaries[[#This Row],[FTE in Grade]]*$O$2</f>
        <v>0</v>
      </c>
      <c r="P13" s="6" t="e">
        <f>$P$2/$N$2*GradesAndSalaries[[#This Row],[Overhead costs multiplier * FTE in Grade]]+GradesAndSalaries[[#This Row],[Average Salary TAX]]</f>
        <v>#DIV/0!</v>
      </c>
      <c r="Q13" s="70" t="e">
        <f>GradesAndSalaries[[#This Row],[Current Overhead costs + TAX]]/GradesAndSalaries[[#This Row],[Overhead costs + TAX]]</f>
        <v>#DIV/0!</v>
      </c>
      <c r="R13" s="6" t="e">
        <f>$R$2/$N$2*GradesAndSalaries[[#This Row],[Overhead costs multiplier * FTE in Grade]]+GradesAndSalaries[[#This Row],[Average Salary TAX]]</f>
        <v>#DIV/0!</v>
      </c>
      <c r="S13" s="6">
        <f>ROUND(IFERROR(((GradesAndSalaries[[#This Row],[Average Salary]]+GradesAndSalaries[[#This Row],[Min. Overhead costs + TAX]])/GradesAndSalaries[[#This Row],[Target Utilization]])/160,0),0)</f>
        <v>0</v>
      </c>
    </row>
    <row r="14" spans="1:19" x14ac:dyDescent="0.25">
      <c r="A14" s="656">
        <v>503</v>
      </c>
      <c r="B14" s="11">
        <f t="shared" si="0"/>
        <v>0.12499999999999993</v>
      </c>
      <c r="C14" s="8">
        <f>AVERAGE(GradesAndSalaries[[#This Row],[Min. Salary]],GradesAndSalaries[[#This Row],[Max. Salary]])</f>
        <v>340000</v>
      </c>
      <c r="D14" s="17">
        <f>ROUND((D13*(1+GradesAndSalaries[[#This Row],[Delta, %]])/1000),0)*1000</f>
        <v>281000</v>
      </c>
      <c r="E14" s="17">
        <f>ROUND((E13*(1+GradesAndSalaries[[#This Row],[Delta, %]])/1000),0)*1000</f>
        <v>399000</v>
      </c>
      <c r="F14" s="32">
        <v>3.5</v>
      </c>
      <c r="G14" s="24">
        <f>40000*GradesAndSalaries[[#This Row],[Overhead costs multiplier]]</f>
        <v>140000</v>
      </c>
      <c r="H14" s="20">
        <v>0.2</v>
      </c>
      <c r="I14" s="22">
        <f>(GradesAndSalaries[[#This Row],[Max. Salary]]+GradesAndSalaries[[#This Row],[Overhead costs + TAX]])*12</f>
        <v>6468000</v>
      </c>
      <c r="J14" s="24">
        <f>ROUND(IFERROR((GradesAndSalaries[[#This Row],[Costs per Person per year]]/GradesAndSalaries[[#This Row],[Target Utilization]])/12/160,0),0)</f>
        <v>16844</v>
      </c>
      <c r="K14" s="24">
        <f>(GradesAndSalaries[[#This Row],[Max. Salary]]+GradesAndSalaries[[#This Row],[Overhead costs + TAX]])/160</f>
        <v>3368.75</v>
      </c>
      <c r="L14" s="20">
        <v>0.32</v>
      </c>
      <c r="M14">
        <f>SUMIF(Employee[Grade Status],GradesAndSalaries[[#This Row],[Grade]],Employee[FTE])</f>
        <v>0</v>
      </c>
      <c r="N14">
        <f>GradesAndSalaries[[#This Row],[FTE in Grade]]*GradesAndSalaries[[#This Row],[Overhead costs multiplier]]</f>
        <v>0</v>
      </c>
      <c r="O14" s="6">
        <f>GradesAndSalaries[[#This Row],[Average Salary]]*GradesAndSalaries[[#This Row],[FTE in Grade]]*$O$2</f>
        <v>0</v>
      </c>
      <c r="P14" s="6" t="e">
        <f>$P$2/$N$2*GradesAndSalaries[[#This Row],[Overhead costs multiplier * FTE in Grade]]+GradesAndSalaries[[#This Row],[Average Salary TAX]]</f>
        <v>#DIV/0!</v>
      </c>
      <c r="Q14" s="70" t="e">
        <f>GradesAndSalaries[[#This Row],[Current Overhead costs + TAX]]/GradesAndSalaries[[#This Row],[Overhead costs + TAX]]</f>
        <v>#DIV/0!</v>
      </c>
      <c r="R14" s="6" t="e">
        <f>$R$2/$N$2*GradesAndSalaries[[#This Row],[Overhead costs multiplier * FTE in Grade]]+GradesAndSalaries[[#This Row],[Average Salary TAX]]</f>
        <v>#DIV/0!</v>
      </c>
      <c r="S14" s="6">
        <f>ROUND(IFERROR(((GradesAndSalaries[[#This Row],[Average Salary]]+GradesAndSalaries[[#This Row],[Min. Overhead costs + TAX]])/GradesAndSalaries[[#This Row],[Target Utilization]])/160,0),0)</f>
        <v>0</v>
      </c>
    </row>
    <row r="15" spans="1:19" x14ac:dyDescent="0.25">
      <c r="A15" s="656">
        <v>601</v>
      </c>
      <c r="B15" s="13">
        <v>0.1</v>
      </c>
      <c r="C15" s="8">
        <f>AVERAGE(GradesAndSalaries[[#This Row],[Min. Salary]],GradesAndSalaries[[#This Row],[Max. Salary]])</f>
        <v>374000</v>
      </c>
      <c r="D15" s="17">
        <f>ROUND((D14*(1+GradesAndSalaries[[#This Row],[Delta, %]])/1000),0)*1000</f>
        <v>309000</v>
      </c>
      <c r="E15" s="17">
        <f>ROUND((E14*(1+GradesAndSalaries[[#This Row],[Delta, %]])/1000),0)*1000</f>
        <v>439000</v>
      </c>
      <c r="F15" s="32">
        <v>3.5</v>
      </c>
      <c r="G15" s="24">
        <f>40000*GradesAndSalaries[[#This Row],[Overhead costs multiplier]]</f>
        <v>140000</v>
      </c>
      <c r="H15" s="20">
        <v>0.2</v>
      </c>
      <c r="I15" s="22">
        <f>(GradesAndSalaries[[#This Row],[Max. Salary]]+GradesAndSalaries[[#This Row],[Overhead costs + TAX]])*12</f>
        <v>6948000</v>
      </c>
      <c r="J15" s="24">
        <f>ROUND(IFERROR((GradesAndSalaries[[#This Row],[Costs per Person per year]]/GradesAndSalaries[[#This Row],[Target Utilization]])/12/160,0),0)</f>
        <v>18094</v>
      </c>
      <c r="K15" s="24">
        <f>(GradesAndSalaries[[#This Row],[Max. Salary]]+GradesAndSalaries[[#This Row],[Overhead costs + TAX]])/160</f>
        <v>3618.75</v>
      </c>
      <c r="L15" s="20">
        <v>0.39</v>
      </c>
      <c r="M15">
        <f>SUMIF(Employee[Grade Status],GradesAndSalaries[[#This Row],[Grade]],Employee[FTE])</f>
        <v>0</v>
      </c>
      <c r="N15">
        <f>GradesAndSalaries[[#This Row],[FTE in Grade]]*GradesAndSalaries[[#This Row],[Overhead costs multiplier]]</f>
        <v>0</v>
      </c>
      <c r="O15" s="6">
        <f>GradesAndSalaries[[#This Row],[Average Salary]]*GradesAndSalaries[[#This Row],[FTE in Grade]]*$O$2</f>
        <v>0</v>
      </c>
      <c r="P15" s="6" t="e">
        <f>$P$2/$N$2*GradesAndSalaries[[#This Row],[Overhead costs multiplier * FTE in Grade]]+GradesAndSalaries[[#This Row],[Average Salary TAX]]</f>
        <v>#DIV/0!</v>
      </c>
      <c r="Q15" s="70" t="e">
        <f>GradesAndSalaries[[#This Row],[Current Overhead costs + TAX]]/GradesAndSalaries[[#This Row],[Overhead costs + TAX]]</f>
        <v>#DIV/0!</v>
      </c>
      <c r="R15" s="6" t="e">
        <f>$R$2/$N$2*GradesAndSalaries[[#This Row],[Overhead costs multiplier * FTE in Grade]]+GradesAndSalaries[[#This Row],[Average Salary TAX]]</f>
        <v>#DIV/0!</v>
      </c>
      <c r="S15" s="6">
        <f>ROUND(IFERROR(((GradesAndSalaries[[#This Row],[Average Salary]]+GradesAndSalaries[[#This Row],[Min. Overhead costs + TAX]])/GradesAndSalaries[[#This Row],[Target Utilization]])/160,0),0)</f>
        <v>0</v>
      </c>
    </row>
  </sheetData>
  <pageMargins left="0.7" right="0.7" top="0.75" bottom="0.75" header="0.3" footer="0.3"/>
  <ignoredErrors>
    <ignoredError sqref="N2:N15 C2" calculatedColumn="1"/>
  </ignoredErrors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47"/>
  <sheetViews>
    <sheetView topLeftCell="A22" workbookViewId="0">
      <selection activeCell="E52" sqref="E52"/>
    </sheetView>
  </sheetViews>
  <sheetFormatPr defaultRowHeight="15" x14ac:dyDescent="0.25"/>
  <cols>
    <col min="1" max="1" width="24.7109375" style="199" customWidth="1"/>
    <col min="2" max="2" width="18.42578125" customWidth="1"/>
    <col min="3" max="3" width="18.28515625" customWidth="1"/>
    <col min="4" max="4" width="10.28515625" bestFit="1" customWidth="1"/>
    <col min="5" max="5" width="10" customWidth="1"/>
    <col min="6" max="6" width="14.28515625" customWidth="1"/>
    <col min="7" max="7" width="12.28515625" bestFit="1" customWidth="1"/>
    <col min="14" max="14" width="96.7109375" customWidth="1"/>
  </cols>
  <sheetData>
    <row r="1" spans="1:14" ht="45" x14ac:dyDescent="0.25">
      <c r="A1" s="198" t="s">
        <v>71</v>
      </c>
      <c r="B1" s="1" t="s">
        <v>472</v>
      </c>
      <c r="C1" s="1" t="s">
        <v>473</v>
      </c>
      <c r="D1" s="1" t="s">
        <v>697</v>
      </c>
      <c r="E1" s="1" t="s">
        <v>445</v>
      </c>
      <c r="F1" s="1" t="s">
        <v>718</v>
      </c>
      <c r="G1" s="1" t="s">
        <v>729</v>
      </c>
      <c r="H1" s="1" t="s">
        <v>1629</v>
      </c>
    </row>
    <row r="2" spans="1:14" x14ac:dyDescent="0.25">
      <c r="A2" s="199" t="s">
        <v>475</v>
      </c>
      <c r="B2" t="str">
        <f t="array" ref="B2">INDEX(Salary[],LARGE(IF((Salary[Employee]=Employee[[#This Row],[Employee]]),Salary[№],""),1),MATCH(Salary[[#Headers],[Position]],Salary[#Headers],0))</f>
        <v>Fired</v>
      </c>
      <c r="C2">
        <f>INDEX(Salary[],LARGE(IF((Salary[[#This Row],[Employee]]=Employee[[#This Row],[Employee]]),Salary[№],""),1),MATCH(Salary[[#Headers],[Grade]],Salary[#Headers],0))</f>
        <v>202</v>
      </c>
      <c r="D2">
        <f t="array" ref="D2">INDEX(Salary[],LARGE(IF((Salary[Employee]=Employee[[#This Row],[Employee]]),Salary[№],""),1),MATCH(Employee[[#Headers],[FTE]],Salary[#Headers],0))</f>
        <v>0</v>
      </c>
      <c r="E2">
        <f>INDEX(GradesAndSalaries[],MATCH(Employee[[#This Row],[Grade Status]],GradesAndSalaries[Grade],0),MATCH("Target Utilization",GradesAndSalaries[#Headers],0))</f>
        <v>0.75</v>
      </c>
      <c r="F2" s="8">
        <f>INDEX(GradesAndSalaries[],MATCH(Employee[[#This Row],[Grade Status]],GradesAndSalaries[Grade],0),MATCH(Employee[[#Headers],[Base Budgeting COST]],GradesAndSalaries[#Headers],0))</f>
        <v>875</v>
      </c>
      <c r="G2" s="8">
        <f t="array" ref="G2">INDEX(GradesAndSalaries[],MATCH(Employee[[#This Row],[Grade Status]],GradesAndSalaries[Grade],0),MATCH(Employee[[#Headers],[Min. Budgeting COST]],GradesAndSalaries[#Headers],0))</f>
        <v>0</v>
      </c>
    </row>
    <row r="3" spans="1:14" x14ac:dyDescent="0.25">
      <c r="A3" s="199" t="s">
        <v>478</v>
      </c>
      <c r="B3" t="str">
        <f t="array" ref="B3">INDEX(Salary[],LARGE(IF((Salary[Employee]=Employee[[#This Row],[Employee]]),Salary[№],""),1),MATCH(Salary[[#Headers],[Position]],Salary[#Headers],0))</f>
        <v>Fired</v>
      </c>
      <c r="C3" t="e">
        <f>INDEX(Salary[],LARGE(IF((Salary[[#This Row],[Employee]]=Employee[[#This Row],[Employee]]),Salary[№],""),1),MATCH(Salary[[#Headers],[Grade]],Salary[#Headers],0))</f>
        <v>#VALUE!</v>
      </c>
      <c r="D3">
        <f t="array" ref="D3">INDEX(Salary[],LARGE(IF((Salary[Employee]=Employee[[#This Row],[Employee]]),Salary[№],""),1),MATCH(Employee[[#Headers],[FTE]],Salary[#Headers],0))</f>
        <v>0</v>
      </c>
      <c r="E3" t="e">
        <f>INDEX(GradesAndSalaries[],MATCH(Employee[[#This Row],[Grade Status]],GradesAndSalaries[Grade],0),MATCH("Target Utilization",GradesAndSalaries[#Headers],0))</f>
        <v>#VALUE!</v>
      </c>
      <c r="F3" s="8" t="e">
        <f>INDEX(GradesAndSalaries[],MATCH(Employee[[#This Row],[Grade Status]],GradesAndSalaries[Grade],0),MATCH(Employee[[#Headers],[Base Budgeting COST]],GradesAndSalaries[#Headers],0))</f>
        <v>#VALUE!</v>
      </c>
      <c r="G3" s="8" t="e">
        <f t="array" ref="G3">INDEX(GradesAndSalaries[],MATCH(Employee[[#This Row],[Grade Status]],GradesAndSalaries[Grade],0),MATCH(Employee[[#Headers],[Min. Budgeting COST]],GradesAndSalaries[#Headers],0))</f>
        <v>#VALUE!</v>
      </c>
    </row>
    <row r="4" spans="1:14" x14ac:dyDescent="0.25">
      <c r="A4" s="199" t="s">
        <v>75</v>
      </c>
      <c r="B4" t="str">
        <f t="array" ref="B4">INDEX(Salary[],LARGE(IF((Salary[Employee]=Employee[[#This Row],[Employee]]),Salary[№],""),1),MATCH(Salary[[#Headers],[Position]],Salary[#Headers],0))</f>
        <v>Project Manager 1</v>
      </c>
      <c r="C4" t="e">
        <f>INDEX(Salary[],LARGE(IF((Salary[[#This Row],[Employee]]=Employee[[#This Row],[Employee]]),Salary[№],""),1),MATCH(Salary[[#Headers],[Grade]],Salary[#Headers],0))</f>
        <v>#VALUE!</v>
      </c>
      <c r="D4">
        <f t="array" ref="D4">INDEX(Salary[],LARGE(IF((Salary[Employee]=Employee[[#This Row],[Employee]]),Salary[№],""),1),MATCH(Employee[[#Headers],[FTE]],Salary[#Headers],0))</f>
        <v>1</v>
      </c>
      <c r="E4" t="e">
        <f>INDEX(GradesAndSalaries[],MATCH(Employee[[#This Row],[Grade Status]],GradesAndSalaries[Grade],0),MATCH("Target Utilization",GradesAndSalaries[#Headers],0))</f>
        <v>#VALUE!</v>
      </c>
      <c r="F4" s="8" t="e">
        <f>INDEX(GradesAndSalaries[],MATCH(Employee[[#This Row],[Grade Status]],GradesAndSalaries[Grade],0),MATCH(Employee[[#Headers],[Base Budgeting COST]],GradesAndSalaries[#Headers],0))</f>
        <v>#VALUE!</v>
      </c>
      <c r="G4" s="8" t="e">
        <f t="array" ref="G4">INDEX(GradesAndSalaries[],MATCH(Employee[[#This Row],[Grade Status]],GradesAndSalaries[Grade],0),MATCH(Employee[[#Headers],[Min. Budgeting COST]],GradesAndSalaries[#Headers],0))</f>
        <v>#VALUE!</v>
      </c>
    </row>
    <row r="5" spans="1:14" x14ac:dyDescent="0.25">
      <c r="A5" s="199">
        <v>3029</v>
      </c>
      <c r="B5" t="str">
        <f t="array" ref="B5">INDEX(Salary[],LARGE(IF((Salary[Employee]=Employee[[#This Row],[Employee]]),Salary[№],""),1),MATCH(Salary[[#Headers],[Position]],Salary[#Headers],0))</f>
        <v>Еngineer 2</v>
      </c>
      <c r="C5" t="e">
        <f>INDEX(Salary[],LARGE(IF((Salary[[#This Row],[Employee]]=Employee[[#This Row],[Employee]]),Salary[№],""),1),MATCH(Salary[[#Headers],[Grade]],Salary[#Headers],0))</f>
        <v>#VALUE!</v>
      </c>
      <c r="D5">
        <f t="array" ref="D5">INDEX(Salary[],LARGE(IF((Salary[Employee]=Employee[[#This Row],[Employee]]),Salary[№],""),1),MATCH(Employee[[#Headers],[FTE]],Salary[#Headers],0))</f>
        <v>0.37</v>
      </c>
      <c r="E5" t="e">
        <f>INDEX(GradesAndSalaries[],MATCH(Employee[[#This Row],[Grade Status]],GradesAndSalaries[Grade],0),MATCH("Target Utilization",GradesAndSalaries[#Headers],0))</f>
        <v>#VALUE!</v>
      </c>
      <c r="F5" s="8" t="e">
        <f>INDEX(GradesAndSalaries[],MATCH(Employee[[#This Row],[Grade Status]],GradesAndSalaries[Grade],0),MATCH(Employee[[#Headers],[Base Budgeting COST]],GradesAndSalaries[#Headers],0))</f>
        <v>#VALUE!</v>
      </c>
      <c r="G5" s="8" t="e">
        <f t="array" ref="G5">INDEX(GradesAndSalaries[],MATCH(Employee[[#This Row],[Grade Status]],GradesAndSalaries[Grade],0),MATCH(Employee[[#Headers],[Min. Budgeting COST]],GradesAndSalaries[#Headers],0))</f>
        <v>#VALUE!</v>
      </c>
      <c r="N5" s="1"/>
    </row>
    <row r="6" spans="1:14" x14ac:dyDescent="0.25">
      <c r="A6" s="199" t="s">
        <v>888</v>
      </c>
      <c r="B6" t="str">
        <f t="array" ref="B6">INDEX(Salary[],LARGE(IF((Salary[Employee]=Employee[[#This Row],[Employee]]),Salary[№],""),1),MATCH(Salary[[#Headers],[Position]],Salary[#Headers],0))</f>
        <v>Fired</v>
      </c>
      <c r="C6" t="e">
        <f>INDEX(Salary[],LARGE(IF((Salary[[#This Row],[Employee]]=Employee[[#This Row],[Employee]]),Salary[№],""),1),MATCH(Salary[[#Headers],[Grade]],Salary[#Headers],0))</f>
        <v>#VALUE!</v>
      </c>
      <c r="D6">
        <f t="array" ref="D6">INDEX(Salary[],LARGE(IF((Salary[Employee]=Employee[[#This Row],[Employee]]),Salary[№],""),1),MATCH(Employee[[#Headers],[FTE]],Salary[#Headers],0))</f>
        <v>0.5</v>
      </c>
      <c r="E6" t="e">
        <f>INDEX(GradesAndSalaries[],MATCH(Employee[[#This Row],[Grade Status]],GradesAndSalaries[Grade],0),MATCH("Target Utilization",GradesAndSalaries[#Headers],0))</f>
        <v>#VALUE!</v>
      </c>
      <c r="F6" s="8" t="e">
        <f>INDEX(GradesAndSalaries[],MATCH(Employee[[#This Row],[Grade Status]],GradesAndSalaries[Grade],0),MATCH(Employee[[#Headers],[Base Budgeting COST]],GradesAndSalaries[#Headers],0))</f>
        <v>#VALUE!</v>
      </c>
      <c r="G6" s="8" t="e">
        <f t="array" ref="G6">INDEX(GradesAndSalaries[],MATCH(Employee[[#This Row],[Grade Status]],GradesAndSalaries[Grade],0),MATCH(Employee[[#Headers],[Min. Budgeting COST]],GradesAndSalaries[#Headers],0))</f>
        <v>#VALUE!</v>
      </c>
    </row>
    <row r="7" spans="1:14" x14ac:dyDescent="0.25">
      <c r="A7" s="199" t="s">
        <v>324</v>
      </c>
      <c r="B7" t="str">
        <f t="array" ref="B7">INDEX(Salary[],LARGE(IF((Salary[Employee]=Employee[[#This Row],[Employee]]),Salary[№],""),1),MATCH(Salary[[#Headers],[Position]],Salary[#Headers],0))</f>
        <v>Fired</v>
      </c>
      <c r="C7" t="e">
        <f>INDEX(Salary[],LARGE(IF((Salary[[#This Row],[Employee]]=Employee[[#This Row],[Employee]]),Salary[№],""),1),MATCH(Salary[[#Headers],[Grade]],Salary[#Headers],0))</f>
        <v>#VALUE!</v>
      </c>
      <c r="D7">
        <f t="array" ref="D7">INDEX(Salary[],LARGE(IF((Salary[Employee]=Employee[[#This Row],[Employee]]),Salary[№],""),1),MATCH(Employee[[#Headers],[FTE]],Salary[#Headers],0))</f>
        <v>0</v>
      </c>
      <c r="E7" t="e">
        <f>INDEX(GradesAndSalaries[],MATCH(Employee[[#This Row],[Grade Status]],GradesAndSalaries[Grade],0),MATCH("Target Utilization",GradesAndSalaries[#Headers],0))</f>
        <v>#VALUE!</v>
      </c>
      <c r="F7" s="8" t="e">
        <f>INDEX(GradesAndSalaries[],MATCH(Employee[[#This Row],[Grade Status]],GradesAndSalaries[Grade],0),MATCH(Employee[[#Headers],[Base Budgeting COST]],GradesAndSalaries[#Headers],0))</f>
        <v>#VALUE!</v>
      </c>
      <c r="G7" s="8" t="e">
        <f t="array" ref="G7">INDEX(GradesAndSalaries[],MATCH(Employee[[#This Row],[Grade Status]],GradesAndSalaries[Grade],0),MATCH(Employee[[#Headers],[Min. Budgeting COST]],GradesAndSalaries[#Headers],0))</f>
        <v>#VALUE!</v>
      </c>
    </row>
    <row r="8" spans="1:14" x14ac:dyDescent="0.25">
      <c r="A8" s="200" t="s">
        <v>865</v>
      </c>
      <c r="B8" s="90" t="str">
        <f t="array" ref="B8">INDEX(Salary[],LARGE(IF((Salary[Employee]=Employee[[#This Row],[Employee]]),Salary[№],""),1),MATCH(Salary[[#Headers],[Position]],Salary[#Headers],0))</f>
        <v>Fired</v>
      </c>
      <c r="C8" t="e">
        <f>INDEX(Salary[],LARGE(IF((Salary[[#This Row],[Employee]]=Employee[[#This Row],[Employee]]),Salary[№],""),1),MATCH(Salary[[#Headers],[Grade]],Salary[#Headers],0))</f>
        <v>#VALUE!</v>
      </c>
      <c r="D8" s="90">
        <f t="array" ref="D8">INDEX(Salary[],LARGE(IF((Salary[Employee]=Employee[[#This Row],[Employee]]),Salary[№],""),1),MATCH(Employee[[#Headers],[FTE]],Salary[#Headers],0))</f>
        <v>0.5</v>
      </c>
      <c r="E8" s="90" t="e">
        <f>INDEX(GradesAndSalaries[],MATCH(Employee[[#This Row],[Grade Status]],GradesAndSalaries[Grade],0),MATCH("Target Utilization",GradesAndSalaries[#Headers],0))</f>
        <v>#VALUE!</v>
      </c>
      <c r="F8" s="8" t="e">
        <f>INDEX(GradesAndSalaries[],MATCH(Employee[[#This Row],[Grade Status]],GradesAndSalaries[Grade],0),MATCH(Employee[[#Headers],[Base Budgeting COST]],GradesAndSalaries[#Headers],0))</f>
        <v>#VALUE!</v>
      </c>
      <c r="G8" s="8" t="e">
        <f t="array" ref="G8">INDEX(GradesAndSalaries[],MATCH(Employee[[#This Row],[Grade Status]],GradesAndSalaries[Grade],0),MATCH(Employee[[#Headers],[Min. Budgeting COST]],GradesAndSalaries[#Headers],0))</f>
        <v>#VALUE!</v>
      </c>
    </row>
    <row r="9" spans="1:14" x14ac:dyDescent="0.25">
      <c r="A9" s="199" t="s">
        <v>73</v>
      </c>
      <c r="B9" t="str">
        <f t="array" ref="B9">INDEX(Salary[],LARGE(IF((Salary[Employee]=Employee[[#This Row],[Employee]]),Salary[№],""),1),MATCH(Salary[[#Headers],[Position]],Salary[#Headers],0))</f>
        <v>Fired</v>
      </c>
      <c r="C9" t="e">
        <f>INDEX(Salary[],LARGE(IF((Salary[[#This Row],[Employee]]=Employee[[#This Row],[Employee]]),Salary[№],""),1),MATCH(Salary[[#Headers],[Grade]],Salary[#Headers],0))</f>
        <v>#VALUE!</v>
      </c>
      <c r="D9">
        <f t="array" ref="D9">INDEX(Salary[],LARGE(IF((Salary[Employee]=Employee[[#This Row],[Employee]]),Salary[№],""),1),MATCH(Employee[[#Headers],[FTE]],Salary[#Headers],0))</f>
        <v>0</v>
      </c>
      <c r="E9" t="e">
        <f>INDEX(GradesAndSalaries[],MATCH(Employee[[#This Row],[Grade Status]],GradesAndSalaries[Grade],0),MATCH("Target Utilization",GradesAndSalaries[#Headers],0))</f>
        <v>#VALUE!</v>
      </c>
      <c r="F9" s="8" t="e">
        <f>INDEX(GradesAndSalaries[],MATCH(Employee[[#This Row],[Grade Status]],GradesAndSalaries[Grade],0),MATCH(Employee[[#Headers],[Base Budgeting COST]],GradesAndSalaries[#Headers],0))</f>
        <v>#VALUE!</v>
      </c>
      <c r="G9" s="8" t="e">
        <f t="array" ref="G9">INDEX(GradesAndSalaries[],MATCH(Employee[[#This Row],[Grade Status]],GradesAndSalaries[Grade],0),MATCH(Employee[[#Headers],[Min. Budgeting COST]],GradesAndSalaries[#Headers],0))</f>
        <v>#VALUE!</v>
      </c>
    </row>
    <row r="10" spans="1:14" x14ac:dyDescent="0.25">
      <c r="A10" s="198" t="s">
        <v>262</v>
      </c>
      <c r="B10" t="str">
        <f t="array" ref="B10">INDEX(Salary[],LARGE(IF((Salary[Employee]=Employee[[#This Row],[Employee]]),Salary[№],""),1),MATCH(Salary[[#Headers],[Position]],Salary[#Headers],0))</f>
        <v>Product Manager 1</v>
      </c>
      <c r="C10" t="e">
        <f>INDEX(Salary[],LARGE(IF((Salary[[#This Row],[Employee]]=Employee[[#This Row],[Employee]]),Salary[№],""),1),MATCH(Salary[[#Headers],[Grade]],Salary[#Headers],0))</f>
        <v>#VALUE!</v>
      </c>
      <c r="D10">
        <f t="array" ref="D10">INDEX(Salary[],LARGE(IF((Salary[Employee]=Employee[[#This Row],[Employee]]),Salary[№],""),1),MATCH(Employee[[#Headers],[FTE]],Salary[#Headers],0))</f>
        <v>1</v>
      </c>
      <c r="E10" t="e">
        <f>INDEX(GradesAndSalaries[],MATCH(Employee[[#This Row],[Grade Status]],GradesAndSalaries[Grade],0),MATCH("Target Utilization",GradesAndSalaries[#Headers],0))</f>
        <v>#VALUE!</v>
      </c>
      <c r="F10" s="8" t="e">
        <f>INDEX(GradesAndSalaries[],MATCH(Employee[[#This Row],[Grade Status]],GradesAndSalaries[Grade],0),MATCH(Employee[[#Headers],[Base Budgeting COST]],GradesAndSalaries[#Headers],0))</f>
        <v>#VALUE!</v>
      </c>
      <c r="G10" s="8" t="e">
        <f t="array" ref="G10">INDEX(GradesAndSalaries[],MATCH(Employee[[#This Row],[Grade Status]],GradesAndSalaries[Grade],0),MATCH(Employee[[#Headers],[Min. Budgeting COST]],GradesAndSalaries[#Headers],0))</f>
        <v>#VALUE!</v>
      </c>
    </row>
    <row r="11" spans="1:14" x14ac:dyDescent="0.25">
      <c r="A11" s="199" t="s">
        <v>1562</v>
      </c>
      <c r="B11" s="136" t="str">
        <f t="array" ref="B11">INDEX(Salary[],LARGE(IF((Salary[Employee]=Employee[[#This Row],[Employee]]),Salary[№],""),1),MATCH(Salary[[#Headers],[Position]],Salary[#Headers],0))</f>
        <v>Fired</v>
      </c>
      <c r="C11" t="e">
        <f>INDEX(Salary[],LARGE(IF((Salary[[#This Row],[Employee]]=Employee[[#This Row],[Employee]]),Salary[№],""),1),MATCH(Salary[[#Headers],[Grade]],Salary[#Headers],0))</f>
        <v>#VALUE!</v>
      </c>
      <c r="D11" s="136">
        <f t="array" ref="D11">INDEX(Salary[],LARGE(IF((Salary[Employee]=Employee[[#This Row],[Employee]]),Salary[№],""),1),MATCH(Employee[[#Headers],[FTE]],Salary[#Headers],0))</f>
        <v>0</v>
      </c>
      <c r="E11" s="136" t="e">
        <f>INDEX(GradesAndSalaries[],MATCH(Employee[[#This Row],[Grade Status]],GradesAndSalaries[Grade],0),MATCH("Target Utilization",GradesAndSalaries[#Headers],0))</f>
        <v>#VALUE!</v>
      </c>
      <c r="F11" s="155" t="e">
        <f>INDEX(GradesAndSalaries[],MATCH(Employee[[#This Row],[Grade Status]],GradesAndSalaries[Grade],0),MATCH(Employee[[#Headers],[Base Budgeting COST]],GradesAndSalaries[#Headers],0))</f>
        <v>#VALUE!</v>
      </c>
      <c r="G11" s="155" t="e">
        <f t="array" ref="G11">INDEX(GradesAndSalaries[],MATCH(Employee[[#This Row],[Grade Status]],GradesAndSalaries[Grade],0),MATCH(Employee[[#Headers],[Min. Budgeting COST]],GradesAndSalaries[#Headers],0))</f>
        <v>#VALUE!</v>
      </c>
    </row>
    <row r="12" spans="1:14" x14ac:dyDescent="0.25">
      <c r="A12" s="199">
        <v>2803</v>
      </c>
      <c r="B12" t="str">
        <f t="array" ref="B12">INDEX(Salary[],LARGE(IF((Salary[Employee]=Employee[[#This Row],[Employee]]),Salary[№],""),1),MATCH(Salary[[#Headers],[Position]],Salary[#Headers],0))</f>
        <v>Project Manager 3</v>
      </c>
      <c r="C12" t="e">
        <f>INDEX(Salary[],LARGE(IF((Salary[[#This Row],[Employee]]=Employee[[#This Row],[Employee]]),Salary[№],""),1),MATCH(Salary[[#Headers],[Grade]],Salary[#Headers],0))</f>
        <v>#VALUE!</v>
      </c>
      <c r="D12">
        <f t="array" ref="D12">INDEX(Salary[],LARGE(IF((Salary[Employee]=Employee[[#This Row],[Employee]]),Salary[№],""),1),MATCH(Employee[[#Headers],[FTE]],Salary[#Headers],0))</f>
        <v>0.2</v>
      </c>
      <c r="E12" t="e">
        <f>INDEX(GradesAndSalaries[],MATCH(Employee[[#This Row],[Grade Status]],GradesAndSalaries[Grade],0),MATCH("Target Utilization",GradesAndSalaries[#Headers],0))</f>
        <v>#VALUE!</v>
      </c>
      <c r="F12" s="8" t="e">
        <f>INDEX(GradesAndSalaries[],MATCH(Employee[[#This Row],[Grade Status]],GradesAndSalaries[Grade],0),MATCH(Employee[[#Headers],[Base Budgeting COST]],GradesAndSalaries[#Headers],0))</f>
        <v>#VALUE!</v>
      </c>
      <c r="G12" s="8" t="e">
        <f t="array" ref="G12">INDEX(GradesAndSalaries[],MATCH(Employee[[#This Row],[Grade Status]],GradesAndSalaries[Grade],0),MATCH(Employee[[#Headers],[Min. Budgeting COST]],GradesAndSalaries[#Headers],0))</f>
        <v>#VALUE!</v>
      </c>
    </row>
    <row r="13" spans="1:14" x14ac:dyDescent="0.25">
      <c r="A13" s="199">
        <v>6181</v>
      </c>
      <c r="B13" t="str">
        <f t="array" ref="B13">INDEX(Salary[],LARGE(IF((Salary[Employee]=Employee[[#This Row],[Employee]]),Salary[№],""),1),MATCH(Salary[[#Headers],[Position]],Salary[#Headers],0))</f>
        <v>Lead Еngineer 3</v>
      </c>
      <c r="C13" t="e">
        <f>INDEX(Salary[],LARGE(IF((Salary[[#This Row],[Employee]]=Employee[[#This Row],[Employee]]),Salary[№],""),1),MATCH(Salary[[#Headers],[Grade]],Salary[#Headers],0))</f>
        <v>#VALUE!</v>
      </c>
      <c r="D13">
        <f t="array" ref="D13">INDEX(Salary[],LARGE(IF((Salary[Employee]=Employee[[#This Row],[Employee]]),Salary[№],""),1),MATCH(Employee[[#Headers],[FTE]],Salary[#Headers],0))</f>
        <v>0.15</v>
      </c>
      <c r="E13" t="e">
        <f>INDEX(GradesAndSalaries[],MATCH(Employee[[#This Row],[Grade Status]],GradesAndSalaries[Grade],0),MATCH("Target Utilization",GradesAndSalaries[#Headers],0))</f>
        <v>#VALUE!</v>
      </c>
      <c r="F13" s="8" t="e">
        <f>INDEX(GradesAndSalaries[],MATCH(Employee[[#This Row],[Grade Status]],GradesAndSalaries[Grade],0),MATCH(Employee[[#Headers],[Base Budgeting COST]],GradesAndSalaries[#Headers],0))</f>
        <v>#VALUE!</v>
      </c>
      <c r="G13" s="8" t="e">
        <f t="array" ref="G13">INDEX(GradesAndSalaries[],MATCH(Employee[[#This Row],[Grade Status]],GradesAndSalaries[Grade],0),MATCH(Employee[[#Headers],[Min. Budgeting COST]],GradesAndSalaries[#Headers],0))</f>
        <v>#VALUE!</v>
      </c>
    </row>
    <row r="14" spans="1:14" x14ac:dyDescent="0.25">
      <c r="A14" s="199" t="s">
        <v>377</v>
      </c>
      <c r="B14" t="str">
        <f t="array" ref="B14">INDEX(Salary[],LARGE(IF((Salary[Employee]=Employee[[#This Row],[Employee]]),Salary[№],""),1),MATCH(Salary[[#Headers],[Position]],Salary[#Headers],0))</f>
        <v>Fired</v>
      </c>
      <c r="C14" t="e">
        <f>INDEX(Salary[],LARGE(IF((Salary[[#This Row],[Employee]]=Employee[[#This Row],[Employee]]),Salary[№],""),1),MATCH(Salary[[#Headers],[Grade]],Salary[#Headers],0))</f>
        <v>#VALUE!</v>
      </c>
      <c r="D14">
        <f t="array" ref="D14">INDEX(Salary[],LARGE(IF((Salary[Employee]=Employee[[#This Row],[Employee]]),Salary[№],""),1),MATCH(Employee[[#Headers],[FTE]],Salary[#Headers],0))</f>
        <v>0</v>
      </c>
      <c r="E14" t="e">
        <f>INDEX(GradesAndSalaries[],MATCH(Employee[[#This Row],[Grade Status]],GradesAndSalaries[Grade],0),MATCH("Target Utilization",GradesAndSalaries[#Headers],0))</f>
        <v>#VALUE!</v>
      </c>
      <c r="F14" s="8" t="e">
        <f>INDEX(GradesAndSalaries[],MATCH(Employee[[#This Row],[Grade Status]],GradesAndSalaries[Grade],0),MATCH(Employee[[#Headers],[Base Budgeting COST]],GradesAndSalaries[#Headers],0))</f>
        <v>#VALUE!</v>
      </c>
      <c r="G14" s="8" t="e">
        <f t="array" ref="G14">INDEX(GradesAndSalaries[],MATCH(Employee[[#This Row],[Grade Status]],GradesAndSalaries[Grade],0),MATCH(Employee[[#Headers],[Min. Budgeting COST]],GradesAndSalaries[#Headers],0))</f>
        <v>#VALUE!</v>
      </c>
    </row>
    <row r="15" spans="1:14" x14ac:dyDescent="0.25">
      <c r="A15" s="199" t="s">
        <v>477</v>
      </c>
      <c r="B15" t="str">
        <f t="array" ref="B15">INDEX(Salary[],LARGE(IF((Salary[Employee]=Employee[[#This Row],[Employee]]),Salary[№],""),1),MATCH(Salary[[#Headers],[Position]],Salary[#Headers],0))</f>
        <v>Fired</v>
      </c>
      <c r="C15" t="e">
        <f>INDEX(Salary[],LARGE(IF((Salary[[#This Row],[Employee]]=Employee[[#This Row],[Employee]]),Salary[№],""),1),MATCH(Salary[[#Headers],[Grade]],Salary[#Headers],0))</f>
        <v>#VALUE!</v>
      </c>
      <c r="D15">
        <f t="array" ref="D15">INDEX(Salary[],LARGE(IF((Salary[Employee]=Employee[[#This Row],[Employee]]),Salary[№],""),1),MATCH(Employee[[#Headers],[FTE]],Salary[#Headers],0))</f>
        <v>0</v>
      </c>
      <c r="E15" t="e">
        <f>INDEX(GradesAndSalaries[],MATCH(Employee[[#This Row],[Grade Status]],GradesAndSalaries[Grade],0),MATCH("Target Utilization",GradesAndSalaries[#Headers],0))</f>
        <v>#VALUE!</v>
      </c>
      <c r="F15" s="8" t="e">
        <f>INDEX(GradesAndSalaries[],MATCH(Employee[[#This Row],[Grade Status]],GradesAndSalaries[Grade],0),MATCH(Employee[[#Headers],[Base Budgeting COST]],GradesAndSalaries[#Headers],0))</f>
        <v>#VALUE!</v>
      </c>
      <c r="G15" s="8" t="e">
        <f t="array" ref="G15">INDEX(GradesAndSalaries[],MATCH(Employee[[#This Row],[Grade Status]],GradesAndSalaries[Grade],0),MATCH(Employee[[#Headers],[Min. Budgeting COST]],GradesAndSalaries[#Headers],0))</f>
        <v>#VALUE!</v>
      </c>
    </row>
    <row r="16" spans="1:14" x14ac:dyDescent="0.25">
      <c r="A16" s="199" t="s">
        <v>867</v>
      </c>
      <c r="B16" s="90" t="str">
        <f t="array" ref="B16">INDEX(Salary[],LARGE(IF((Salary[Employee]=Employee[[#This Row],[Employee]]),Salary[№],""),1),MATCH(Salary[[#Headers],[Position]],Salary[#Headers],0))</f>
        <v>Fired</v>
      </c>
      <c r="C16" t="e">
        <f>INDEX(Salary[],LARGE(IF((Salary[[#This Row],[Employee]]=Employee[[#This Row],[Employee]]),Salary[№],""),1),MATCH(Salary[[#Headers],[Grade]],Salary[#Headers],0))</f>
        <v>#VALUE!</v>
      </c>
      <c r="D16" s="90">
        <f t="array" ref="D16">INDEX(Salary[],LARGE(IF((Salary[Employee]=Employee[[#This Row],[Employee]]),Salary[№],""),1),MATCH(Employee[[#Headers],[FTE]],Salary[#Headers],0))</f>
        <v>0</v>
      </c>
      <c r="E16" s="90" t="e">
        <f>INDEX(GradesAndSalaries[],MATCH(Employee[[#This Row],[Grade Status]],GradesAndSalaries[Grade],0),MATCH("Target Utilization",GradesAndSalaries[#Headers],0))</f>
        <v>#VALUE!</v>
      </c>
      <c r="F16" s="8" t="e">
        <f>INDEX(GradesAndSalaries[],MATCH(Employee[[#This Row],[Grade Status]],GradesAndSalaries[Grade],0),MATCH(Employee[[#Headers],[Base Budgeting COST]],GradesAndSalaries[#Headers],0))</f>
        <v>#VALUE!</v>
      </c>
      <c r="G16" s="8" t="e">
        <f t="array" ref="G16">INDEX(GradesAndSalaries[],MATCH(Employee[[#This Row],[Grade Status]],GradesAndSalaries[Grade],0),MATCH(Employee[[#Headers],[Min. Budgeting COST]],GradesAndSalaries[#Headers],0))</f>
        <v>#VALUE!</v>
      </c>
    </row>
    <row r="17" spans="1:8" x14ac:dyDescent="0.25">
      <c r="A17" s="199" t="s">
        <v>74</v>
      </c>
      <c r="B17" t="str">
        <f t="array" ref="B17">INDEX(Salary[],LARGE(IF((Salary[Employee]=Employee[[#This Row],[Employee]]),Salary[№],""),1),MATCH(Salary[[#Headers],[Position]],Salary[#Headers],0))</f>
        <v>Fired</v>
      </c>
      <c r="C17" t="e">
        <f>INDEX(Salary[],LARGE(IF((Salary[[#This Row],[Employee]]=Employee[[#This Row],[Employee]]),Salary[№],""),1),MATCH(Salary[[#Headers],[Grade]],Salary[#Headers],0))</f>
        <v>#VALUE!</v>
      </c>
      <c r="D17">
        <f t="array" ref="D17">INDEX(Salary[],LARGE(IF((Salary[Employee]=Employee[[#This Row],[Employee]]),Salary[№],""),1),MATCH(Employee[[#Headers],[FTE]],Salary[#Headers],0))</f>
        <v>0</v>
      </c>
      <c r="E17" t="e">
        <f>INDEX(GradesAndSalaries[],MATCH(Employee[[#This Row],[Grade Status]],GradesAndSalaries[Grade],0),MATCH("Target Utilization",GradesAndSalaries[#Headers],0))</f>
        <v>#VALUE!</v>
      </c>
      <c r="F17" s="8" t="e">
        <f>INDEX(GradesAndSalaries[],MATCH(Employee[[#This Row],[Grade Status]],GradesAndSalaries[Grade],0),MATCH(Employee[[#Headers],[Base Budgeting COST]],GradesAndSalaries[#Headers],0))</f>
        <v>#VALUE!</v>
      </c>
      <c r="G17" s="8" t="e">
        <f t="array" ref="G17">INDEX(GradesAndSalaries[],MATCH(Employee[[#This Row],[Grade Status]],GradesAndSalaries[Grade],0),MATCH(Employee[[#Headers],[Min. Budgeting COST]],GradesAndSalaries[#Headers],0))</f>
        <v>#VALUE!</v>
      </c>
    </row>
    <row r="18" spans="1:8" x14ac:dyDescent="0.25">
      <c r="A18" s="199" t="s">
        <v>1114</v>
      </c>
      <c r="B18" s="136" t="str">
        <f t="array" ref="B18">INDEX(Salary[],LARGE(IF((Salary[Employee]=Employee[[#This Row],[Employee]]),Salary[№],""),1),MATCH(Salary[[#Headers],[Position]],Salary[#Headers],0))</f>
        <v>Fired</v>
      </c>
      <c r="C18" t="e">
        <f>INDEX(Salary[],LARGE(IF((Salary[[#This Row],[Employee]]=Employee[[#This Row],[Employee]]),Salary[№],""),1),MATCH(Salary[[#Headers],[Grade]],Salary[#Headers],0))</f>
        <v>#VALUE!</v>
      </c>
      <c r="D18" s="136">
        <f t="array" ref="D18">INDEX(Salary[],LARGE(IF((Salary[Employee]=Employee[[#This Row],[Employee]]),Salary[№],""),1),MATCH(Employee[[#Headers],[FTE]],Salary[#Headers],0))</f>
        <v>0</v>
      </c>
      <c r="E18" s="136" t="e">
        <f>INDEX(GradesAndSalaries[],MATCH(Employee[[#This Row],[Grade Status]],GradesAndSalaries[Grade],0),MATCH("Target Utilization",GradesAndSalaries[#Headers],0))</f>
        <v>#VALUE!</v>
      </c>
      <c r="F18" s="8" t="e">
        <f>INDEX(GradesAndSalaries[],MATCH(Employee[[#This Row],[Grade Status]],GradesAndSalaries[Grade],0),MATCH(Employee[[#Headers],[Base Budgeting COST]],GradesAndSalaries[#Headers],0))</f>
        <v>#VALUE!</v>
      </c>
      <c r="G18" s="8" t="e">
        <f t="array" ref="G18">INDEX(GradesAndSalaries[],MATCH(Employee[[#This Row],[Grade Status]],GradesAndSalaries[Grade],0),MATCH(Employee[[#Headers],[Min. Budgeting COST]],GradesAndSalaries[#Headers],0))</f>
        <v>#VALUE!</v>
      </c>
    </row>
    <row r="19" spans="1:8" x14ac:dyDescent="0.25">
      <c r="A19" s="200" t="s">
        <v>866</v>
      </c>
      <c r="B19" s="90" t="str">
        <f t="array" ref="B19">INDEX(Salary[],LARGE(IF((Salary[Employee]=Employee[[#This Row],[Employee]]),Salary[№],""),1),MATCH(Salary[[#Headers],[Position]],Salary[#Headers],0))</f>
        <v>Fired</v>
      </c>
      <c r="C19">
        <f>INDEX(Salary[],LARGE(IF((Salary[[#This Row],[Employee]]=Employee[[#This Row],[Employee]]),Salary[№],""),1),MATCH(Salary[[#Headers],[Grade]],Salary[#Headers],0))</f>
        <v>202</v>
      </c>
      <c r="D19" s="90">
        <f t="array" ref="D19">INDEX(Salary[],LARGE(IF((Salary[Employee]=Employee[[#This Row],[Employee]]),Salary[№],""),1),MATCH(Employee[[#Headers],[FTE]],Salary[#Headers],0))</f>
        <v>0</v>
      </c>
      <c r="E19" s="90">
        <f>INDEX(GradesAndSalaries[],MATCH(Employee[[#This Row],[Grade Status]],GradesAndSalaries[Grade],0),MATCH("Target Utilization",GradesAndSalaries[#Headers],0))</f>
        <v>0.75</v>
      </c>
      <c r="F19" s="8">
        <f>INDEX(GradesAndSalaries[],MATCH(Employee[[#This Row],[Grade Status]],GradesAndSalaries[Grade],0),MATCH(Employee[[#Headers],[Base Budgeting COST]],GradesAndSalaries[#Headers],0))</f>
        <v>875</v>
      </c>
      <c r="G19" s="8">
        <f t="array" ref="G19">INDEX(GradesAndSalaries[],MATCH(Employee[[#This Row],[Grade Status]],GradesAndSalaries[Grade],0),MATCH(Employee[[#Headers],[Min. Budgeting COST]],GradesAndSalaries[#Headers],0))</f>
        <v>0</v>
      </c>
    </row>
    <row r="20" spans="1:8" x14ac:dyDescent="0.25">
      <c r="A20" s="199">
        <v>5788</v>
      </c>
      <c r="B20" t="str">
        <f t="array" ref="B20">INDEX(Salary[],LARGE(IF((Salary[Employee]=Employee[[#This Row],[Employee]]),Salary[№],""),1),MATCH(Salary[[#Headers],[Position]],Salary[#Headers],0))</f>
        <v>Fired</v>
      </c>
      <c r="C20" t="e">
        <f>INDEX(Salary[],LARGE(IF((Salary[[#This Row],[Employee]]=Employee[[#This Row],[Employee]]),Salary[№],""),1),MATCH(Salary[[#Headers],[Grade]],Salary[#Headers],0))</f>
        <v>#VALUE!</v>
      </c>
      <c r="D20">
        <f t="array" ref="D20">INDEX(Salary[],LARGE(IF((Salary[Employee]=Employee[[#This Row],[Employee]]),Salary[№],""),1),MATCH(Employee[[#Headers],[FTE]],Salary[#Headers],0))</f>
        <v>0.5</v>
      </c>
      <c r="E20" t="e">
        <f>INDEX(GradesAndSalaries[],MATCH(Employee[[#This Row],[Grade Status]],GradesAndSalaries[Grade],0),MATCH("Target Utilization",GradesAndSalaries[#Headers],0))</f>
        <v>#VALUE!</v>
      </c>
      <c r="F20" s="8" t="e">
        <f>INDEX(GradesAndSalaries[],MATCH(Employee[[#This Row],[Grade Status]],GradesAndSalaries[Grade],0),MATCH(Employee[[#Headers],[Base Budgeting COST]],GradesAndSalaries[#Headers],0))</f>
        <v>#VALUE!</v>
      </c>
      <c r="G20" s="8" t="e">
        <f t="array" ref="G20">INDEX(GradesAndSalaries[],MATCH(Employee[[#This Row],[Grade Status]],GradesAndSalaries[Grade],0),MATCH(Employee[[#Headers],[Min. Budgeting COST]],GradesAndSalaries[#Headers],0))</f>
        <v>#VALUE!</v>
      </c>
    </row>
    <row r="21" spans="1:8" x14ac:dyDescent="0.25">
      <c r="A21" s="199" t="s">
        <v>476</v>
      </c>
      <c r="B21" t="str">
        <f t="array" ref="B21">INDEX(Salary[],LARGE(IF((Salary[Employee]=Employee[[#This Row],[Employee]]),Salary[№],""),1),MATCH(Salary[[#Headers],[Position]],Salary[#Headers],0))</f>
        <v>Fired</v>
      </c>
      <c r="C21" t="e">
        <f>INDEX(Salary[],LARGE(IF((Salary[[#This Row],[Employee]]=Employee[[#This Row],[Employee]]),Salary[№],""),1),MATCH(Salary[[#Headers],[Grade]],Salary[#Headers],0))</f>
        <v>#VALUE!</v>
      </c>
      <c r="D21">
        <f t="array" ref="D21">INDEX(Salary[],LARGE(IF((Salary[Employee]=Employee[[#This Row],[Employee]]),Salary[№],""),1),MATCH(Employee[[#Headers],[FTE]],Salary[#Headers],0))</f>
        <v>0</v>
      </c>
      <c r="E21" t="e">
        <f>INDEX(GradesAndSalaries[],MATCH(Employee[[#This Row],[Grade Status]],GradesAndSalaries[Grade],0),MATCH("Target Utilization",GradesAndSalaries[#Headers],0))</f>
        <v>#VALUE!</v>
      </c>
      <c r="F21" s="8" t="e">
        <f>INDEX(GradesAndSalaries[],MATCH(Employee[[#This Row],[Grade Status]],GradesAndSalaries[Grade],0),MATCH(Employee[[#Headers],[Base Budgeting COST]],GradesAndSalaries[#Headers],0))</f>
        <v>#VALUE!</v>
      </c>
      <c r="G21" s="8" t="e">
        <f t="array" ref="G21">INDEX(GradesAndSalaries[],MATCH(Employee[[#This Row],[Grade Status]],GradesAndSalaries[Grade],0),MATCH(Employee[[#Headers],[Min. Budgeting COST]],GradesAndSalaries[#Headers],0))</f>
        <v>#VALUE!</v>
      </c>
    </row>
    <row r="22" spans="1:8" x14ac:dyDescent="0.25">
      <c r="A22" s="198" t="s">
        <v>1563</v>
      </c>
      <c r="B22" s="136" t="str">
        <f t="array" ref="B22">INDEX(Salary[],LARGE(IF((Salary[Employee]=Employee[[#This Row],[Employee]]),Salary[№],""),1),MATCH(Salary[[#Headers],[Position]],Salary[#Headers],0))</f>
        <v>Fired</v>
      </c>
      <c r="C22" t="e">
        <f>INDEX(Salary[],LARGE(IF((Salary[[#This Row],[Employee]]=Employee[[#This Row],[Employee]]),Salary[№],""),1),MATCH(Salary[[#Headers],[Grade]],Salary[#Headers],0))</f>
        <v>#VALUE!</v>
      </c>
      <c r="D22" s="136">
        <f t="array" ref="D22">INDEX(Salary[],LARGE(IF((Salary[Employee]=Employee[[#This Row],[Employee]]),Salary[№],""),1),MATCH(Employee[[#Headers],[FTE]],Salary[#Headers],0))</f>
        <v>0</v>
      </c>
      <c r="E22" s="136" t="e">
        <f>INDEX(GradesAndSalaries[],MATCH(Employee[[#This Row],[Grade Status]],GradesAndSalaries[Grade],0),MATCH("Target Utilization",GradesAndSalaries[#Headers],0))</f>
        <v>#VALUE!</v>
      </c>
      <c r="F22" s="155" t="e">
        <f>INDEX(GradesAndSalaries[],MATCH(Employee[[#This Row],[Grade Status]],GradesAndSalaries[Grade],0),MATCH(Employee[[#Headers],[Base Budgeting COST]],GradesAndSalaries[#Headers],0))</f>
        <v>#VALUE!</v>
      </c>
      <c r="G22" s="155" t="e">
        <f t="array" ref="G22">INDEX(GradesAndSalaries[],MATCH(Employee[[#This Row],[Grade Status]],GradesAndSalaries[Grade],0),MATCH(Employee[[#Headers],[Min. Budgeting COST]],GradesAndSalaries[#Headers],0))</f>
        <v>#VALUE!</v>
      </c>
    </row>
    <row r="23" spans="1:8" x14ac:dyDescent="0.25">
      <c r="A23" s="199" t="s">
        <v>72</v>
      </c>
      <c r="B23" t="str">
        <f t="array" ref="B23">INDEX(Salary[],LARGE(IF((Salary[Employee]=Employee[[#This Row],[Employee]]),Salary[№],""),1),MATCH(Salary[[#Headers],[Position]],Salary[#Headers],0))</f>
        <v>Director</v>
      </c>
      <c r="C23" t="e">
        <f>INDEX(Salary[],LARGE(IF((Salary[[#This Row],[Employee]]=Employee[[#This Row],[Employee]]),Salary[№],""),1),MATCH(Salary[[#Headers],[Grade]],Salary[#Headers],0))</f>
        <v>#VALUE!</v>
      </c>
      <c r="D23">
        <f t="array" ref="D23">INDEX(Salary[],LARGE(IF((Salary[Employee]=Employee[[#This Row],[Employee]]),Salary[№],""),1),MATCH(Employee[[#Headers],[FTE]],Salary[#Headers],0))</f>
        <v>1</v>
      </c>
      <c r="E23" t="e">
        <f>INDEX(GradesAndSalaries[],MATCH(Employee[[#This Row],[Grade Status]],GradesAndSalaries[Grade],0),MATCH("Target Utilization",GradesAndSalaries[#Headers],0))</f>
        <v>#VALUE!</v>
      </c>
      <c r="F23" s="8" t="e">
        <f>INDEX(GradesAndSalaries[],MATCH(Employee[[#This Row],[Grade Status]],GradesAndSalaries[Grade],0),MATCH(Employee[[#Headers],[Base Budgeting COST]],GradesAndSalaries[#Headers],0))</f>
        <v>#VALUE!</v>
      </c>
      <c r="G23" s="8" t="e">
        <f t="array" ref="G23">INDEX(GradesAndSalaries[],MATCH(Employee[[#This Row],[Grade Status]],GradesAndSalaries[Grade],0),MATCH(Employee[[#Headers],[Min. Budgeting COST]],GradesAndSalaries[#Headers],0))</f>
        <v>#VALUE!</v>
      </c>
    </row>
    <row r="24" spans="1:8" x14ac:dyDescent="0.25">
      <c r="A24" s="306" t="s">
        <v>2478</v>
      </c>
      <c r="B24" s="305" t="str">
        <f t="array" ref="B24">INDEX(Salary[],LARGE(IF((Salary[Employee]=Employee[[#This Row],[Employee]]),Salary[№],""),1),MATCH(Salary[[#Headers],[Position]],Salary[#Headers],0))</f>
        <v>Fired</v>
      </c>
      <c r="C24" t="e">
        <f>INDEX(Salary[],LARGE(IF((Salary[[#This Row],[Employee]]=Employee[[#This Row],[Employee]]),Salary[№],""),1),MATCH(Salary[[#Headers],[Grade]],Salary[#Headers],0))</f>
        <v>#VALUE!</v>
      </c>
      <c r="D24" s="305">
        <f t="array" ref="D24">INDEX(Salary[],LARGE(IF((Salary[Employee]=Employee[[#This Row],[Employee]]),Salary[№],""),1),MATCH(Employee[[#Headers],[FTE]],Salary[#Headers],0))</f>
        <v>0</v>
      </c>
      <c r="E24" s="305" t="e">
        <f>INDEX(GradesAndSalaries[],MATCH(Employee[[#This Row],[Grade Status]],GradesAndSalaries[Grade],0),MATCH("Target Utilization",GradesAndSalaries[#Headers],0))</f>
        <v>#VALUE!</v>
      </c>
      <c r="F24" s="265" t="e">
        <f>INDEX(GradesAndSalaries[],MATCH(Employee[[#This Row],[Grade Status]],GradesAndSalaries[Grade],0),MATCH(Employee[[#Headers],[Base Budgeting COST]],GradesAndSalaries[#Headers],0))</f>
        <v>#VALUE!</v>
      </c>
      <c r="G24" s="8" t="e">
        <f t="array" ref="G24">INDEX(GradesAndSalaries[],MATCH(Employee[[#This Row],[Grade Status]],GradesAndSalaries[Grade],0),MATCH(Employee[[#Headers],[Min. Budgeting COST]],GradesAndSalaries[#Headers],0))</f>
        <v>#VALUE!</v>
      </c>
      <c r="H24" s="305"/>
    </row>
    <row r="25" spans="1:8" x14ac:dyDescent="0.25">
      <c r="A25" s="407" t="s">
        <v>2622</v>
      </c>
      <c r="B25" s="305" t="str">
        <f t="array" ref="B25">INDEX(Salary[],LARGE(IF((Salary[Employee]=Employee[[#This Row],[Employee]]),Salary[№],""),1),MATCH(Salary[[#Headers],[Position]],Salary[#Headers],0))</f>
        <v>Lead Еngineer 1</v>
      </c>
      <c r="C25" t="e">
        <f>INDEX(Salary[],LARGE(IF((Salary[[#This Row],[Employee]]=Employee[[#This Row],[Employee]]),Salary[№],""),1),MATCH(Salary[[#Headers],[Grade]],Salary[#Headers],0))</f>
        <v>#VALUE!</v>
      </c>
      <c r="D25" s="305">
        <f t="array" ref="D25">INDEX(Salary[],LARGE(IF((Salary[Employee]=Employee[[#This Row],[Employee]]),Salary[№],""),1),MATCH(Employee[[#Headers],[FTE]],Salary[#Headers],0))</f>
        <v>0.2</v>
      </c>
      <c r="E25" s="305" t="e">
        <f>INDEX(GradesAndSalaries[],MATCH(Employee[[#This Row],[Grade Status]],GradesAndSalaries[Grade],0),MATCH("Target Utilization",GradesAndSalaries[#Headers],0))</f>
        <v>#VALUE!</v>
      </c>
      <c r="F25" s="265" t="e">
        <f>INDEX(GradesAndSalaries[],MATCH(Employee[[#This Row],[Grade Status]],GradesAndSalaries[Grade],0),MATCH(Employee[[#Headers],[Base Budgeting COST]],GradesAndSalaries[#Headers],0))</f>
        <v>#VALUE!</v>
      </c>
      <c r="G25" s="409" t="e">
        <f t="array" ref="G25">INDEX(GradesAndSalaries[],MATCH(Employee[[#This Row],[Grade Status]],GradesAndSalaries[Grade],0),MATCH(Employee[[#Headers],[Min. Budgeting COST]],GradesAndSalaries[#Headers],0))</f>
        <v>#VALUE!</v>
      </c>
      <c r="H25" s="305"/>
    </row>
    <row r="26" spans="1:8" x14ac:dyDescent="0.25">
      <c r="A26" s="407" t="s">
        <v>2623</v>
      </c>
      <c r="B26" s="305" t="str">
        <f t="array" ref="B26">INDEX(Salary[],LARGE(IF((Salary[Employee]=Employee[[#This Row],[Employee]]),Salary[№],""),1),MATCH(Salary[[#Headers],[Position]],Salary[#Headers],0))</f>
        <v>Еngineer 1</v>
      </c>
      <c r="C26" t="e">
        <f>INDEX(Salary[],LARGE(IF((Salary[[#This Row],[Employee]]=Employee[[#This Row],[Employee]]),Salary[№],""),1),MATCH(Salary[[#Headers],[Grade]],Salary[#Headers],0))</f>
        <v>#VALUE!</v>
      </c>
      <c r="D26" s="305">
        <f t="array" ref="D26">INDEX(Salary[],LARGE(IF((Salary[Employee]=Employee[[#This Row],[Employee]]),Salary[№],""),1),MATCH(Employee[[#Headers],[FTE]],Salary[#Headers],0))</f>
        <v>0.2</v>
      </c>
      <c r="E26" s="305" t="e">
        <f>INDEX(GradesAndSalaries[],MATCH(Employee[[#This Row],[Grade Status]],GradesAndSalaries[Grade],0),MATCH("Target Utilization",GradesAndSalaries[#Headers],0))</f>
        <v>#VALUE!</v>
      </c>
      <c r="F26" s="265" t="e">
        <f>INDEX(GradesAndSalaries[],MATCH(Employee[[#This Row],[Grade Status]],GradesAndSalaries[Grade],0),MATCH(Employee[[#Headers],[Base Budgeting COST]],GradesAndSalaries[#Headers],0))</f>
        <v>#VALUE!</v>
      </c>
      <c r="G26" s="409" t="e">
        <f t="array" ref="G26">INDEX(GradesAndSalaries[],MATCH(Employee[[#This Row],[Grade Status]],GradesAndSalaries[Grade],0),MATCH(Employee[[#Headers],[Min. Budgeting COST]],GradesAndSalaries[#Headers],0))</f>
        <v>#VALUE!</v>
      </c>
      <c r="H26" s="305"/>
    </row>
    <row r="27" spans="1:8" x14ac:dyDescent="0.25">
      <c r="A27" s="407" t="s">
        <v>2633</v>
      </c>
      <c r="B27" s="305" t="str">
        <f t="array" ref="B27">INDEX(Salary[],LARGE(IF((Salary[Employee]=Employee[[#This Row],[Employee]]),Salary[№],""),1),MATCH(Salary[[#Headers],[Position]],Salary[#Headers],0))</f>
        <v>Fired</v>
      </c>
      <c r="C27" t="e">
        <f>INDEX(Salary[],LARGE(IF((Salary[[#This Row],[Employee]]=Employee[[#This Row],[Employee]]),Salary[№],""),1),MATCH(Salary[[#Headers],[Grade]],Salary[#Headers],0))</f>
        <v>#VALUE!</v>
      </c>
      <c r="D27" s="305">
        <f t="array" ref="D27">INDEX(Salary[],LARGE(IF((Salary[Employee]=Employee[[#This Row],[Employee]]),Salary[№],""),1),MATCH(Employee[[#Headers],[FTE]],Salary[#Headers],0))</f>
        <v>1</v>
      </c>
      <c r="E27" s="305" t="e">
        <f>INDEX(GradesAndSalaries[],MATCH(Employee[[#This Row],[Grade Status]],GradesAndSalaries[Grade],0),MATCH("Target Utilization",GradesAndSalaries[#Headers],0))</f>
        <v>#VALUE!</v>
      </c>
      <c r="F27" s="265" t="e">
        <f>INDEX(GradesAndSalaries[],MATCH(Employee[[#This Row],[Grade Status]],GradesAndSalaries[Grade],0),MATCH(Employee[[#Headers],[Base Budgeting COST]],GradesAndSalaries[#Headers],0))</f>
        <v>#VALUE!</v>
      </c>
      <c r="G27" s="305" t="e">
        <f t="array" ref="G27">INDEX(GradesAndSalaries[],MATCH(Employee[[#This Row],[Grade Status]],GradesAndSalaries[Grade],0),MATCH(Employee[[#Headers],[Min. Budgeting COST]],GradesAndSalaries[#Headers],0))</f>
        <v>#VALUE!</v>
      </c>
      <c r="H27" s="305"/>
    </row>
    <row r="28" spans="1:8" x14ac:dyDescent="0.25">
      <c r="A28" s="459" t="s">
        <v>2634</v>
      </c>
      <c r="B28" s="305" t="str">
        <f t="array" ref="B28">INDEX(Salary[],LARGE(IF((Salary[Employee]=Employee[[#This Row],[Employee]]),Salary[№],""),1),MATCH(Salary[[#Headers],[Position]],Salary[#Headers],0))</f>
        <v>Еngineer 3</v>
      </c>
      <c r="C28" t="e">
        <f>INDEX(Salary[],LARGE(IF((Salary[[#This Row],[Employee]]=Employee[[#This Row],[Employee]]),Salary[№],""),1),MATCH(Salary[[#Headers],[Grade]],Salary[#Headers],0))</f>
        <v>#VALUE!</v>
      </c>
      <c r="D28" s="305">
        <f t="array" ref="D28">INDEX(Salary[],LARGE(IF((Salary[Employee]=Employee[[#This Row],[Employee]]),Salary[№],""),1),MATCH(Employee[[#Headers],[FTE]],Salary[#Headers],0))</f>
        <v>1</v>
      </c>
      <c r="E28" s="305" t="e">
        <f>INDEX(GradesAndSalaries[],MATCH(Employee[[#This Row],[Grade Status]],GradesAndSalaries[Grade],0),MATCH("Target Utilization",GradesAndSalaries[#Headers],0))</f>
        <v>#VALUE!</v>
      </c>
      <c r="F28" s="265" t="e">
        <f>INDEX(GradesAndSalaries[],MATCH(Employee[[#This Row],[Grade Status]],GradesAndSalaries[Grade],0),MATCH(Employee[[#Headers],[Base Budgeting COST]],GradesAndSalaries[#Headers],0))</f>
        <v>#VALUE!</v>
      </c>
      <c r="G28" s="305" t="e">
        <f t="array" ref="G28">INDEX(GradesAndSalaries[],MATCH(Employee[[#This Row],[Grade Status]],GradesAndSalaries[Grade],0),MATCH(Employee[[#Headers],[Min. Budgeting COST]],GradesAndSalaries[#Headers],0))</f>
        <v>#VALUE!</v>
      </c>
      <c r="H28" s="305"/>
    </row>
    <row r="29" spans="1:8" x14ac:dyDescent="0.25">
      <c r="A29" s="407" t="s">
        <v>2654</v>
      </c>
      <c r="B29" s="305" t="str">
        <f t="array" ref="B29">INDEX(Salary[],LARGE(IF((Salary[Employee]=Employee[[#This Row],[Employee]]),Salary[№],""),1),MATCH(Salary[[#Headers],[Position]],Salary[#Headers],0))</f>
        <v>Fired</v>
      </c>
      <c r="C29" t="e">
        <f>INDEX(Salary[],LARGE(IF((Salary[[#This Row],[Employee]]=Employee[[#This Row],[Employee]]),Salary[№],""),1),MATCH(Salary[[#Headers],[Grade]],Salary[#Headers],0))</f>
        <v>#VALUE!</v>
      </c>
      <c r="D29" s="305">
        <f t="array" ref="D29">INDEX(Salary[],LARGE(IF((Salary[Employee]=Employee[[#This Row],[Employee]]),Salary[№],""),1),MATCH(Employee[[#Headers],[FTE]],Salary[#Headers],0))</f>
        <v>0</v>
      </c>
      <c r="E29" s="305" t="e">
        <f>INDEX(GradesAndSalaries[],MATCH(Employee[[#This Row],[Grade Status]],GradesAndSalaries[Grade],0),MATCH("Target Utilization",GradesAndSalaries[#Headers],0))</f>
        <v>#VALUE!</v>
      </c>
      <c r="F29" s="265" t="e">
        <f>INDEX(GradesAndSalaries[],MATCH(Employee[[#This Row],[Grade Status]],GradesAndSalaries[Grade],0),MATCH(Employee[[#Headers],[Base Budgeting COST]],GradesAndSalaries[#Headers],0))</f>
        <v>#VALUE!</v>
      </c>
      <c r="G29" s="305" t="e">
        <f t="array" ref="G29">INDEX(GradesAndSalaries[],MATCH(Employee[[#This Row],[Grade Status]],GradesAndSalaries[Grade],0),MATCH(Employee[[#Headers],[Min. Budgeting COST]],GradesAndSalaries[#Headers],0))</f>
        <v>#VALUE!</v>
      </c>
      <c r="H29" s="305"/>
    </row>
    <row r="30" spans="1:8" x14ac:dyDescent="0.25">
      <c r="A30" s="459" t="s">
        <v>2709</v>
      </c>
      <c r="B30" s="305" t="str">
        <f t="array" ref="B30">INDEX(Salary[],LARGE(IF((Salary[Employee]=Employee[[#This Row],[Employee]]),Salary[№],""),1),MATCH(Salary[[#Headers],[Position]],Salary[#Headers],0))</f>
        <v>Fired</v>
      </c>
      <c r="C30" t="e">
        <f>INDEX(Salary[],LARGE(IF((Salary[[#This Row],[Employee]]=Employee[[#This Row],[Employee]]),Salary[№],""),1),MATCH(Salary[[#Headers],[Grade]],Salary[#Headers],0))</f>
        <v>#VALUE!</v>
      </c>
      <c r="D30" s="457">
        <f t="array" ref="D30">INDEX(Salary[],LARGE(IF((Salary[Employee]=Employee[[#This Row],[Employee]]),Salary[№],""),1),MATCH(Employee[[#Headers],[FTE]],Salary[#Headers],0))</f>
        <v>1</v>
      </c>
      <c r="E30" s="457" t="e">
        <f>INDEX(GradesAndSalaries[],MATCH(Employee[[#This Row],[Grade Status]],GradesAndSalaries[Grade],0),MATCH("Target Utilization",GradesAndSalaries[#Headers],0))</f>
        <v>#VALUE!</v>
      </c>
      <c r="F30" s="458" t="e">
        <f>INDEX(GradesAndSalaries[],MATCH(Employee[[#This Row],[Grade Status]],GradesAndSalaries[Grade],0),MATCH(Employee[[#Headers],[Base Budgeting COST]],GradesAndSalaries[#Headers],0))</f>
        <v>#VALUE!</v>
      </c>
      <c r="G30" s="457" t="e">
        <f t="array" ref="G30">INDEX(GradesAndSalaries[],MATCH(Employee[[#This Row],[Grade Status]],GradesAndSalaries[Grade],0),MATCH(Employee[[#Headers],[Min. Budgeting COST]],GradesAndSalaries[#Headers],0))</f>
        <v>#VALUE!</v>
      </c>
      <c r="H30" s="457"/>
    </row>
    <row r="31" spans="1:8" x14ac:dyDescent="0.25">
      <c r="A31" s="199" t="s">
        <v>2815</v>
      </c>
      <c r="B31" s="305" t="str">
        <f t="array" ref="B31">INDEX(Salary[],LARGE(IF((Salary[Employee]=Employee[[#This Row],[Employee]]),Salary[№],""),1),MATCH(Salary[[#Headers],[Position]],Salary[#Headers],0))</f>
        <v>Fired</v>
      </c>
      <c r="C31" t="e">
        <f>INDEX(Salary[],LARGE(IF((Salary[[#This Row],[Employee]]=Employee[[#This Row],[Employee]]),Salary[№],""),1),MATCH(Salary[[#Headers],[Grade]],Salary[#Headers],0))</f>
        <v>#VALUE!</v>
      </c>
      <c r="D31" s="305">
        <f t="array" ref="D31">INDEX(Salary[],LARGE(IF((Salary[Employee]=Employee[[#This Row],[Employee]]),Salary[№],""),1),MATCH(Employee[[#Headers],[FTE]],Salary[#Headers],0))</f>
        <v>0</v>
      </c>
      <c r="E31" s="305" t="e">
        <f>INDEX(GradesAndSalaries[],MATCH(Employee[[#This Row],[Grade Status]],GradesAndSalaries[Grade],0),MATCH("Target Utilization",GradesAndSalaries[#Headers],0))</f>
        <v>#VALUE!</v>
      </c>
      <c r="F31" s="265" t="e">
        <f>INDEX(GradesAndSalaries[],MATCH(Employee[[#This Row],[Grade Status]],GradesAndSalaries[Grade],0),MATCH(Employee[[#Headers],[Base Budgeting COST]],GradesAndSalaries[#Headers],0))</f>
        <v>#VALUE!</v>
      </c>
      <c r="G31" s="305" t="e">
        <f t="array" ref="G31">INDEX(GradesAndSalaries[],MATCH(Employee[[#This Row],[Grade Status]],GradesAndSalaries[Grade],0),MATCH(Employee[[#Headers],[Min. Budgeting COST]],GradesAndSalaries[#Headers],0))</f>
        <v>#VALUE!</v>
      </c>
      <c r="H31" s="305"/>
    </row>
    <row r="32" spans="1:8" x14ac:dyDescent="0.25">
      <c r="A32" s="499" t="s">
        <v>2787</v>
      </c>
      <c r="B32" s="305" t="str">
        <f t="array" ref="B32">INDEX(Salary[],LARGE(IF((Salary[Employee]=Employee[[#This Row],[Employee]]),Salary[№],""),1),MATCH(Salary[[#Headers],[Position]],Salary[#Headers],0))</f>
        <v>Fired</v>
      </c>
      <c r="C32" t="e">
        <f>INDEX(Salary[],LARGE(IF((Salary[[#This Row],[Employee]]=Employee[[#This Row],[Employee]]),Salary[№],""),1),MATCH(Salary[[#Headers],[Grade]],Salary[#Headers],0))</f>
        <v>#VALUE!</v>
      </c>
      <c r="D32" s="500">
        <f t="array" ref="D32">INDEX(Salary[],LARGE(IF((Salary[Employee]=Employee[[#This Row],[Employee]]),Salary[№],""),1),MATCH(Employee[[#Headers],[FTE]],Salary[#Headers],0))</f>
        <v>0</v>
      </c>
      <c r="E32" s="500" t="e">
        <f>INDEX(GradesAndSalaries[],MATCH(Employee[[#This Row],[Grade Status]],GradesAndSalaries[Grade],0),MATCH("Target Utilization",GradesAndSalaries[#Headers],0))</f>
        <v>#VALUE!</v>
      </c>
      <c r="F32" s="494" t="e">
        <f>INDEX(GradesAndSalaries[],MATCH(Employee[[#This Row],[Grade Status]],GradesAndSalaries[Grade],0),MATCH(Employee[[#Headers],[Base Budgeting COST]],GradesAndSalaries[#Headers],0))</f>
        <v>#VALUE!</v>
      </c>
      <c r="G32" s="500" t="e">
        <f t="array" ref="G32">INDEX(GradesAndSalaries[],MATCH(Employee[[#This Row],[Grade Status]],GradesAndSalaries[Grade],0),MATCH(Employee[[#Headers],[Min. Budgeting COST]],GradesAndSalaries[#Headers],0))</f>
        <v>#VALUE!</v>
      </c>
      <c r="H32" s="500"/>
    </row>
    <row r="33" spans="1:8" x14ac:dyDescent="0.25">
      <c r="A33" s="459" t="s">
        <v>2899</v>
      </c>
      <c r="B33" s="305" t="str">
        <f t="array" ref="B33">INDEX(Salary[],LARGE(IF((Salary[Employee]=Employee[[#This Row],[Employee]]),Salary[№],""),1),MATCH(Salary[[#Headers],[Position]],Salary[#Headers],0))</f>
        <v>Fired</v>
      </c>
      <c r="C33" t="e">
        <f>INDEX(Salary[],LARGE(IF((Salary[[#This Row],[Employee]]=Employee[[#This Row],[Employee]]),Salary[№],""),1),MATCH(Salary[[#Headers],[Grade]],Salary[#Headers],0))</f>
        <v>#VALUE!</v>
      </c>
      <c r="D33" s="500">
        <f t="array" ref="D33">INDEX(Salary[],LARGE(IF((Salary[Employee]=Employee[[#This Row],[Employee]]),Salary[№],""),1),MATCH(Employee[[#Headers],[FTE]],Salary[#Headers],0))</f>
        <v>0</v>
      </c>
      <c r="E33" s="522" t="e">
        <f>INDEX(GradesAndSalaries[],MATCH(Employee[[#This Row],[Grade Status]],GradesAndSalaries[Grade],0),MATCH("Target Utilization",GradesAndSalaries[#Headers],0))</f>
        <v>#VALUE!</v>
      </c>
      <c r="F33" s="521" t="e">
        <f>INDEX(GradesAndSalaries[],MATCH(Employee[[#This Row],[Grade Status]],GradesAndSalaries[Grade],0),MATCH(Employee[[#Headers],[Base Budgeting COST]],GradesAndSalaries[#Headers],0))</f>
        <v>#VALUE!</v>
      </c>
      <c r="G33" s="522" t="e" cm="1">
        <f t="array" ref="G33">INDEX(GradesAndSalaries[],MATCH(Employee[[#This Row],[Grade Status]],GradesAndSalaries[Grade],0),MATCH(Employee[[#Headers],[Min. Budgeting COST]],GradesAndSalaries[#Headers],0))</f>
        <v>#VALUE!</v>
      </c>
      <c r="H33" s="522"/>
    </row>
    <row r="34" spans="1:8" x14ac:dyDescent="0.25">
      <c r="A34" s="530" t="s">
        <v>2928</v>
      </c>
      <c r="B34" s="305" t="str">
        <f t="array" ref="B34">INDEX(Salary[],LARGE(IF((Salary[Employee]=Employee[[#This Row],[Employee]]),Salary[№],""),1),MATCH(Salary[[#Headers],[Position]],Salary[#Headers],0))</f>
        <v>Fired</v>
      </c>
      <c r="C34" t="e">
        <f>INDEX(Salary[],LARGE(IF((Salary[[#This Row],[Employee]]=Employee[[#This Row],[Employee]]),Salary[№],""),1),MATCH(Salary[[#Headers],[Grade]],Salary[#Headers],0))</f>
        <v>#VALUE!</v>
      </c>
      <c r="D34" s="500">
        <f t="array" ref="D34">INDEX(Salary[],LARGE(IF((Salary[Employee]=Employee[[#This Row],[Employee]]),Salary[№],""),1),MATCH(Employee[[#Headers],[FTE]],Salary[#Headers],0))</f>
        <v>0</v>
      </c>
      <c r="E34" s="522" t="e">
        <f>INDEX(GradesAndSalaries[],MATCH(Employee[[#This Row],[Grade Status]],GradesAndSalaries[Grade],0),MATCH("Target Utilization",GradesAndSalaries[#Headers],0))</f>
        <v>#VALUE!</v>
      </c>
      <c r="F34" s="521" t="e">
        <f>INDEX(GradesAndSalaries[],MATCH(Employee[[#This Row],[Grade Status]],GradesAndSalaries[Grade],0),MATCH(Employee[[#Headers],[Base Budgeting COST]],GradesAndSalaries[#Headers],0))</f>
        <v>#VALUE!</v>
      </c>
      <c r="G34" s="522" t="e" cm="1">
        <f t="array" ref="G34">INDEX(GradesAndSalaries[],MATCH(Employee[[#This Row],[Grade Status]],GradesAndSalaries[Grade],0),MATCH(Employee[[#Headers],[Min. Budgeting COST]],GradesAndSalaries[#Headers],0))</f>
        <v>#VALUE!</v>
      </c>
      <c r="H34" s="522"/>
    </row>
    <row r="35" spans="1:8" x14ac:dyDescent="0.25">
      <c r="A35" s="586" t="s">
        <v>3113</v>
      </c>
      <c r="B35" s="305" t="str">
        <f t="array" ref="B35">INDEX(Salary[],LARGE(IF((Salary[Employee]=Employee[[#This Row],[Employee]]),Salary[№],""),1),MATCH(Salary[[#Headers],[Position]],Salary[#Headers],0))</f>
        <v>Fired</v>
      </c>
      <c r="C35" t="e">
        <f>INDEX(Salary[],LARGE(IF((Salary[[#This Row],[Employee]]=Employee[[#This Row],[Employee]]),Salary[№],""),1),MATCH(Salary[[#Headers],[Grade]],Salary[#Headers],0))</f>
        <v>#VALUE!</v>
      </c>
      <c r="D35" s="500">
        <f t="array" ref="D35">INDEX(Salary[],LARGE(IF((Salary[Employee]=Employee[[#This Row],[Employee]]),Salary[№],""),1),MATCH(Employee[[#Headers],[FTE]],Salary[#Headers],0))</f>
        <v>1</v>
      </c>
      <c r="E35" s="583" t="e">
        <f>INDEX(GradesAndSalaries[],MATCH(Employee[[#This Row],[Grade Status]],GradesAndSalaries[Grade],0),MATCH("Target Utilization",GradesAndSalaries[#Headers],0))</f>
        <v>#VALUE!</v>
      </c>
      <c r="F35" s="584" t="e">
        <f>INDEX(GradesAndSalaries[],MATCH(Employee[[#This Row],[Grade Status]],GradesAndSalaries[Grade],0),MATCH(Employee[[#Headers],[Base Budgeting COST]],GradesAndSalaries[#Headers],0))</f>
        <v>#VALUE!</v>
      </c>
      <c r="G35" s="582" t="e" cm="1">
        <f t="array" ref="G35">INDEX(GradesAndSalaries[],MATCH(Employee[[#This Row],[Grade Status]],GradesAndSalaries[Grade],0),MATCH(Employee[[#Headers],[Min. Budgeting COST]],GradesAndSalaries[#Headers],0))</f>
        <v>#VALUE!</v>
      </c>
      <c r="H35" s="583"/>
    </row>
    <row r="36" spans="1:8" x14ac:dyDescent="0.25">
      <c r="A36" s="586" t="s">
        <v>3119</v>
      </c>
      <c r="B36" s="305" t="str">
        <f t="array" ref="B36">INDEX(Salary[],LARGE(IF((Salary[Employee]=Employee[[#This Row],[Employee]]),Salary[№],""),1),MATCH(Salary[[#Headers],[Position]],Salary[#Headers],0))</f>
        <v>Project Manager 2</v>
      </c>
      <c r="C36" t="e">
        <f>INDEX(Salary[],LARGE(IF((Salary[[#This Row],[Employee]]=Employee[[#This Row],[Employee]]),Salary[№],""),1),MATCH(Salary[[#Headers],[Grade]],Salary[#Headers],0))</f>
        <v>#VALUE!</v>
      </c>
      <c r="D36" s="500">
        <f t="array" ref="D36">INDEX(Salary[],LARGE(IF((Salary[Employee]=Employee[[#This Row],[Employee]]),Salary[№],""),1),MATCH(Employee[[#Headers],[FTE]],Salary[#Headers],0))</f>
        <v>1</v>
      </c>
      <c r="E36" s="583" t="e">
        <f>INDEX(GradesAndSalaries[],MATCH(Employee[[#This Row],[Grade Status]],GradesAndSalaries[Grade],0),MATCH("Target Utilization",GradesAndSalaries[#Headers],0))</f>
        <v>#VALUE!</v>
      </c>
      <c r="F36" s="584" t="e">
        <f>INDEX(GradesAndSalaries[],MATCH(Employee[[#This Row],[Grade Status]],GradesAndSalaries[Grade],0),MATCH(Employee[[#Headers],[Base Budgeting COST]],GradesAndSalaries[#Headers],0))</f>
        <v>#VALUE!</v>
      </c>
      <c r="G36" s="582" t="e" cm="1">
        <f t="array" ref="G36">INDEX(GradesAndSalaries[],MATCH(Employee[[#This Row],[Grade Status]],GradesAndSalaries[Grade],0),MATCH(Employee[[#Headers],[Min. Budgeting COST]],GradesAndSalaries[#Headers],0))</f>
        <v>#VALUE!</v>
      </c>
      <c r="H36" s="583"/>
    </row>
    <row r="37" spans="1:8" x14ac:dyDescent="0.25">
      <c r="A37" s="199" t="s">
        <v>3154</v>
      </c>
      <c r="B37" s="305" t="str">
        <f t="array" ref="B37">INDEX(Salary[],LARGE(IF((Salary[Employee]=Employee[[#This Row],[Employee]]),Salary[№],""),1),MATCH(Salary[[#Headers],[Position]],Salary[#Headers],0))</f>
        <v>Еngineer 1</v>
      </c>
      <c r="C37" t="e">
        <f>INDEX(Salary[],LARGE(IF((Salary[[#This Row],[Employee]]=Employee[[#This Row],[Employee]]),Salary[№],""),1),MATCH(Salary[[#Headers],[Grade]],Salary[#Headers],0))</f>
        <v>#VALUE!</v>
      </c>
      <c r="D37" s="500">
        <f t="array" ref="D37">INDEX(Salary[],LARGE(IF((Salary[Employee]=Employee[[#This Row],[Employee]]),Salary[№],""),1),MATCH(Employee[[#Headers],[FTE]],Salary[#Headers],0))</f>
        <v>1</v>
      </c>
      <c r="E37" s="637" t="e">
        <f>INDEX(GradesAndSalaries[],MATCH(Employee[[#This Row],[Grade Status]],GradesAndSalaries[Grade],0),MATCH("Target Utilization",GradesAndSalaries[#Headers],0))</f>
        <v>#VALUE!</v>
      </c>
      <c r="F37" s="638" t="e">
        <f>INDEX(GradesAndSalaries[],MATCH(Employee[[#This Row],[Grade Status]],GradesAndSalaries[Grade],0),MATCH(Employee[[#Headers],[Base Budgeting COST]],GradesAndSalaries[#Headers],0))</f>
        <v>#VALUE!</v>
      </c>
      <c r="G37" s="636" t="e" cm="1">
        <f t="array" ref="G37">INDEX(GradesAndSalaries[],MATCH(Employee[[#This Row],[Grade Status]],GradesAndSalaries[Grade],0),MATCH(Employee[[#Headers],[Min. Budgeting COST]],GradesAndSalaries[#Headers],0))</f>
        <v>#VALUE!</v>
      </c>
      <c r="H37" s="637"/>
    </row>
    <row r="38" spans="1:8" x14ac:dyDescent="0.25">
      <c r="A38" s="635" t="s">
        <v>3155</v>
      </c>
      <c r="B38" s="305" t="str">
        <f t="array" ref="B38">INDEX(Salary[],LARGE(IF((Salary[Employee]=Employee[[#This Row],[Employee]]),Salary[№],""),1),MATCH(Salary[[#Headers],[Position]],Salary[#Headers],0))</f>
        <v>Fired</v>
      </c>
      <c r="C38" t="e">
        <f>INDEX(Salary[],LARGE(IF((Salary[[#This Row],[Employee]]=Employee[[#This Row],[Employee]]),Salary[№],""),1),MATCH(Salary[[#Headers],[Grade]],Salary[#Headers],0))</f>
        <v>#VALUE!</v>
      </c>
      <c r="D38" s="500">
        <f t="array" ref="D38">INDEX(Salary[],LARGE(IF((Salary[Employee]=Employee[[#This Row],[Employee]]),Salary[№],""),1),MATCH(Employee[[#Headers],[FTE]],Salary[#Headers],0))</f>
        <v>1</v>
      </c>
      <c r="E38" s="637" t="e">
        <f>INDEX(GradesAndSalaries[],MATCH(Employee[[#This Row],[Grade Status]],GradesAndSalaries[Grade],0),MATCH("Target Utilization",GradesAndSalaries[#Headers],0))</f>
        <v>#VALUE!</v>
      </c>
      <c r="F38" s="638" t="e">
        <f>INDEX(GradesAndSalaries[],MATCH(Employee[[#This Row],[Grade Status]],GradesAndSalaries[Grade],0),MATCH(Employee[[#Headers],[Base Budgeting COST]],GradesAndSalaries[#Headers],0))</f>
        <v>#VALUE!</v>
      </c>
      <c r="G38" s="636" t="e" cm="1">
        <f t="array" ref="G38">INDEX(GradesAndSalaries[],MATCH(Employee[[#This Row],[Grade Status]],GradesAndSalaries[Grade],0),MATCH(Employee[[#Headers],[Min. Budgeting COST]],GradesAndSalaries[#Headers],0))</f>
        <v>#VALUE!</v>
      </c>
      <c r="H38" s="637"/>
    </row>
    <row r="39" spans="1:8" x14ac:dyDescent="0.25">
      <c r="A39" s="635" t="s">
        <v>3212</v>
      </c>
      <c r="B39" s="305" t="str">
        <f t="array" ref="B39">INDEX(Salary[],LARGE(IF((Salary[Employee]=Employee[[#This Row],[Employee]]),Salary[№],""),1),MATCH(Salary[[#Headers],[Position]],Salary[#Headers],0))</f>
        <v>Fired</v>
      </c>
      <c r="C39" t="e">
        <f>INDEX(Salary[],LARGE(IF((Salary[[#This Row],[Employee]]=Employee[[#This Row],[Employee]]),Salary[№],""),1),MATCH(Salary[[#Headers],[Grade]],Salary[#Headers],0))</f>
        <v>#VALUE!</v>
      </c>
      <c r="D39" s="500">
        <f t="array" ref="D39">INDEX(Salary[],LARGE(IF((Salary[Employee]=Employee[[#This Row],[Employee]]),Salary[№],""),1),MATCH(Employee[[#Headers],[FTE]],Salary[#Headers],0))</f>
        <v>0</v>
      </c>
      <c r="E39" s="637" t="e">
        <f>INDEX(GradesAndSalaries[],MATCH(Employee[[#This Row],[Grade Status]],GradesAndSalaries[Grade],0),MATCH("Target Utilization",GradesAndSalaries[#Headers],0))</f>
        <v>#VALUE!</v>
      </c>
      <c r="F39" s="638" t="e">
        <f>INDEX(GradesAndSalaries[],MATCH(Employee[[#This Row],[Grade Status]],GradesAndSalaries[Grade],0),MATCH(Employee[[#Headers],[Base Budgeting COST]],GradesAndSalaries[#Headers],0))</f>
        <v>#VALUE!</v>
      </c>
      <c r="G39" s="636" t="e" cm="1">
        <f t="array" ref="G39">INDEX(GradesAndSalaries[],MATCH(Employee[[#This Row],[Grade Status]],GradesAndSalaries[Grade],0),MATCH(Employee[[#Headers],[Min. Budgeting COST]],GradesAndSalaries[#Headers],0))</f>
        <v>#VALUE!</v>
      </c>
      <c r="H39" s="637"/>
    </row>
    <row r="40" spans="1:8" x14ac:dyDescent="0.25">
      <c r="A40" s="734" t="s">
        <v>3614</v>
      </c>
      <c r="B40" s="305" t="str">
        <f t="array" ref="B40">INDEX(Salary[],LARGE(IF((Salary[Employee]=Employee[[#This Row],[Employee]]),Salary[№],""),1),MATCH(Salary[[#Headers],[Position]],Salary[#Headers],0))</f>
        <v>Junior Engineer 2</v>
      </c>
      <c r="C40" s="736" t="e">
        <f>INDEX(Salary[],LARGE(IF((Salary[[#This Row],[Employee]]=Employee[[#This Row],[Employee]]),Salary[№],""),1),MATCH(Salary[[#Headers],[Grade]],Salary[#Headers],0))</f>
        <v>#VALUE!</v>
      </c>
      <c r="D40" s="736" cm="1">
        <f t="array" ref="D40">INDEX(Salary[],LARGE(IF((Salary[Employee]=Employee[[#This Row],[Employee]]),Salary[№],""),1),MATCH(Employee[[#Headers],[FTE]],Salary[#Headers],0))</f>
        <v>0.5</v>
      </c>
      <c r="E40" s="736" t="e">
        <f>INDEX(GradesAndSalaries[],MATCH(Employee[[#This Row],[Grade Status]],GradesAndSalaries[Grade],0),MATCH("Target Utilization",GradesAndSalaries[#Headers],0))</f>
        <v>#VALUE!</v>
      </c>
      <c r="F40" s="737" t="e">
        <f>INDEX(GradesAndSalaries[],MATCH(Employee[[#This Row],[Grade Status]],GradesAndSalaries[Grade],0),MATCH(Employee[[#Headers],[Base Budgeting COST]],GradesAndSalaries[#Headers],0))</f>
        <v>#VALUE!</v>
      </c>
      <c r="G40" s="735" t="e" cm="1">
        <f t="array" ref="G40">INDEX(GradesAndSalaries[],MATCH(Employee[[#This Row],[Grade Status]],GradesAndSalaries[Grade],0),MATCH(Employee[[#Headers],[Min. Budgeting COST]],GradesAndSalaries[#Headers],0))</f>
        <v>#VALUE!</v>
      </c>
      <c r="H40" s="736"/>
    </row>
    <row r="41" spans="1:8" x14ac:dyDescent="0.25">
      <c r="A41" s="734" t="s">
        <v>3672</v>
      </c>
      <c r="B41" s="735" t="str" cm="1">
        <f t="array" ref="B41">INDEX(Salary[],LARGE(IF((Salary[Employee]=Employee[[#This Row],[Employee]]),Salary[№],""),1),MATCH(Salary[[#Headers],[Position]],Salary[#Headers],0))</f>
        <v>Еngineer 2</v>
      </c>
      <c r="C41" s="736" t="e">
        <f>INDEX(Salary[],LARGE(IF((Salary[[#This Row],[Employee]]=Employee[[#This Row],[Employee]]),Salary[№],""),1),MATCH(Salary[[#Headers],[Grade]],Salary[#Headers],0))</f>
        <v>#VALUE!</v>
      </c>
      <c r="D41" s="736" cm="1">
        <f t="array" ref="D41">INDEX(Salary[],LARGE(IF((Salary[Employee]=Employee[[#This Row],[Employee]]),Salary[№],""),1),MATCH(Employee[[#Headers],[FTE]],Salary[#Headers],0))</f>
        <v>1</v>
      </c>
      <c r="E41" s="736" t="e">
        <f>INDEX(GradesAndSalaries[],MATCH(Employee[[#This Row],[Grade Status]],GradesAndSalaries[Grade],0),MATCH("Target Utilization",GradesAndSalaries[#Headers],0))</f>
        <v>#VALUE!</v>
      </c>
      <c r="F41" s="737" t="e">
        <f>INDEX(GradesAndSalaries[],MATCH(Employee[[#This Row],[Grade Status]],GradesAndSalaries[Grade],0),MATCH(Employee[[#Headers],[Base Budgeting COST]],GradesAndSalaries[#Headers],0))</f>
        <v>#VALUE!</v>
      </c>
      <c r="G41" s="735" t="e" cm="1">
        <f t="array" ref="G41">INDEX(GradesAndSalaries[],MATCH(Employee[[#This Row],[Grade Status]],GradesAndSalaries[Grade],0),MATCH(Employee[[#Headers],[Min. Budgeting COST]],GradesAndSalaries[#Headers],0))</f>
        <v>#VALUE!</v>
      </c>
      <c r="H41" s="736"/>
    </row>
    <row r="42" spans="1:8" x14ac:dyDescent="0.25">
      <c r="A42" s="586" t="s">
        <v>3699</v>
      </c>
      <c r="B42" s="757" t="str" cm="1">
        <f t="array" ref="B42">INDEX(Salary[],LARGE(IF((Salary[Employee]=Employee[[#This Row],[Employee]]),Salary[№],""),1),MATCH(Salary[[#Headers],[Position]],Salary[#Headers],0))</f>
        <v>Project Manager 2</v>
      </c>
      <c r="C42" s="758" t="e">
        <f>INDEX(Salary[],LARGE(IF((Salary[[#This Row],[Employee]]=Employee[[#This Row],[Employee]]),Salary[№],""),1),MATCH(Salary[[#Headers],[Grade]],Salary[#Headers],0))</f>
        <v>#VALUE!</v>
      </c>
      <c r="D42" s="758" cm="1">
        <f t="array" ref="D42">INDEX(Salary[],LARGE(IF((Salary[Employee]=Employee[[#This Row],[Employee]]),Salary[№],""),1),MATCH(Employee[[#Headers],[FTE]],Salary[#Headers],0))</f>
        <v>1</v>
      </c>
      <c r="E42" s="758" t="e">
        <f>INDEX(GradesAndSalaries[],MATCH(Employee[[#This Row],[Grade Status]],GradesAndSalaries[Grade],0),MATCH("Target Utilization",GradesAndSalaries[#Headers],0))</f>
        <v>#VALUE!</v>
      </c>
      <c r="F42" s="759" t="e">
        <f>INDEX(GradesAndSalaries[],MATCH(Employee[[#This Row],[Grade Status]],GradesAndSalaries[Grade],0),MATCH(Employee[[#Headers],[Base Budgeting COST]],GradesAndSalaries[#Headers],0))</f>
        <v>#VALUE!</v>
      </c>
      <c r="G42" s="757" t="e" cm="1">
        <f t="array" ref="G42">INDEX(GradesAndSalaries[],MATCH(Employee[[#This Row],[Grade Status]],GradesAndSalaries[Grade],0),MATCH(Employee[[#Headers],[Min. Budgeting COST]],GradesAndSalaries[#Headers],0))</f>
        <v>#VALUE!</v>
      </c>
      <c r="H42" s="758"/>
    </row>
    <row r="43" spans="1:8" x14ac:dyDescent="0.25">
      <c r="A43" s="762" t="s">
        <v>3614</v>
      </c>
      <c r="B43" s="757" t="str" cm="1">
        <f t="array" ref="B43">INDEX(Salary[],LARGE(IF((Salary[Employee]=Employee[[#This Row],[Employee]]),Salary[№],""),1),MATCH(Salary[[#Headers],[Position]],Salary[#Headers],0))</f>
        <v>Junior Engineer 2</v>
      </c>
      <c r="C43" s="758" t="e">
        <f>INDEX(Salary[],LARGE(IF((Salary[[#This Row],[Employee]]=Employee[[#This Row],[Employee]]),Salary[№],""),1),MATCH(Salary[[#Headers],[Grade]],Salary[#Headers],0))</f>
        <v>#VALUE!</v>
      </c>
      <c r="D43" s="758" cm="1">
        <f t="array" ref="D43">INDEX(Salary[],LARGE(IF((Salary[Employee]=Employee[[#This Row],[Employee]]),Salary[№],""),1),MATCH(Employee[[#Headers],[FTE]],Salary[#Headers],0))</f>
        <v>0.5</v>
      </c>
      <c r="E43" s="758" t="e">
        <f>INDEX(GradesAndSalaries[],MATCH(Employee[[#This Row],[Grade Status]],GradesAndSalaries[Grade],0),MATCH("Target Utilization",GradesAndSalaries[#Headers],0))</f>
        <v>#VALUE!</v>
      </c>
      <c r="F43" s="759" t="e">
        <f>INDEX(GradesAndSalaries[],MATCH(Employee[[#This Row],[Grade Status]],GradesAndSalaries[Grade],0),MATCH(Employee[[#Headers],[Base Budgeting COST]],GradesAndSalaries[#Headers],0))</f>
        <v>#VALUE!</v>
      </c>
      <c r="G43" s="757" t="e" cm="1">
        <f t="array" ref="G43">INDEX(GradesAndSalaries[],MATCH(Employee[[#This Row],[Grade Status]],GradesAndSalaries[Grade],0),MATCH(Employee[[#Headers],[Min. Budgeting COST]],GradesAndSalaries[#Headers],0))</f>
        <v>#VALUE!</v>
      </c>
      <c r="H43" s="758"/>
    </row>
    <row r="44" spans="1:8" x14ac:dyDescent="0.25">
      <c r="A44" s="734" t="s">
        <v>3735</v>
      </c>
      <c r="B44" s="735" t="str" cm="1">
        <f t="array" ref="B44">INDEX(Salary[],LARGE(IF((Salary[Employee]=Employee[[#This Row],[Employee]]),Salary[№],""),1),MATCH(Salary[[#Headers],[Position]],Salary[#Headers],0))</f>
        <v>Еngineer 1</v>
      </c>
      <c r="C44" s="736" t="e">
        <f>INDEX(Salary[],LARGE(IF((Salary[[#This Row],[Employee]]=Employee[[#This Row],[Employee]]),Salary[№],""),1),MATCH(Salary[[#Headers],[Grade]],Salary[#Headers],0))</f>
        <v>#VALUE!</v>
      </c>
      <c r="D44" s="736" cm="1">
        <f t="array" ref="D44">INDEX(Salary[],LARGE(IF((Salary[Employee]=Employee[[#This Row],[Employee]]),Salary[№],""),1),MATCH(Employee[[#Headers],[FTE]],Salary[#Headers],0))</f>
        <v>1</v>
      </c>
      <c r="E44" s="736" t="e">
        <f>INDEX(GradesAndSalaries[],MATCH(Employee[[#This Row],[Grade Status]],GradesAndSalaries[Grade],0),MATCH("Target Utilization",GradesAndSalaries[#Headers],0))</f>
        <v>#VALUE!</v>
      </c>
      <c r="F44" s="737" t="e">
        <f>INDEX(GradesAndSalaries[],MATCH(Employee[[#This Row],[Grade Status]],GradesAndSalaries[Grade],0),MATCH(Employee[[#Headers],[Base Budgeting COST]],GradesAndSalaries[#Headers],0))</f>
        <v>#VALUE!</v>
      </c>
      <c r="G44" s="735" t="e" cm="1">
        <f t="array" ref="G44">INDEX(GradesAndSalaries[],MATCH(Employee[[#This Row],[Grade Status]],GradesAndSalaries[Grade],0),MATCH(Employee[[#Headers],[Min. Budgeting COST]],GradesAndSalaries[#Headers],0))</f>
        <v>#VALUE!</v>
      </c>
      <c r="H44" s="736"/>
    </row>
    <row r="45" spans="1:8" x14ac:dyDescent="0.25">
      <c r="A45" s="586" t="s">
        <v>3745</v>
      </c>
      <c r="B45" s="757" t="str" cm="1">
        <f t="array" ref="B45">INDEX(Salary[],LARGE(IF((Salary[Employee]=Employee[[#This Row],[Employee]]),Salary[№],""),1),MATCH(Salary[[#Headers],[Position]],Salary[#Headers],0))</f>
        <v>Junior Engineer 2</v>
      </c>
      <c r="C45" s="758" t="e">
        <f>INDEX(Salary[],LARGE(IF((Salary[[#This Row],[Employee]]=Employee[[#This Row],[Employee]]),Salary[№],""),1),MATCH(Salary[[#Headers],[Grade]],Salary[#Headers],0))</f>
        <v>#VALUE!</v>
      </c>
      <c r="D45" s="758" cm="1">
        <f t="array" ref="D45">INDEX(Salary[],LARGE(IF((Salary[Employee]=Employee[[#This Row],[Employee]]),Salary[№],""),1),MATCH(Employee[[#Headers],[FTE]],Salary[#Headers],0))</f>
        <v>0.8</v>
      </c>
      <c r="E45" s="758" t="e">
        <f>INDEX(GradesAndSalaries[],MATCH(Employee[[#This Row],[Grade Status]],GradesAndSalaries[Grade],0),MATCH("Target Utilization",GradesAndSalaries[#Headers],0))</f>
        <v>#VALUE!</v>
      </c>
      <c r="F45" s="759" t="e">
        <f>INDEX(GradesAndSalaries[],MATCH(Employee[[#This Row],[Grade Status]],GradesAndSalaries[Grade],0),MATCH(Employee[[#Headers],[Base Budgeting COST]],GradesAndSalaries[#Headers],0))</f>
        <v>#VALUE!</v>
      </c>
      <c r="G45" s="757" t="e" cm="1">
        <f t="array" ref="G45">INDEX(GradesAndSalaries[],MATCH(Employee[[#This Row],[Grade Status]],GradesAndSalaries[Grade],0),MATCH(Employee[[#Headers],[Min. Budgeting COST]],GradesAndSalaries[#Headers],0))</f>
        <v>#VALUE!</v>
      </c>
      <c r="H45" s="758"/>
    </row>
    <row r="46" spans="1:8" x14ac:dyDescent="0.25">
      <c r="A46" s="586" t="s">
        <v>3808</v>
      </c>
      <c r="B46" s="771" t="str" cm="1">
        <f t="array" ref="B46">INDEX(Salary[],LARGE(IF((Salary[Employee]=Employee[[#This Row],[Employee]]),Salary[№],""),1),MATCH(Salary[[#Headers],[Position]],Salary[#Headers],0))</f>
        <v>Junior Engineer 1</v>
      </c>
      <c r="C46" s="772" t="e">
        <f>INDEX(Salary[],LARGE(IF((Salary[[#This Row],[Employee]]=Employee[[#This Row],[Employee]]),Salary[№],""),1),MATCH(Salary[[#Headers],[Grade]],Salary[#Headers],0))</f>
        <v>#VALUE!</v>
      </c>
      <c r="D46" s="772" cm="1">
        <f t="array" ref="D46">INDEX(Salary[],LARGE(IF((Salary[Employee]=Employee[[#This Row],[Employee]]),Salary[№],""),1),MATCH(Employee[[#Headers],[FTE]],Salary[#Headers],0))</f>
        <v>1</v>
      </c>
      <c r="E46" s="772" t="e">
        <f>INDEX(GradesAndSalaries[],MATCH(Employee[[#This Row],[Grade Status]],GradesAndSalaries[Grade],0),MATCH("Target Utilization",GradesAndSalaries[#Headers],0))</f>
        <v>#VALUE!</v>
      </c>
      <c r="F46" s="773" t="e">
        <f>INDEX(GradesAndSalaries[],MATCH(Employee[[#This Row],[Grade Status]],GradesAndSalaries[Grade],0),MATCH(Employee[[#Headers],[Base Budgeting COST]],GradesAndSalaries[#Headers],0))</f>
        <v>#VALUE!</v>
      </c>
      <c r="G46" s="771" t="e" cm="1">
        <f t="array" ref="G46">INDEX(GradesAndSalaries[],MATCH(Employee[[#This Row],[Grade Status]],GradesAndSalaries[Grade],0),MATCH(Employee[[#Headers],[Min. Budgeting COST]],GradesAndSalaries[#Headers],0))</f>
        <v>#VALUE!</v>
      </c>
      <c r="H46" s="772"/>
    </row>
    <row r="47" spans="1:8" x14ac:dyDescent="0.25">
      <c r="A47" s="586" t="s">
        <v>3886</v>
      </c>
      <c r="B47" s="771" t="str" cm="1">
        <f t="array" ref="B47">INDEX(Salary[],LARGE(IF((Salary[Employee]=Employee[[#This Row],[Employee]]),Salary[№],""),1),MATCH(Salary[[#Headers],[Position]],Salary[#Headers],0))</f>
        <v>Junior Engineer 2</v>
      </c>
      <c r="C47" s="772" t="e">
        <f>INDEX(Salary[],LARGE(IF((Salary[[#This Row],[Employee]]=Employee[[#This Row],[Employee]]),Salary[№],""),1),MATCH(Salary[[#Headers],[Grade]],Salary[#Headers],0))</f>
        <v>#VALUE!</v>
      </c>
      <c r="D47" s="772" cm="1">
        <f t="array" ref="D47">INDEX(Salary[],LARGE(IF((Salary[Employee]=Employee[[#This Row],[Employee]]),Salary[№],""),1),MATCH(Employee[[#Headers],[FTE]],Salary[#Headers],0))</f>
        <v>1</v>
      </c>
      <c r="E47" s="772" t="e">
        <f>INDEX(GradesAndSalaries[],MATCH(Employee[[#This Row],[Grade Status]],GradesAndSalaries[Grade],0),MATCH("Target Utilization",GradesAndSalaries[#Headers],0))</f>
        <v>#VALUE!</v>
      </c>
      <c r="F47" s="773" t="e">
        <f>INDEX(GradesAndSalaries[],MATCH(Employee[[#This Row],[Grade Status]],GradesAndSalaries[Grade],0),MATCH(Employee[[#Headers],[Base Budgeting COST]],GradesAndSalaries[#Headers],0))</f>
        <v>#VALUE!</v>
      </c>
      <c r="G47" s="771" t="e" cm="1">
        <f t="array" ref="G47">INDEX(GradesAndSalaries[],MATCH(Employee[[#This Row],[Grade Status]],GradesAndSalaries[Grade],0),MATCH(Employee[[#Headers],[Min. Budgeting COST]],GradesAndSalaries[#Headers],0))</f>
        <v>#VALUE!</v>
      </c>
      <c r="H47" s="772"/>
    </row>
  </sheetData>
  <dataValidations count="1">
    <dataValidation type="list" allowBlank="1" showInputMessage="1" showErrorMessage="1" sqref="A2:A4 A37" xr:uid="{00000000-0002-0000-0200-000000000000}">
      <formula1>INDIRECT("'[Library.xlsx]Team'!Employee[Employee]")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13"/>
  <sheetViews>
    <sheetView workbookViewId="0">
      <selection activeCell="A4" sqref="A4"/>
    </sheetView>
  </sheetViews>
  <sheetFormatPr defaultRowHeight="15" x14ac:dyDescent="0.25"/>
  <cols>
    <col min="1" max="1" width="21.140625" bestFit="1" customWidth="1"/>
  </cols>
  <sheetData>
    <row r="1" spans="1:1" x14ac:dyDescent="0.25">
      <c r="A1" t="s">
        <v>449</v>
      </c>
    </row>
    <row r="2" spans="1:1" x14ac:dyDescent="0.25">
      <c r="A2" t="s">
        <v>450</v>
      </c>
    </row>
    <row r="3" spans="1:1" x14ac:dyDescent="0.25">
      <c r="A3" t="s">
        <v>451</v>
      </c>
    </row>
    <row r="4" spans="1:1" x14ac:dyDescent="0.25">
      <c r="A4" t="s">
        <v>452</v>
      </c>
    </row>
    <row r="5" spans="1:1" x14ac:dyDescent="0.25">
      <c r="A5" t="s">
        <v>453</v>
      </c>
    </row>
    <row r="6" spans="1:1" x14ac:dyDescent="0.25">
      <c r="A6" t="s">
        <v>467</v>
      </c>
    </row>
    <row r="7" spans="1:1" x14ac:dyDescent="0.25">
      <c r="A7" t="s">
        <v>680</v>
      </c>
    </row>
    <row r="8" spans="1:1" x14ac:dyDescent="0.25">
      <c r="A8" t="s">
        <v>687</v>
      </c>
    </row>
    <row r="11" spans="1:1" x14ac:dyDescent="0.25">
      <c r="A11" t="s">
        <v>462</v>
      </c>
    </row>
    <row r="12" spans="1:1" x14ac:dyDescent="0.25">
      <c r="A12" t="s">
        <v>460</v>
      </c>
    </row>
    <row r="13" spans="1:1" x14ac:dyDescent="0.25">
      <c r="A13" t="s">
        <v>461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J38"/>
  <sheetViews>
    <sheetView zoomScale="85" zoomScaleNormal="85" workbookViewId="0">
      <selection activeCell="G5" sqref="G5"/>
    </sheetView>
  </sheetViews>
  <sheetFormatPr defaultRowHeight="15" x14ac:dyDescent="0.25"/>
  <cols>
    <col min="1" max="1" width="11" bestFit="1" customWidth="1"/>
    <col min="2" max="2" width="12.140625" customWidth="1"/>
    <col min="3" max="3" width="21.7109375" bestFit="1" customWidth="1"/>
    <col min="4" max="4" width="21.28515625" bestFit="1" customWidth="1"/>
    <col min="5" max="5" width="21.5703125" bestFit="1" customWidth="1"/>
    <col min="6" max="6" width="17.5703125" bestFit="1" customWidth="1"/>
    <col min="7" max="7" width="35" bestFit="1" customWidth="1"/>
    <col min="8" max="8" width="17.140625" customWidth="1"/>
    <col min="9" max="9" width="41.5703125" bestFit="1" customWidth="1"/>
    <col min="10" max="10" width="13.28515625" bestFit="1" customWidth="1"/>
    <col min="11" max="11" width="22.7109375" bestFit="1" customWidth="1"/>
  </cols>
  <sheetData>
    <row r="1" spans="1:10" ht="45" x14ac:dyDescent="0.25">
      <c r="A1" s="1" t="s">
        <v>465</v>
      </c>
      <c r="B1" s="1" t="s">
        <v>448</v>
      </c>
      <c r="C1" t="s">
        <v>459</v>
      </c>
      <c r="D1" t="s">
        <v>709</v>
      </c>
      <c r="E1" t="s">
        <v>464</v>
      </c>
      <c r="F1" t="s">
        <v>457</v>
      </c>
      <c r="G1" t="s">
        <v>200</v>
      </c>
      <c r="I1" t="s">
        <v>463</v>
      </c>
      <c r="J1" s="32">
        <f>SUM(IF(FREQUENCY(MATCH(Employee[Employee],Employee[Employee],0),MATCH(Employee[Employee],Employee[Employee],0))&gt;0,1))-COUNTIF(Employee[Position Status],"Fired")-4</f>
        <v>14</v>
      </c>
    </row>
    <row r="2" spans="1:10" x14ac:dyDescent="0.25">
      <c r="A2" s="29">
        <f t="array" ref="A2">LARGE(IF(OverheadCostsTransactionalTable[Overhead Cost Name]=OverheadCosts[[#This Row],[Overhead Cost Name]],OverheadCostsTransactionalTable[Date],"No Mentions"),1)</f>
        <v>43252</v>
      </c>
      <c r="B2" s="1" t="s">
        <v>467</v>
      </c>
      <c r="C2" s="1" t="s">
        <v>461</v>
      </c>
      <c r="D2" s="1" t="s">
        <v>711</v>
      </c>
      <c r="E2" s="30" t="s">
        <v>468</v>
      </c>
      <c r="F2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500</v>
      </c>
      <c r="G2" s="1"/>
      <c r="I2" t="s">
        <v>469</v>
      </c>
      <c r="J2" s="6">
        <f>SUMIF(OverheadCosts[Overhead Cost Type 2],"Corporate",OverheadCosts[Price per Month, RUB])/J1+SUMIF(OverheadCosts[Overhead Cost Type 2],"Personal",OverheadCosts[Price per Month, RUB])</f>
        <v>5184.3333333333339</v>
      </c>
    </row>
    <row r="3" spans="1:10" x14ac:dyDescent="0.25">
      <c r="A3" s="29">
        <f t="array" ref="A3">LARGE(IF(OverheadCostsTransactionalTable[Overhead Cost Name]=OverheadCosts[[#This Row],[Overhead Cost Name]],OverheadCostsTransactionalTable[Date],"No Mentions"),1)</f>
        <v>43191</v>
      </c>
      <c r="B3" s="1" t="s">
        <v>680</v>
      </c>
      <c r="C3" s="1" t="s">
        <v>461</v>
      </c>
      <c r="D3" s="1" t="s">
        <v>711</v>
      </c>
      <c r="E3" s="30" t="s">
        <v>678</v>
      </c>
      <c r="F3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500</v>
      </c>
      <c r="G3" s="1"/>
      <c r="I3" t="s">
        <v>470</v>
      </c>
      <c r="J3" s="31">
        <f>J2*J1</f>
        <v>72580.666666666672</v>
      </c>
    </row>
    <row r="4" spans="1:10" x14ac:dyDescent="0.25">
      <c r="A4" s="29">
        <f t="array" ref="A4">LARGE(IF(OverheadCostsTransactionalTable[Overhead Cost Name]=OverheadCosts[[#This Row],[Overhead Cost Name]],OverheadCostsTransactionalTable[Date],"No Mentions"),1)</f>
        <v>43252</v>
      </c>
      <c r="B4" s="1" t="s">
        <v>680</v>
      </c>
      <c r="C4" s="1" t="s">
        <v>461</v>
      </c>
      <c r="D4" s="1" t="s">
        <v>711</v>
      </c>
      <c r="E4" s="30" t="s">
        <v>679</v>
      </c>
      <c r="F4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1500</v>
      </c>
      <c r="G4" s="1"/>
      <c r="I4" t="s">
        <v>471</v>
      </c>
      <c r="J4" s="31">
        <f>J3*12</f>
        <v>870968</v>
      </c>
    </row>
    <row r="5" spans="1:10" x14ac:dyDescent="0.25">
      <c r="A5" s="29">
        <f t="array" ref="A5">LARGE(IF(OverheadCostsTransactionalTable[Overhead Cost Name]=OverheadCosts[[#This Row],[Overhead Cost Name]],OverheadCostsTransactionalTable[Date],"No Mentions"),1)</f>
        <v>43252</v>
      </c>
      <c r="B5" s="1" t="s">
        <v>680</v>
      </c>
      <c r="C5" s="1" t="s">
        <v>461</v>
      </c>
      <c r="D5" s="1" t="s">
        <v>711</v>
      </c>
      <c r="E5" s="30" t="s">
        <v>685</v>
      </c>
      <c r="F5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500</v>
      </c>
      <c r="G5" s="1"/>
    </row>
    <row r="6" spans="1:10" x14ac:dyDescent="0.25">
      <c r="A6" s="29">
        <f t="array" ref="A6">LARGE(IF(OverheadCostsTransactionalTable[Overhead Cost Name]=OverheadCosts[[#This Row],[Overhead Cost Name]],OverheadCostsTransactionalTable[Date],"No Mentions"),1)</f>
        <v>43221</v>
      </c>
      <c r="B6" s="1" t="s">
        <v>687</v>
      </c>
      <c r="C6" s="1" t="s">
        <v>461</v>
      </c>
      <c r="D6" s="1" t="s">
        <v>711</v>
      </c>
      <c r="E6" s="30" t="s">
        <v>688</v>
      </c>
      <c r="F6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1500</v>
      </c>
      <c r="G6" s="1"/>
      <c r="I6" t="s">
        <v>721</v>
      </c>
      <c r="J6" s="65">
        <v>0.1</v>
      </c>
    </row>
    <row r="7" spans="1:10" x14ac:dyDescent="0.25">
      <c r="A7" s="29">
        <f t="array" ref="A7">LARGE(IF(OverheadCostsTransactionalTable[Overhead Cost Name]=OverheadCosts[[#This Row],[Overhead Cost Name]],OverheadCostsTransactionalTable[Date],"No Mentions"),1)</f>
        <v>43101</v>
      </c>
      <c r="B7" s="1" t="s">
        <v>453</v>
      </c>
      <c r="C7" s="1" t="s">
        <v>461</v>
      </c>
      <c r="D7" s="1" t="s">
        <v>702</v>
      </c>
      <c r="E7" s="30" t="s">
        <v>453</v>
      </c>
      <c r="F7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6666.666666666667</v>
      </c>
      <c r="G7" s="1"/>
      <c r="I7" t="s">
        <v>722</v>
      </c>
      <c r="J7" s="6">
        <f>ROUND(J3*(1+J6),-4)</f>
        <v>80000</v>
      </c>
    </row>
    <row r="8" spans="1:10" x14ac:dyDescent="0.25">
      <c r="A8" s="29">
        <f t="array" ref="A8">LARGE(IF(OverheadCostsTransactionalTable[Overhead Cost Name]=OverheadCosts[[#This Row],[Overhead Cost Name]],OverheadCostsTransactionalTable[Date],"No Mentions"),1)</f>
        <v>42675</v>
      </c>
      <c r="B8" s="1" t="s">
        <v>451</v>
      </c>
      <c r="C8" s="1" t="s">
        <v>461</v>
      </c>
      <c r="D8" s="1" t="s">
        <v>707</v>
      </c>
      <c r="E8" s="30" t="s">
        <v>454</v>
      </c>
      <c r="F8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10800</v>
      </c>
      <c r="G8" s="1" t="s">
        <v>455</v>
      </c>
    </row>
    <row r="9" spans="1:10" ht="30" x14ac:dyDescent="0.25">
      <c r="A9" s="29">
        <f t="array" ref="A9">LARGE(IF(OverheadCostsTransactionalTable[Overhead Cost Name]=OverheadCosts[[#This Row],[Overhead Cost Name]],OverheadCostsTransactionalTable[Date],"No Mentions"),1)</f>
        <v>42675</v>
      </c>
      <c r="B9" s="1" t="s">
        <v>451</v>
      </c>
      <c r="C9" s="1" t="s">
        <v>461</v>
      </c>
      <c r="D9" s="1" t="s">
        <v>707</v>
      </c>
      <c r="E9" s="30" t="s">
        <v>456</v>
      </c>
      <c r="F9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6300</v>
      </c>
      <c r="G9" s="1"/>
    </row>
    <row r="10" spans="1:10" x14ac:dyDescent="0.25">
      <c r="A10" s="29">
        <f t="array" ref="A10">LARGE(IF(OverheadCostsTransactionalTable[Overhead Cost Name]=OverheadCosts[[#This Row],[Overhead Cost Name]],OverheadCostsTransactionalTable[Date],"No Mentions"),1)</f>
        <v>42675</v>
      </c>
      <c r="B10" s="1" t="s">
        <v>451</v>
      </c>
      <c r="C10" s="1" t="s">
        <v>461</v>
      </c>
      <c r="D10" s="1" t="s">
        <v>707</v>
      </c>
      <c r="E10" s="30" t="s">
        <v>458</v>
      </c>
      <c r="F10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450</v>
      </c>
      <c r="G10" s="1"/>
    </row>
    <row r="11" spans="1:10" x14ac:dyDescent="0.25">
      <c r="A11" s="29">
        <f t="array" ref="A11">LARGE(IF(OverheadCostsTransactionalTable[Overhead Cost Name]=OverheadCosts[[#This Row],[Overhead Cost Name]],OverheadCostsTransactionalTable[Date],"No Mentions"),1)</f>
        <v>43221</v>
      </c>
      <c r="B11" s="1" t="s">
        <v>451</v>
      </c>
      <c r="C11" s="1" t="s">
        <v>461</v>
      </c>
      <c r="D11" s="1" t="s">
        <v>707</v>
      </c>
      <c r="E11" s="30" t="s">
        <v>712</v>
      </c>
      <c r="F11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3864</v>
      </c>
      <c r="G11" s="1"/>
    </row>
    <row r="12" spans="1:10" x14ac:dyDescent="0.25">
      <c r="A12" s="29">
        <f t="array" ref="A12">LARGE(IF(OverheadCostsTransactionalTable[Overhead Cost Name]=OverheadCosts[[#This Row],[Overhead Cost Name]],OverheadCostsTransactionalTable[Date],"No Mentions"),1)</f>
        <v>43160</v>
      </c>
      <c r="B12" s="1" t="s">
        <v>450</v>
      </c>
      <c r="C12" s="1" t="s">
        <v>461</v>
      </c>
      <c r="D12" s="1" t="s">
        <v>706</v>
      </c>
      <c r="E12" s="30" t="s">
        <v>466</v>
      </c>
      <c r="F12" s="10">
        <f>SUMIFS(OverheadCostsTransactionalTable[Price per Month, RUB],OverheadCostsTransactionalTable[Overhead Cost Name],OverheadCosts[[#This Row],[Overhead Cost Name]],OverheadCostsTransactionalTable[Date],OverheadCosts[[#This Row],[The last Mention Date]])</f>
        <v>40000</v>
      </c>
      <c r="G12" s="1"/>
    </row>
    <row r="15" spans="1:10" x14ac:dyDescent="0.25">
      <c r="A15" t="s">
        <v>101</v>
      </c>
      <c r="B15" t="s">
        <v>82</v>
      </c>
      <c r="C15" t="s">
        <v>464</v>
      </c>
      <c r="D15" t="s">
        <v>457</v>
      </c>
      <c r="E15" t="s">
        <v>200</v>
      </c>
    </row>
    <row r="16" spans="1:10" x14ac:dyDescent="0.25">
      <c r="A16" s="1">
        <v>1</v>
      </c>
      <c r="B16" s="29">
        <v>42005</v>
      </c>
      <c r="C16" s="1" t="s">
        <v>468</v>
      </c>
      <c r="D16" s="10">
        <v>0</v>
      </c>
      <c r="E16" s="1" t="s">
        <v>684</v>
      </c>
    </row>
    <row r="17" spans="1:10" x14ac:dyDescent="0.25">
      <c r="A17" s="1">
        <v>2</v>
      </c>
      <c r="B17" s="29">
        <v>42005</v>
      </c>
      <c r="C17" s="1" t="s">
        <v>454</v>
      </c>
      <c r="D17" s="10">
        <v>0</v>
      </c>
      <c r="E17" s="1"/>
    </row>
    <row r="18" spans="1:10" ht="30" x14ac:dyDescent="0.25">
      <c r="A18" s="1">
        <v>3</v>
      </c>
      <c r="B18" s="29">
        <v>42005</v>
      </c>
      <c r="C18" s="1" t="s">
        <v>456</v>
      </c>
      <c r="D18" s="10">
        <v>0</v>
      </c>
      <c r="E18" s="1" t="s">
        <v>683</v>
      </c>
    </row>
    <row r="19" spans="1:10" x14ac:dyDescent="0.25">
      <c r="A19" s="1">
        <v>4</v>
      </c>
      <c r="B19" s="29">
        <v>42005</v>
      </c>
      <c r="C19" s="1" t="s">
        <v>458</v>
      </c>
      <c r="D19" s="10">
        <v>0</v>
      </c>
      <c r="E19" s="1"/>
    </row>
    <row r="20" spans="1:10" x14ac:dyDescent="0.25">
      <c r="A20" s="1">
        <v>5</v>
      </c>
      <c r="B20" s="29">
        <v>42005</v>
      </c>
      <c r="C20" s="1" t="s">
        <v>453</v>
      </c>
      <c r="D20" s="10">
        <v>0</v>
      </c>
      <c r="E20" s="1" t="s">
        <v>474</v>
      </c>
    </row>
    <row r="21" spans="1:10" ht="30" x14ac:dyDescent="0.25">
      <c r="A21" s="1">
        <v>6</v>
      </c>
      <c r="B21" s="29">
        <v>42005</v>
      </c>
      <c r="C21" s="1" t="s">
        <v>466</v>
      </c>
      <c r="D21" s="10">
        <v>0</v>
      </c>
      <c r="E21" s="1" t="s">
        <v>669</v>
      </c>
    </row>
    <row r="22" spans="1:10" ht="45" x14ac:dyDescent="0.25">
      <c r="A22" s="1">
        <v>7</v>
      </c>
      <c r="B22" s="29">
        <v>42005</v>
      </c>
      <c r="C22" s="1" t="s">
        <v>678</v>
      </c>
      <c r="D22" s="10">
        <v>0</v>
      </c>
      <c r="E22" s="1" t="s">
        <v>681</v>
      </c>
    </row>
    <row r="23" spans="1:10" ht="30" x14ac:dyDescent="0.25">
      <c r="A23" s="1">
        <v>8</v>
      </c>
      <c r="B23" s="29">
        <v>42005</v>
      </c>
      <c r="C23" s="1" t="s">
        <v>688</v>
      </c>
      <c r="D23" s="10">
        <v>0</v>
      </c>
      <c r="E23" s="1" t="s">
        <v>689</v>
      </c>
    </row>
    <row r="24" spans="1:10" ht="45" x14ac:dyDescent="0.25">
      <c r="A24" s="1">
        <v>9</v>
      </c>
      <c r="B24" s="29">
        <v>42005</v>
      </c>
      <c r="C24" s="1" t="s">
        <v>679</v>
      </c>
      <c r="D24" s="10">
        <v>0</v>
      </c>
      <c r="E24" s="1" t="s">
        <v>682</v>
      </c>
    </row>
    <row r="25" spans="1:10" ht="45" x14ac:dyDescent="0.25">
      <c r="A25" s="1">
        <v>10</v>
      </c>
      <c r="B25" s="29">
        <v>42005</v>
      </c>
      <c r="C25" s="1" t="s">
        <v>685</v>
      </c>
      <c r="D25" s="10">
        <v>0</v>
      </c>
      <c r="E25" s="1" t="s">
        <v>686</v>
      </c>
    </row>
    <row r="26" spans="1:10" x14ac:dyDescent="0.25">
      <c r="A26" s="1">
        <v>11</v>
      </c>
      <c r="B26" s="29">
        <v>42005</v>
      </c>
      <c r="C26" s="10" t="s">
        <v>712</v>
      </c>
      <c r="D26" s="10">
        <v>0</v>
      </c>
      <c r="E26" s="1" t="s">
        <v>713</v>
      </c>
    </row>
    <row r="27" spans="1:10" x14ac:dyDescent="0.25">
      <c r="A27" s="1">
        <v>12</v>
      </c>
      <c r="B27" s="29">
        <v>42005</v>
      </c>
      <c r="C27" s="60"/>
      <c r="D27" s="60"/>
      <c r="E27" s="61"/>
    </row>
    <row r="28" spans="1:10" ht="30" x14ac:dyDescent="0.25">
      <c r="A28" s="1">
        <v>13</v>
      </c>
      <c r="B28" s="29">
        <v>42675</v>
      </c>
      <c r="C28" s="1" t="s">
        <v>454</v>
      </c>
      <c r="D28" s="10">
        <f>180*60</f>
        <v>10800</v>
      </c>
      <c r="E28" s="1" t="s">
        <v>455</v>
      </c>
    </row>
    <row r="29" spans="1:10" ht="30" x14ac:dyDescent="0.25">
      <c r="A29" s="1">
        <v>14</v>
      </c>
      <c r="B29" s="29">
        <v>42675</v>
      </c>
      <c r="C29" s="1" t="s">
        <v>456</v>
      </c>
      <c r="D29" s="10">
        <f>900*7</f>
        <v>6300</v>
      </c>
      <c r="E29" s="1" t="s">
        <v>683</v>
      </c>
    </row>
    <row r="30" spans="1:10" x14ac:dyDescent="0.25">
      <c r="A30" s="1">
        <v>15</v>
      </c>
      <c r="B30" s="29">
        <v>42675</v>
      </c>
      <c r="C30" s="1" t="s">
        <v>458</v>
      </c>
      <c r="D30" s="10">
        <v>450</v>
      </c>
      <c r="E30" s="1"/>
    </row>
    <row r="31" spans="1:10" x14ac:dyDescent="0.25">
      <c r="A31" s="1">
        <v>16</v>
      </c>
      <c r="B31" s="29">
        <v>43101</v>
      </c>
      <c r="C31" s="1" t="s">
        <v>453</v>
      </c>
      <c r="D31" s="10">
        <f>80000/12</f>
        <v>6666.666666666667</v>
      </c>
      <c r="E31" s="1" t="s">
        <v>714</v>
      </c>
    </row>
    <row r="32" spans="1:10" ht="30" x14ac:dyDescent="0.25">
      <c r="A32" s="1">
        <v>17</v>
      </c>
      <c r="B32" s="29">
        <v>43160</v>
      </c>
      <c r="C32" s="1" t="s">
        <v>466</v>
      </c>
      <c r="D32" s="10">
        <v>40000</v>
      </c>
      <c r="E32" s="1" t="s">
        <v>669</v>
      </c>
      <c r="J32" s="2"/>
    </row>
    <row r="33" spans="1:5" ht="45" x14ac:dyDescent="0.25">
      <c r="A33" s="1">
        <v>18</v>
      </c>
      <c r="B33" s="29">
        <v>43191</v>
      </c>
      <c r="C33" s="1" t="s">
        <v>678</v>
      </c>
      <c r="D33" s="10">
        <v>500</v>
      </c>
      <c r="E33" s="1" t="s">
        <v>681</v>
      </c>
    </row>
    <row r="34" spans="1:5" ht="30" x14ac:dyDescent="0.25">
      <c r="A34" s="1">
        <v>19</v>
      </c>
      <c r="B34" s="29">
        <v>43221</v>
      </c>
      <c r="C34" s="1" t="s">
        <v>688</v>
      </c>
      <c r="D34" s="10">
        <v>1500</v>
      </c>
      <c r="E34" s="1" t="s">
        <v>1716</v>
      </c>
    </row>
    <row r="35" spans="1:5" x14ac:dyDescent="0.25">
      <c r="A35" s="1">
        <v>20</v>
      </c>
      <c r="B35" s="29">
        <v>43252</v>
      </c>
      <c r="C35" s="1" t="s">
        <v>468</v>
      </c>
      <c r="D35" s="10">
        <v>500</v>
      </c>
      <c r="E35" s="1" t="s">
        <v>684</v>
      </c>
    </row>
    <row r="36" spans="1:5" ht="45" x14ac:dyDescent="0.25">
      <c r="A36" s="1">
        <v>21</v>
      </c>
      <c r="B36" s="29">
        <v>43252</v>
      </c>
      <c r="C36" s="1" t="s">
        <v>679</v>
      </c>
      <c r="D36" s="10">
        <v>1500</v>
      </c>
      <c r="E36" s="1" t="s">
        <v>682</v>
      </c>
    </row>
    <row r="37" spans="1:5" ht="45" x14ac:dyDescent="0.25">
      <c r="A37" s="1">
        <v>22</v>
      </c>
      <c r="B37" s="29">
        <v>43252</v>
      </c>
      <c r="C37" s="1" t="s">
        <v>685</v>
      </c>
      <c r="D37" s="10">
        <v>500</v>
      </c>
      <c r="E37" s="1" t="s">
        <v>686</v>
      </c>
    </row>
    <row r="38" spans="1:5" x14ac:dyDescent="0.25">
      <c r="A38" s="1">
        <v>23</v>
      </c>
      <c r="B38" s="29">
        <v>43221</v>
      </c>
      <c r="C38" s="10" t="s">
        <v>712</v>
      </c>
      <c r="D38" s="10">
        <v>3864</v>
      </c>
      <c r="E38" s="1" t="s">
        <v>713</v>
      </c>
    </row>
  </sheetData>
  <dataValidations count="4">
    <dataValidation type="list" allowBlank="1" showInputMessage="1" showErrorMessage="1" sqref="B2:B12" xr:uid="{00000000-0002-0000-0500-000000000000}">
      <formula1>INDIRECT("'[Library.xlsx]OverheadCostTypes'!OverheadCostTypes[Overhead Cost Types]")</formula1>
    </dataValidation>
    <dataValidation type="list" allowBlank="1" showInputMessage="1" showErrorMessage="1" sqref="C2:C12" xr:uid="{00000000-0002-0000-0500-000001000000}">
      <formula1>INDIRECT("'[Library.xlsx]OverheadCostTypes'!OverheadCostTypes2[Overhead Cost Types 2]")</formula1>
    </dataValidation>
    <dataValidation type="list" allowBlank="1" showInputMessage="1" showErrorMessage="1" sqref="C16:C38" xr:uid="{00000000-0002-0000-0500-000002000000}">
      <formula1>INDIRECT("'[Library.xlsx]OverheadCosts'!OverheadCosts[Overhead Cost Name]")</formula1>
    </dataValidation>
    <dataValidation type="list" allowBlank="1" showInputMessage="1" showErrorMessage="1" sqref="D2:D12" xr:uid="{00000000-0002-0000-0500-000003000000}">
      <formula1>INDIRECT("Projects[Projects&amp;Contracts]")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R8"/>
  <sheetViews>
    <sheetView workbookViewId="0">
      <selection activeCell="J2" sqref="J2"/>
    </sheetView>
  </sheetViews>
  <sheetFormatPr defaultColWidth="9.140625" defaultRowHeight="15" x14ac:dyDescent="0.25"/>
  <cols>
    <col min="1" max="1" width="5.28515625" style="149" customWidth="1"/>
    <col min="2" max="2" width="10.7109375" style="149" bestFit="1" customWidth="1"/>
    <col min="3" max="3" width="14.140625" style="149" bestFit="1" customWidth="1"/>
    <col min="4" max="4" width="14.28515625" style="149" customWidth="1"/>
    <col min="5" max="7" width="9.140625" style="149"/>
    <col min="8" max="8" width="14.140625" style="149" bestFit="1" customWidth="1"/>
    <col min="9" max="9" width="9.140625" style="149"/>
    <col min="10" max="10" width="39" style="149" customWidth="1"/>
    <col min="11" max="16384" width="9.140625" style="149"/>
  </cols>
  <sheetData>
    <row r="1" spans="1:18" ht="45" x14ac:dyDescent="0.25">
      <c r="A1" s="149" t="s">
        <v>101</v>
      </c>
      <c r="B1" s="149" t="s">
        <v>82</v>
      </c>
      <c r="C1" s="149" t="s">
        <v>1136</v>
      </c>
      <c r="D1" s="149" t="s">
        <v>1137</v>
      </c>
      <c r="H1" s="149" t="s">
        <v>1138</v>
      </c>
      <c r="J1" s="1" t="s">
        <v>1650</v>
      </c>
      <c r="K1" s="1" t="s">
        <v>1636</v>
      </c>
      <c r="L1" s="1" t="s">
        <v>1637</v>
      </c>
      <c r="M1" s="1" t="s">
        <v>1638</v>
      </c>
      <c r="N1" s="1" t="s">
        <v>1639</v>
      </c>
      <c r="O1" s="1" t="s">
        <v>1640</v>
      </c>
      <c r="P1" s="1" t="s">
        <v>1641</v>
      </c>
      <c r="Q1" s="1" t="s">
        <v>1642</v>
      </c>
      <c r="R1" s="1" t="s">
        <v>1631</v>
      </c>
    </row>
    <row r="2" spans="1:18" x14ac:dyDescent="0.25">
      <c r="A2" s="149">
        <v>1</v>
      </c>
      <c r="B2" s="150">
        <v>37987</v>
      </c>
      <c r="C2" s="149" t="s">
        <v>1139</v>
      </c>
      <c r="D2" s="151">
        <v>0</v>
      </c>
      <c r="H2" s="149" t="s">
        <v>1139</v>
      </c>
      <c r="J2" t="s">
        <v>710</v>
      </c>
      <c r="K2" s="187">
        <v>0.2</v>
      </c>
      <c r="L2" s="12">
        <v>7.0000000000000007E-2</v>
      </c>
      <c r="M2" s="187"/>
      <c r="N2" s="187"/>
      <c r="O2" s="187"/>
      <c r="P2" s="187"/>
      <c r="Q2" s="187">
        <f>SUM(Tax[[#This Row],[ПФР]:[На травматизм]])</f>
        <v>0</v>
      </c>
      <c r="R2" s="187"/>
    </row>
    <row r="3" spans="1:18" x14ac:dyDescent="0.25">
      <c r="A3" s="149">
        <v>2</v>
      </c>
      <c r="B3" s="150">
        <v>37987</v>
      </c>
      <c r="C3" s="149" t="s">
        <v>1140</v>
      </c>
      <c r="D3" s="151">
        <v>0.1</v>
      </c>
      <c r="H3" s="149" t="s">
        <v>1140</v>
      </c>
      <c r="J3" t="s">
        <v>1623</v>
      </c>
      <c r="K3" s="187">
        <v>0.2</v>
      </c>
      <c r="L3" s="12">
        <v>0</v>
      </c>
      <c r="M3" s="187">
        <v>0.22</v>
      </c>
      <c r="N3" s="187">
        <v>5.0999999999999997E-2</v>
      </c>
      <c r="O3" s="187">
        <v>2.9000000000000001E-2</v>
      </c>
      <c r="P3" s="187">
        <v>2E-3</v>
      </c>
      <c r="Q3" s="187">
        <f>SUM(Tax[[#This Row],[ПФР]:[На травматизм]])</f>
        <v>0.30200000000000005</v>
      </c>
      <c r="R3" s="187">
        <v>0.13</v>
      </c>
    </row>
    <row r="4" spans="1:18" x14ac:dyDescent="0.25">
      <c r="A4" s="149">
        <v>3</v>
      </c>
      <c r="B4" s="150">
        <v>37987</v>
      </c>
      <c r="C4" s="149" t="s">
        <v>1141</v>
      </c>
      <c r="D4" s="151">
        <v>0.18</v>
      </c>
      <c r="H4" s="149" t="s">
        <v>1141</v>
      </c>
      <c r="J4" t="s">
        <v>1624</v>
      </c>
      <c r="K4" s="187">
        <v>0.2</v>
      </c>
      <c r="L4" s="12">
        <v>0</v>
      </c>
      <c r="M4" s="187">
        <v>0.22</v>
      </c>
      <c r="N4" s="187">
        <v>5.0999999999999997E-2</v>
      </c>
      <c r="O4" s="187">
        <v>2.9000000000000001E-2</v>
      </c>
      <c r="P4" s="187">
        <v>2E-3</v>
      </c>
      <c r="Q4" s="187">
        <f>SUM(Tax[[#This Row],[ПФР]:[На травматизм]])</f>
        <v>0.30200000000000005</v>
      </c>
      <c r="R4" s="187">
        <v>0.13</v>
      </c>
    </row>
    <row r="5" spans="1:18" x14ac:dyDescent="0.25">
      <c r="A5" s="149">
        <v>4</v>
      </c>
      <c r="B5" s="150">
        <v>43466</v>
      </c>
      <c r="C5" s="149" t="s">
        <v>1141</v>
      </c>
      <c r="D5" s="151">
        <v>0.2</v>
      </c>
      <c r="J5" t="s">
        <v>1625</v>
      </c>
      <c r="K5" s="187">
        <v>0.2</v>
      </c>
      <c r="L5" s="12">
        <v>0.2</v>
      </c>
      <c r="M5" s="187"/>
      <c r="N5" s="187"/>
      <c r="O5" s="187"/>
      <c r="P5" s="187"/>
      <c r="Q5" s="187">
        <f>SUM(Tax[[#This Row],[ПФР]:[На травматизм]])</f>
        <v>0</v>
      </c>
      <c r="R5" s="187">
        <v>0.13</v>
      </c>
    </row>
    <row r="6" spans="1:18" x14ac:dyDescent="0.25">
      <c r="J6" t="s">
        <v>1626</v>
      </c>
      <c r="K6" s="187">
        <v>0.2</v>
      </c>
      <c r="L6" s="12">
        <v>0</v>
      </c>
      <c r="M6" s="187">
        <v>0</v>
      </c>
      <c r="N6" s="187">
        <v>0.04</v>
      </c>
      <c r="O6" s="187">
        <v>2E-3</v>
      </c>
      <c r="P6" s="187"/>
      <c r="Q6" s="187">
        <f>SUM(Tax[[#This Row],[ПФР]:[На травматизм]])</f>
        <v>4.2000000000000003E-2</v>
      </c>
      <c r="R6" s="187">
        <v>0.13</v>
      </c>
    </row>
    <row r="7" spans="1:18" x14ac:dyDescent="0.25">
      <c r="J7" t="s">
        <v>1627</v>
      </c>
      <c r="K7" s="187">
        <v>0.2</v>
      </c>
      <c r="L7" s="12">
        <v>7.0000000000000007E-2</v>
      </c>
      <c r="M7" s="187"/>
      <c r="N7" s="187"/>
      <c r="O7" s="187"/>
      <c r="P7" s="187"/>
      <c r="Q7" s="187">
        <f>SUM(Tax[[#This Row],[ПФР]:[На травматизм]])</f>
        <v>0</v>
      </c>
      <c r="R7" s="187">
        <v>0.13</v>
      </c>
    </row>
    <row r="8" spans="1:18" x14ac:dyDescent="0.25">
      <c r="J8" s="194" t="s">
        <v>889</v>
      </c>
      <c r="K8" s="192">
        <v>0</v>
      </c>
      <c r="L8" s="193">
        <v>0</v>
      </c>
      <c r="M8" s="192">
        <v>0</v>
      </c>
      <c r="N8" s="192">
        <v>0</v>
      </c>
      <c r="O8" s="192">
        <v>0</v>
      </c>
      <c r="P8" s="149">
        <v>0</v>
      </c>
      <c r="Q8" s="192">
        <f>SUM(Tax[[#This Row],[ПФР]:[На травматизм]])</f>
        <v>0</v>
      </c>
      <c r="R8" s="192">
        <v>0</v>
      </c>
    </row>
  </sheetData>
  <dataValidations count="1">
    <dataValidation type="list" allowBlank="1" showInputMessage="1" showErrorMessage="1" sqref="C2:C5" xr:uid="{00000000-0002-0000-0A00-000000000000}">
      <formula1>INDIRECT("VAT_Types[VAT Types]")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4"/>
  <sheetViews>
    <sheetView workbookViewId="0">
      <selection activeCell="A2" sqref="A2:A4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  <row r="4" spans="1:1" x14ac:dyDescent="0.25">
      <c r="A4" t="s">
        <v>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4"/>
  <sheetViews>
    <sheetView workbookViewId="0">
      <selection activeCell="A2" sqref="A2:A4"/>
    </sheetView>
  </sheetViews>
  <sheetFormatPr defaultRowHeight="15" x14ac:dyDescent="0.25"/>
  <cols>
    <col min="1" max="1" width="15.28515625" bestFit="1" customWidth="1"/>
  </cols>
  <sheetData>
    <row r="1" spans="1:1" x14ac:dyDescent="0.25">
      <c r="A1" t="s">
        <v>170</v>
      </c>
    </row>
    <row r="2" spans="1:1" x14ac:dyDescent="0.25">
      <c r="A2" t="s">
        <v>169</v>
      </c>
    </row>
    <row r="3" spans="1:1" x14ac:dyDescent="0.25">
      <c r="A3" t="s">
        <v>4</v>
      </c>
    </row>
    <row r="4" spans="1:1" x14ac:dyDescent="0.25">
      <c r="A4" t="s">
        <v>166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05C9-797E-4676-A06A-BA8326D2187E}">
  <dimension ref="A1:A10"/>
  <sheetViews>
    <sheetView workbookViewId="0">
      <selection activeCell="F23" sqref="F23"/>
    </sheetView>
  </sheetViews>
  <sheetFormatPr defaultRowHeight="15" x14ac:dyDescent="0.25"/>
  <cols>
    <col min="1" max="1" width="15" bestFit="1" customWidth="1"/>
  </cols>
  <sheetData>
    <row r="1" spans="1:1" x14ac:dyDescent="0.25">
      <c r="A1" s="657" t="s">
        <v>70</v>
      </c>
    </row>
    <row r="2" spans="1:1" x14ac:dyDescent="0.25">
      <c r="A2" s="50" t="s">
        <v>4</v>
      </c>
    </row>
    <row r="3" spans="1:1" x14ac:dyDescent="0.25">
      <c r="A3" s="50" t="s">
        <v>701</v>
      </c>
    </row>
    <row r="4" spans="1:1" x14ac:dyDescent="0.25">
      <c r="A4" s="50" t="s">
        <v>699</v>
      </c>
    </row>
    <row r="5" spans="1:1" x14ac:dyDescent="0.25">
      <c r="A5" s="50" t="s">
        <v>708</v>
      </c>
    </row>
    <row r="6" spans="1:1" x14ac:dyDescent="0.25">
      <c r="A6" s="50" t="s">
        <v>864</v>
      </c>
    </row>
    <row r="7" spans="1:1" x14ac:dyDescent="0.25">
      <c r="A7" s="50" t="s">
        <v>698</v>
      </c>
    </row>
    <row r="8" spans="1:1" x14ac:dyDescent="0.25">
      <c r="A8" s="50" t="s">
        <v>83</v>
      </c>
    </row>
    <row r="9" spans="1:1" x14ac:dyDescent="0.25">
      <c r="A9" s="479"/>
    </row>
    <row r="10" spans="1:1" x14ac:dyDescent="0.25">
      <c r="A10" s="479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D3A1-6995-4AD6-ADF0-23F15CBB845D}">
  <dimension ref="A1"/>
  <sheetViews>
    <sheetView workbookViewId="0">
      <selection activeCell="P15" sqref="P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Projects&amp;Contracts</vt:lpstr>
      <vt:lpstr>Сontractors</vt:lpstr>
      <vt:lpstr>Salary</vt:lpstr>
      <vt:lpstr>AccountNumbers</vt:lpstr>
      <vt:lpstr>Products</vt:lpstr>
      <vt:lpstr>Positions</vt:lpstr>
      <vt:lpstr>Grades</vt:lpstr>
      <vt:lpstr>Team</vt:lpstr>
      <vt:lpstr>OverheadCostTypes</vt:lpstr>
      <vt:lpstr>OverheadCosts</vt:lpstr>
      <vt:lpstr>VAT</vt:lpstr>
      <vt:lpstr>Budget Types</vt:lpstr>
      <vt:lpstr>Expense Items</vt:lpstr>
      <vt:lpstr>Types</vt:lpstr>
      <vt:lpstr>Statuses</vt:lpstr>
      <vt:lpstr>'Projects&amp;Contracts'!Contracts</vt:lpstr>
      <vt:lpstr>'Projects&amp;Contracts'!Таблица</vt:lpstr>
      <vt:lpstr>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Elvira Y. Kachmazova</cp:lastModifiedBy>
  <cp:lastPrinted>2022-01-11T07:09:03Z</cp:lastPrinted>
  <dcterms:created xsi:type="dcterms:W3CDTF">2017-03-02T05:08:01Z</dcterms:created>
  <dcterms:modified xsi:type="dcterms:W3CDTF">2025-01-24T15:39:04Z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>
    </vt:lpwstr>
  </property>
  <property fmtid="{D5CDD505-2E9C-101B-9397-08002B2CF9AE}" pid="3" name="Project Name">
    <vt:lpwstr> </vt:lpwstr>
  </property>
</Properties>
</file>